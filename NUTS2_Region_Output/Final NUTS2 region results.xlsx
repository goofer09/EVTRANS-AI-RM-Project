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goofe\RM\NUTS2_Region_Output\"/>
    </mc:Choice>
  </mc:AlternateContent>
  <xr:revisionPtr revIDLastSave="0" documentId="13_ncr:1_{9ED4B39F-03B0-468E-9718-2A3D97F5B9C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ponents_long (2)" sheetId="4" r:id="rId1"/>
    <sheet name="plants_unified" sheetId="1" r:id="rId2"/>
    <sheet name="components_long" sheetId="2" r:id="rId3"/>
    <sheet name="regions_ravi" sheetId="3" r:id="rId4"/>
  </sheets>
  <definedNames>
    <definedName name="_xlnm._FilterDatabase" localSheetId="2" hidden="1">components_long!$D$1:$D$565</definedName>
    <definedName name="_xlnm._FilterDatabase" localSheetId="0" hidden="1">'components_long (2)'!$E$1:$E$283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" i="4"/>
</calcChain>
</file>

<file path=xl/sharedStrings.xml><?xml version="1.0" encoding="utf-8"?>
<sst xmlns="http://schemas.openxmlformats.org/spreadsheetml/2006/main" count="5627" uniqueCount="455">
  <si>
    <t>key</t>
  </si>
  <si>
    <t>company</t>
  </si>
  <si>
    <t>plant</t>
  </si>
  <si>
    <t>city</t>
  </si>
  <si>
    <t>nuts2_code</t>
  </si>
  <si>
    <t>employment_estimate</t>
  </si>
  <si>
    <t>employment_size_class</t>
  </si>
  <si>
    <t>employment_confidence</t>
  </si>
  <si>
    <t>is_production_site</t>
  </si>
  <si>
    <t>component_count</t>
  </si>
  <si>
    <t>ice_count</t>
  </si>
  <si>
    <t>ev_count</t>
  </si>
  <si>
    <t>shared_count</t>
  </si>
  <si>
    <t>plant_tfs</t>
  </si>
  <si>
    <t>plant_ice_dependency</t>
  </si>
  <si>
    <t>nuts2_name</t>
  </si>
  <si>
    <t>ravi_score</t>
  </si>
  <si>
    <t>vulnerability_rank</t>
  </si>
  <si>
    <t>vulnerability_category</t>
  </si>
  <si>
    <t>weighted_tfs</t>
  </si>
  <si>
    <t>weighted_ice_dependency</t>
  </si>
  <si>
    <t>total_employment</t>
  </si>
  <si>
    <t>auto_employment_share</t>
  </si>
  <si>
    <t>exposure</t>
  </si>
  <si>
    <t>adaptive_capacity</t>
  </si>
  <si>
    <t>Volkswagen Osnabrück GmbH_Osnabrück Plant (Werk Osnabrück)_DE94</t>
  </si>
  <si>
    <t>Volkswagen Osnabrück GmbH</t>
  </si>
  <si>
    <t>Osnabrück Plant (Werk Osnabrück)</t>
  </si>
  <si>
    <t>Osnabrück</t>
  </si>
  <si>
    <t>DE94</t>
  </si>
  <si>
    <t>Large</t>
  </si>
  <si>
    <t>medium</t>
  </si>
  <si>
    <t>Weser-Ems</t>
  </si>
  <si>
    <t>High</t>
  </si>
  <si>
    <t>Audi AG_Audi Motorenwerk Gaimersheim_DE21</t>
  </si>
  <si>
    <t>Audi AG</t>
  </si>
  <si>
    <t>Audi Motorenwerk Gaimersheim</t>
  </si>
  <si>
    <t>Gaimersheim</t>
  </si>
  <si>
    <t>DE21</t>
  </si>
  <si>
    <t>Medium</t>
  </si>
  <si>
    <t>Oberbayern</t>
  </si>
  <si>
    <t>Low</t>
  </si>
  <si>
    <t>Volkswagen Sachsen GmbH (Zwickau Plant)_Zwickau Plant (Werk Zwickau)_DED4</t>
  </si>
  <si>
    <t>Volkswagen Sachsen GmbH (Zwickau Plant)</t>
  </si>
  <si>
    <t>Zwickau Plant (Werk Zwickau)</t>
  </si>
  <si>
    <t>Zwickau</t>
  </si>
  <si>
    <t>DED4</t>
  </si>
  <si>
    <t>Very Large</t>
  </si>
  <si>
    <t>high</t>
  </si>
  <si>
    <t>Chemnitz</t>
  </si>
  <si>
    <t>Volkswagen AG_Motorenwerk Salzgitter (Volkswagen Salzgitter Engine Plant)_DE91</t>
  </si>
  <si>
    <t>Volkswagen AG</t>
  </si>
  <si>
    <t>Motorenwerk Salzgitter (Volkswagen Salzgitter Engine Plant)</t>
  </si>
  <si>
    <t>Salzgitter</t>
  </si>
  <si>
    <t>DE91</t>
  </si>
  <si>
    <t>Braunschweig</t>
  </si>
  <si>
    <t>Freudenberg SE_Weinheim (Freudenberg production site)_DE12</t>
  </si>
  <si>
    <t>Freudenberg SE</t>
  </si>
  <si>
    <t>Weinheim (Freudenberg production site)</t>
  </si>
  <si>
    <t>Weinheim</t>
  </si>
  <si>
    <t>DE12</t>
  </si>
  <si>
    <t>Karlsruhe</t>
  </si>
  <si>
    <t>MAHLE GmbH (Sömmerda plant)_MAHLE Sömmerda plant_DEG0</t>
  </si>
  <si>
    <t>MAHLE GmbH (Sömmerda plant)</t>
  </si>
  <si>
    <t>MAHLE Sömmerda plant</t>
  </si>
  <si>
    <t>Sömmerda</t>
  </si>
  <si>
    <t>DEG0</t>
  </si>
  <si>
    <t>Small</t>
  </si>
  <si>
    <t>Thüringen</t>
  </si>
  <si>
    <t>Knorr-Bremse AG_Knorr-Bremse Munich manufacturing site_DE21</t>
  </si>
  <si>
    <t>Knorr-Bremse AG</t>
  </si>
  <si>
    <t>Knorr-Bremse Munich manufacturing site</t>
  </si>
  <si>
    <t>Munich</t>
  </si>
  <si>
    <t>low</t>
  </si>
  <si>
    <t>Fendt (AGCO)_Fendt / AGCO Werk Asbach-Bäumenheim_DE27</t>
  </si>
  <si>
    <t>Fendt (AGCO)</t>
  </si>
  <si>
    <t>Fendt / AGCO Werk Asbach-Bäumenheim</t>
  </si>
  <si>
    <t>Asbach-Bäumenheim</t>
  </si>
  <si>
    <t>DE27</t>
  </si>
  <si>
    <t>Schwaben</t>
  </si>
  <si>
    <t>Mercedes‑Benz Group AG_Mercedes‑Benz Rastatt Plant_DE12</t>
  </si>
  <si>
    <t>Mercedes‑Benz Group AG</t>
  </si>
  <si>
    <t>Mercedes‑Benz Rastatt Plant</t>
  </si>
  <si>
    <t>Rastatt</t>
  </si>
  <si>
    <t>Continental AG_Continental / ContiTech Werk Amberg_DE23</t>
  </si>
  <si>
    <t>Continental AG</t>
  </si>
  <si>
    <t>Continental / ContiTech Werk Amberg</t>
  </si>
  <si>
    <t>Amberg</t>
  </si>
  <si>
    <t>DE23</t>
  </si>
  <si>
    <t>Oberpfalz</t>
  </si>
  <si>
    <t>Volkswagen AG_Motorenwerk Salzgitter (Salzgitter Plant)_DE91</t>
  </si>
  <si>
    <t>Motorenwerk Salzgitter (Salzgitter Plant)</t>
  </si>
  <si>
    <t>Volkswagen AG_Werk Wolfsburg (Wolfsburg Plant)_DE91</t>
  </si>
  <si>
    <t>Werk Wolfsburg (Wolfsburg Plant)</t>
  </si>
  <si>
    <t>Wolfsburg</t>
  </si>
  <si>
    <t>Volkswagen Nutzfahrzeuge GmbH_Volkswagen Nutzfahrzeuge Werk Hannover_DE92</t>
  </si>
  <si>
    <t>Volkswagen Nutzfahrzeuge GmbH</t>
  </si>
  <si>
    <t>Volkswagen Nutzfahrzeuge Werk Hannover</t>
  </si>
  <si>
    <t>Hannover</t>
  </si>
  <si>
    <t>DE92</t>
  </si>
  <si>
    <t>Mercedes-Benz Group AG_Mercedes‑Benz Werk Bremen_DE94</t>
  </si>
  <si>
    <t>Mercedes-Benz Group AG</t>
  </si>
  <si>
    <t>Mercedes‑Benz Werk Bremen</t>
  </si>
  <si>
    <t>Bremen</t>
  </si>
  <si>
    <t>BMW AG_BMW Group Plant Dingolfing_DE22</t>
  </si>
  <si>
    <t>BMW AG</t>
  </si>
  <si>
    <t>BMW Group Plant Dingolfing</t>
  </si>
  <si>
    <t>Dingolfing</t>
  </si>
  <si>
    <t>DE22</t>
  </si>
  <si>
    <t>Niederbayern</t>
  </si>
  <si>
    <t>Ford-Werke GmbH_Cologne Engine Plant (Ford Köln Engine Plant / Köln-Merkenich)_DEA2</t>
  </si>
  <si>
    <t>Ford-Werke GmbH</t>
  </si>
  <si>
    <t>Cologne Engine Plant (Ford Köln Engine Plant / Köln-Merkenich)</t>
  </si>
  <si>
    <t>Köln</t>
  </si>
  <si>
    <t>DEA2</t>
  </si>
  <si>
    <t>ArcelorMittal Germany_ArcelorMittal Duisburg (Duisburg Steelworks - Bruckhausen)_DEA1</t>
  </si>
  <si>
    <t>ArcelorMittal Germany</t>
  </si>
  <si>
    <t>ArcelorMittal Duisburg (Duisburg Steelworks - Bruckhausen)</t>
  </si>
  <si>
    <t>Duisburg</t>
  </si>
  <si>
    <t>DEA1</t>
  </si>
  <si>
    <t>Düsseldorf</t>
  </si>
  <si>
    <t>Saarstahl AG_Werk Völklingen (Völklingen Plant)_DEC0</t>
  </si>
  <si>
    <t>Saarstahl AG</t>
  </si>
  <si>
    <t>Werk Völklingen (Völklingen Plant)</t>
  </si>
  <si>
    <t>Völklingen</t>
  </si>
  <si>
    <t>DEC0</t>
  </si>
  <si>
    <t>Saarland</t>
  </si>
  <si>
    <t>DRÄXLMAIER Group_DRÄXLMAIER Vilsbiburg Plant_DE22</t>
  </si>
  <si>
    <t>DRÄXLMAIER Group</t>
  </si>
  <si>
    <t>DRÄXLMAIER Vilsbiburg Plant</t>
  </si>
  <si>
    <t>Vilsbiburg</t>
  </si>
  <si>
    <t>MANN+HUMMEL GmbH_Markgröningen Plant_DE11</t>
  </si>
  <si>
    <t>MANN+HUMMEL GmbH</t>
  </si>
  <si>
    <t>Markgröningen Plant</t>
  </si>
  <si>
    <t>Markgröningen</t>
  </si>
  <si>
    <t>DE11</t>
  </si>
  <si>
    <t>Stuttgart</t>
  </si>
  <si>
    <t>Mubea GmbH &amp; Co. KG_Mubea Attendorn Plant_DEA5</t>
  </si>
  <si>
    <t>Mubea GmbH &amp; Co. KG</t>
  </si>
  <si>
    <t>Mubea Attendorn Plant</t>
  </si>
  <si>
    <t>Attendorn</t>
  </si>
  <si>
    <t>DEA5</t>
  </si>
  <si>
    <t>Arnsberg</t>
  </si>
  <si>
    <t>Ford-Werke GmbH_Ford Saarlouis Plant_DEC0</t>
  </si>
  <si>
    <t>Ford Saarlouis Plant</t>
  </si>
  <si>
    <t>Saarlouis</t>
  </si>
  <si>
    <t>thyssenkrupp AG_Thyssenkrupp Nirosta – Krefeld-Uerdingen_DEA1</t>
  </si>
  <si>
    <t>thyssenkrupp AG</t>
  </si>
  <si>
    <t>Thyssenkrupp Nirosta – Krefeld-Uerdingen</t>
  </si>
  <si>
    <t>Krefeld</t>
  </si>
  <si>
    <t>MANN+HUMMEL GmbH_MANN+HUMMEL Kornwestheim Plant_DE11</t>
  </si>
  <si>
    <t>MANN+HUMMEL Kornwestheim Plant</t>
  </si>
  <si>
    <t>Kornwestheim</t>
  </si>
  <si>
    <t>CLAAS KGaA mbH_Harsewinkel Plant_DEA4</t>
  </si>
  <si>
    <t>CLAAS KGaA mbH</t>
  </si>
  <si>
    <t>Harsewinkel Plant</t>
  </si>
  <si>
    <t>Harsewinkel</t>
  </si>
  <si>
    <t>DEA4</t>
  </si>
  <si>
    <t>Detmold</t>
  </si>
  <si>
    <t>GlobalFoundries Inc._GlobalFoundries Dresden Fab_DED2</t>
  </si>
  <si>
    <t>GlobalFoundries Inc.</t>
  </si>
  <si>
    <t>GlobalFoundries Dresden Fab</t>
  </si>
  <si>
    <t>Dresden</t>
  </si>
  <si>
    <t>DED2</t>
  </si>
  <si>
    <t>LEONI AG_LEONI Plant Hechingen_DE14</t>
  </si>
  <si>
    <t>LEONI AG</t>
  </si>
  <si>
    <t>LEONI Plant Hechingen</t>
  </si>
  <si>
    <t>Hechingen</t>
  </si>
  <si>
    <t>DE14</t>
  </si>
  <si>
    <t>Tübingen</t>
  </si>
  <si>
    <t>BMW AG_BMW Group Plant Munich (Werk München)_DE21</t>
  </si>
  <si>
    <t>BMW Group Plant Munich (Werk München)</t>
  </si>
  <si>
    <t>München</t>
  </si>
  <si>
    <t>Mubea GmbH &amp; Co. KG_Attendorn plant_DEA5</t>
  </si>
  <si>
    <t>Attendorn plant</t>
  </si>
  <si>
    <t>Mercedes-Benz Group AG_Mercedes‑Benz Untertürkheim Powertrain Plant_DE11</t>
  </si>
  <si>
    <t>Mercedes‑Benz Untertürkheim Powertrain Plant</t>
  </si>
  <si>
    <t>Stuttgart (Untertürkheim)</t>
  </si>
  <si>
    <t>KUKA AG_KUKA Roboter GmbH – Augsburg plant_DE27</t>
  </si>
  <si>
    <t>KUKA AG</t>
  </si>
  <si>
    <t>KUKA Roboter GmbH – Augsburg plant</t>
  </si>
  <si>
    <t>Augsburg</t>
  </si>
  <si>
    <t>Schaeffler AG_Herzogenaurach plant_DE25</t>
  </si>
  <si>
    <t>Schaeffler AG</t>
  </si>
  <si>
    <t>Herzogenaurach plant</t>
  </si>
  <si>
    <t>Herzogenaurach</t>
  </si>
  <si>
    <t>DE25</t>
  </si>
  <si>
    <t>Mittelfranken</t>
  </si>
  <si>
    <t>BMW AG_BMW Group Plant Leipzig (BMW Werk Leipzig)_DED5</t>
  </si>
  <si>
    <t>BMW Group Plant Leipzig (BMW Werk Leipzig)</t>
  </si>
  <si>
    <t>Leipzig</t>
  </si>
  <si>
    <t>DED5</t>
  </si>
  <si>
    <t>DRÄXLMAIER Group_DRÄXLMAIER Landau Plant_DE22</t>
  </si>
  <si>
    <t>DRÄXLMAIER Landau Plant</t>
  </si>
  <si>
    <t>Landau an der Isar</t>
  </si>
  <si>
    <t>Volkswagen AG_Volkswagen Group Components - Werk Baunatal (Kassel)_DE73</t>
  </si>
  <si>
    <t>Volkswagen Group Components - Werk Baunatal (Kassel)</t>
  </si>
  <si>
    <t>Baunatal</t>
  </si>
  <si>
    <t>DE73</t>
  </si>
  <si>
    <t>Kassel</t>
  </si>
  <si>
    <t>Robert Bosch GmbH_Bosch Werk Schwieberdingen_DE11</t>
  </si>
  <si>
    <t>Robert Bosch GmbH</t>
  </si>
  <si>
    <t>Bosch Werk Schwieberdingen</t>
  </si>
  <si>
    <t>Schwieberdingen</t>
  </si>
  <si>
    <t>Infineon Technologies AG_Infineon Dresden (semiconductor manufacturing site)_DED2</t>
  </si>
  <si>
    <t>Infineon Technologies AG</t>
  </si>
  <si>
    <t>Infineon Dresden (semiconductor manufacturing site)</t>
  </si>
  <si>
    <t>ZF Friedrichshafen AG_ZF Friedrichshafen - Friedrichshafen Plant_DE14</t>
  </si>
  <si>
    <t>ZF Friedrichshafen AG</t>
  </si>
  <si>
    <t>ZF Friedrichshafen - Friedrichshafen Plant</t>
  </si>
  <si>
    <t>Friedrichshafen</t>
  </si>
  <si>
    <t>Volkswagen AG_Volkswagen Werk Emden_DE94</t>
  </si>
  <si>
    <t>Volkswagen Werk Emden</t>
  </si>
  <si>
    <t>Emden</t>
  </si>
  <si>
    <t>Saarstahl AG_Saarstahl Werk Burbach_DEC0</t>
  </si>
  <si>
    <t>Saarstahl Werk Burbach</t>
  </si>
  <si>
    <t>Neunkirchen (Burbach)</t>
  </si>
  <si>
    <t>Infineon Technologies AG_Infineon Technologies Dresden (Dresden manufacturing site)_DED2</t>
  </si>
  <si>
    <t>Infineon Technologies Dresden (Dresden manufacturing site)</t>
  </si>
  <si>
    <t>DRÄXLMAIER Group_DRÄXLMAIER Dingolfing Plant_DE22</t>
  </si>
  <si>
    <t>DRÄXLMAIER Dingolfing Plant</t>
  </si>
  <si>
    <t>Volkswagen AG_Gläserne Manufaktur Dresden (Transparent Factory)_DED2</t>
  </si>
  <si>
    <t>Gläserne Manufaktur Dresden (Transparent Factory)</t>
  </si>
  <si>
    <t>Volkswagen AG_Gläserne Manufaktur (Transparent Factory, Volkswagen Sachsen GmbH)_DED5</t>
  </si>
  <si>
    <t>Gläserne Manufaktur (Transparent Factory, Volkswagen Sachsen GmbH)</t>
  </si>
  <si>
    <t>thyssenkrupp AG_Thyssenkrupp Steel Europe – Duisburg (Schwelgern integrated works)_DEA1</t>
  </si>
  <si>
    <t>Thyssenkrupp Steel Europe – Duisburg (Schwelgern integrated works)</t>
  </si>
  <si>
    <t>ElringKlinger AG_ElringKlinger Dietenheim_DE14</t>
  </si>
  <si>
    <t>ElringKlinger AG</t>
  </si>
  <si>
    <t>ElringKlinger Dietenheim</t>
  </si>
  <si>
    <t>Dietenheim</t>
  </si>
  <si>
    <t>Brose Fahrzeugteile GmbH &amp; Co. KG_Brose Hallstadt_DE24</t>
  </si>
  <si>
    <t>Brose Fahrzeugteile GmbH &amp; Co. KG</t>
  </si>
  <si>
    <t>Brose Hallstadt</t>
  </si>
  <si>
    <t>Hallstadt (Bamberg)</t>
  </si>
  <si>
    <t>DE24</t>
  </si>
  <si>
    <t>Oberfranken</t>
  </si>
  <si>
    <t>KOSTAL (KOSTAL Gruppe)_KOSTAL GmbH &amp; Co. KG - Lüdenscheid plant_DEA5</t>
  </si>
  <si>
    <t>KOSTAL (KOSTAL Gruppe)</t>
  </si>
  <si>
    <t>KOSTAL GmbH &amp; Co. KG - Lüdenscheid plant</t>
  </si>
  <si>
    <t>Lüdenscheid</t>
  </si>
  <si>
    <t>Brose Fahrzeugteile GmbH &amp; Co. KG_Brose Neustadt bei Coburg_DE24</t>
  </si>
  <si>
    <t>Brose Neustadt bei Coburg</t>
  </si>
  <si>
    <t>Neustadt bei Coburg</t>
  </si>
  <si>
    <t>Fendt (AGCO)_Fendt-Werk Marktoberdorf_DE27</t>
  </si>
  <si>
    <t>Fendt-Werk Marktoberdorf</t>
  </si>
  <si>
    <t>Marktoberdorf</t>
  </si>
  <si>
    <t>LEONI AG_LEONI Weiden Plant_DE23</t>
  </si>
  <si>
    <t>LEONI Weiden Plant</t>
  </si>
  <si>
    <t>Weiden in der Oberpfalz</t>
  </si>
  <si>
    <t>Mercedes-Benz Group AG_Mercedes‑Benz Werk Bremen_DE50</t>
  </si>
  <si>
    <t>DE50</t>
  </si>
  <si>
    <t>Mercedes-Benz Group AG_Mercedes-Benz Untertürkheim Plant_DE11</t>
  </si>
  <si>
    <t>Mercedes-Benz Untertürkheim Plant</t>
  </si>
  <si>
    <t>Stuttgart-Untertürkheim</t>
  </si>
  <si>
    <t>Salzgitter AG_Salzgitter Werk (Salzgitter steelworks)_DE91</t>
  </si>
  <si>
    <t>Salzgitter AG</t>
  </si>
  <si>
    <t>Salzgitter Werk (Salzgitter steelworks)</t>
  </si>
  <si>
    <t>Continental AG_Continental Automotive GmbH - Werk Regensburg_DE23</t>
  </si>
  <si>
    <t>Continental Automotive GmbH - Werk Regensburg</t>
  </si>
  <si>
    <t>Regensburg</t>
  </si>
  <si>
    <t>Audi AG_Audi Werk Ingolstadt_DE21</t>
  </si>
  <si>
    <t>Audi Werk Ingolstadt</t>
  </si>
  <si>
    <t>Ingolstadt</t>
  </si>
  <si>
    <t>Volkswagen Nutzfahrzeuge GmbH_Werk Hannover (Volkswagen Nutzfahrzeuge Werk Hannover)_DE92</t>
  </si>
  <si>
    <t>Werk Hannover (Volkswagen Nutzfahrzeuge Werk Hannover)</t>
  </si>
  <si>
    <t>Liebherr-Components Biberach GmbH_Liebherr-Components Biberach GmbH – Biberach plant_DE14</t>
  </si>
  <si>
    <t>Liebherr-Components Biberach GmbH</t>
  </si>
  <si>
    <t>Liebherr-Components Biberach GmbH – Biberach plant</t>
  </si>
  <si>
    <t>Biberach an der Riß</t>
  </si>
  <si>
    <t>HYDAC International GmbH_HYDAC - Sulzbach (production site)_DEC0</t>
  </si>
  <si>
    <t>HYDAC International GmbH</t>
  </si>
  <si>
    <t>HYDAC - Sulzbach (production site)</t>
  </si>
  <si>
    <t>Sulzbach/Saar</t>
  </si>
  <si>
    <t>ElringKlinger AG_Dettingen/Erms production site (ElringKlinger)_DE14</t>
  </si>
  <si>
    <t>Dettingen/Erms production site (ElringKlinger)</t>
  </si>
  <si>
    <t>Dettingen/Erms</t>
  </si>
  <si>
    <t>BMW AG_BMW Group Plant Regensburg_DE23</t>
  </si>
  <si>
    <t>BMW Group Plant Regensburg</t>
  </si>
  <si>
    <t>Webasto SE_Webasto SE - Gilching Plant_DE21</t>
  </si>
  <si>
    <t>Webasto SE</t>
  </si>
  <si>
    <t>Webasto SE - Gilching Plant</t>
  </si>
  <si>
    <t>Gilching</t>
  </si>
  <si>
    <t>ZF Friedrichshafen AG_ZF Friedrichshafen - Ravensburg Plant_DE14</t>
  </si>
  <si>
    <t>ZF Friedrichshafen - Ravensburg Plant</t>
  </si>
  <si>
    <t>Ravensburg</t>
  </si>
  <si>
    <t>Liebherr-Components Biberach GmbH_Liebherr-Components Biberach (Biberach an der Riß)_DE14</t>
  </si>
  <si>
    <t>Liebherr-Components Biberach (Biberach an der Riß)</t>
  </si>
  <si>
    <t>Dr. Ing. h.c. F. Porsche AG_Stuttgart‑Zuffenhausen Plant (Porschewerk Zuffenhausen)_DE11</t>
  </si>
  <si>
    <t>Dr. Ing. h.c. F. Porsche AG</t>
  </si>
  <si>
    <t>Stuttgart‑Zuffenhausen Plant (Porschewerk Zuffenhausen)</t>
  </si>
  <si>
    <t>Stuttgart (Zuffenhausen)</t>
  </si>
  <si>
    <t>MANN+HUMMEL GmbH_Ludwigsburg Plant_DE11</t>
  </si>
  <si>
    <t>Ludwigsburg Plant</t>
  </si>
  <si>
    <t>Ludwigsburg</t>
  </si>
  <si>
    <t>MANN+HUMMEL GmbH_MANN+HUMMEL Markgröningen Plant_DE11</t>
  </si>
  <si>
    <t>MANN+HUMMEL Markgröningen Plant</t>
  </si>
  <si>
    <t>Benteler_Benteler Automotive Bielefeld GmbH (Bielefeld Plant)_DEA4</t>
  </si>
  <si>
    <t>Benteler</t>
  </si>
  <si>
    <t>Benteler Automotive Bielefeld GmbH (Bielefeld Plant)</t>
  </si>
  <si>
    <t>Bielefeld</t>
  </si>
  <si>
    <t>DRÄXLMAIER Group_DRÄXLMAIER Vilsbiburg (Headquarters &amp; Production)_DE22</t>
  </si>
  <si>
    <t>DRÄXLMAIER Vilsbiburg (Headquarters &amp; Production)</t>
  </si>
  <si>
    <t>LEONI AG_LEONI Neumarkt Plant_DE23</t>
  </si>
  <si>
    <t>LEONI Neumarkt Plant</t>
  </si>
  <si>
    <t>Neumarkt in der Oberpfalz</t>
  </si>
  <si>
    <t>Phoenix Contact GmbH &amp; Co. KG_Blomberg (Hauptwerk)_DEA4</t>
  </si>
  <si>
    <t>Phoenix Contact GmbH &amp; Co. KG</t>
  </si>
  <si>
    <t>Blomberg (Hauptwerk)</t>
  </si>
  <si>
    <t>Blomberg</t>
  </si>
  <si>
    <t>Volkswagen AG_Volkswagen Werk Leipzig (Volkswagen Sachsen GmbH)_DED5</t>
  </si>
  <si>
    <t>Volkswagen Werk Leipzig (Volkswagen Sachsen GmbH)</t>
  </si>
  <si>
    <t>Mercedes-Benz Group AG_Mercedes‑AMG Affalterbach (AMG Performance Center)_DE11</t>
  </si>
  <si>
    <t>Mercedes‑AMG Affalterbach (AMG Performance Center)</t>
  </si>
  <si>
    <t>Affalterbach</t>
  </si>
  <si>
    <t>Tesla, Inc._Gigafactory Berlin-Brandenburg (Tesla Factory Grünheide)_DE40</t>
  </si>
  <si>
    <t>Tesla, Inc.</t>
  </si>
  <si>
    <t>Gigafactory Berlin-Brandenburg (Tesla Factory Grünheide)</t>
  </si>
  <si>
    <t>Grünheide (Mark)</t>
  </si>
  <si>
    <t>DE40</t>
  </si>
  <si>
    <t>Brandenburg</t>
  </si>
  <si>
    <t>Benteler_Benteler Paderborn (Benteler manufacturing plant)_DEA4</t>
  </si>
  <si>
    <t>Benteler Paderborn (Benteler manufacturing plant)</t>
  </si>
  <si>
    <t>Paderborn</t>
  </si>
  <si>
    <t>Webasto SE_Webasto SE - Stockdorf (Gauting) Plant_DE21</t>
  </si>
  <si>
    <t>Webasto SE - Stockdorf (Gauting) Plant</t>
  </si>
  <si>
    <t>Stockdorf (Gauting)</t>
  </si>
  <si>
    <t>Mercedes-Benz Group AG_Mercedes-AMG Affalterbach Plant_DE11</t>
  </si>
  <si>
    <t>Mercedes-AMG Affalterbach Plant</t>
  </si>
  <si>
    <t>Volkswagen AG_Werk Wolfsburg (Volkswagen Wolfsburg Plant)_DE91</t>
  </si>
  <si>
    <t>Werk Wolfsburg (Volkswagen Wolfsburg Plant)</t>
  </si>
  <si>
    <t>Salzgitter AG_Salzgitter Werk (Salzgitter Flachstahl GmbH)_DE91</t>
  </si>
  <si>
    <t>Salzgitter Werk (Salzgitter Flachstahl GmbH)</t>
  </si>
  <si>
    <t>Ford-Werke GmbH_Ford Köln-Niehl Plant_DEA2</t>
  </si>
  <si>
    <t>Ford Köln-Niehl Plant</t>
  </si>
  <si>
    <t>HELLA GmbH &amp; Co. KGaA_Lippstadt Plant_DEA5</t>
  </si>
  <si>
    <t>HELLA GmbH &amp; Co. KGaA</t>
  </si>
  <si>
    <t>Lippstadt Plant</t>
  </si>
  <si>
    <t>Lippstadt</t>
  </si>
  <si>
    <t>Mercedes‑Benz Group AG_Mercedes‑Benz Werk Gaggenau_DE12</t>
  </si>
  <si>
    <t>Mercedes‑Benz Werk Gaggenau</t>
  </si>
  <si>
    <t>Gaggenau</t>
  </si>
  <si>
    <t>Mercedes‑Benz Group AG_Mercedes‑Benz Werk Rastatt_DE12</t>
  </si>
  <si>
    <t>Mercedes‑Benz Werk Rastatt</t>
  </si>
  <si>
    <t>Volkswagen AG_Volkswagen Osnabrück GmbH_DE94</t>
  </si>
  <si>
    <t>thyssenkrupp AG_thyssenkrupp Steel Europe – Duisburg site_DEA1</t>
  </si>
  <si>
    <t>thyssenkrupp Steel Europe – Duisburg site</t>
  </si>
  <si>
    <t>ElringKlinger AG_ElringKlinger Dettingen/Erms_DE14</t>
  </si>
  <si>
    <t>ElringKlinger Dettingen/Erms</t>
  </si>
  <si>
    <t>Dettingen an der Erms</t>
  </si>
  <si>
    <t>KOSTAL (KOSTAL Gruppe)_KOSTAL GmbH &amp; Co. KG (Lüdenscheid plant)_DEA5</t>
  </si>
  <si>
    <t>KOSTAL GmbH &amp; Co. KG (Lüdenscheid plant)</t>
  </si>
  <si>
    <t>LEONI AG_LEONI Plant Rottenburg (Ergenzingen)_DE14</t>
  </si>
  <si>
    <t>LEONI Plant Rottenburg (Ergenzingen)</t>
  </si>
  <si>
    <t>Rottenburg am Neckar</t>
  </si>
  <si>
    <t>ArcelorMittal Germany_ArcelorMittal Duisburg (integrated steelworks)_DEA1</t>
  </si>
  <si>
    <t>ArcelorMittal Duisburg (integrated steelworks)</t>
  </si>
  <si>
    <t>Opel Automobile GmbH_Opel Rüsselsheim Plant_DE71</t>
  </si>
  <si>
    <t>Opel Automobile GmbH</t>
  </si>
  <si>
    <t>Opel Rüsselsheim Plant</t>
  </si>
  <si>
    <t>Rüsselsheim am Main</t>
  </si>
  <si>
    <t>DE71</t>
  </si>
  <si>
    <t>Darmstadt</t>
  </si>
  <si>
    <t>Leoni AG (Apolda / Thuringia operations)_Leoni Apolda Plant_DEG0</t>
  </si>
  <si>
    <t>Leoni AG (Apolda / Thuringia operations)</t>
  </si>
  <si>
    <t>Leoni Apolda Plant</t>
  </si>
  <si>
    <t>Apolda</t>
  </si>
  <si>
    <t>Volkswagen AG_Gläserne Manufaktur (Transparent Factory) Dresden_DED2</t>
  </si>
  <si>
    <t>Gläserne Manufaktur (Transparent Factory) Dresden</t>
  </si>
  <si>
    <t>HYDAC International GmbH_HYDAC International GmbH (Sulzbach/Saar) - Production Site_DEC0</t>
  </si>
  <si>
    <t>HYDAC International GmbH (Sulzbach/Saar) - Production Site</t>
  </si>
  <si>
    <t>Sulzbach (Saar)</t>
  </si>
  <si>
    <t>LEONI AG_LEONI Wiring Systems Regensburg_DE23</t>
  </si>
  <si>
    <t>LEONI Wiring Systems Regensburg</t>
  </si>
  <si>
    <t>BMW AG_BMW Group Plant Landshut_DE22</t>
  </si>
  <si>
    <t>BMW Group Plant Landshut</t>
  </si>
  <si>
    <t>Landshut</t>
  </si>
  <si>
    <t>Ford-Werke GmbH_Cologne-Niehl Plant (Ford Köln-Niehl)_DEA2</t>
  </si>
  <si>
    <t>Cologne-Niehl Plant (Ford Köln-Niehl)</t>
  </si>
  <si>
    <t>Fendt (AGCO)_Fendt Werk Marktoberdorf_DE27</t>
  </si>
  <si>
    <t>Fendt Werk Marktoberdorf</t>
  </si>
  <si>
    <t>Brose Fahrzeugteile GmbH &amp; Co. KG_Brose Coburg_DE24</t>
  </si>
  <si>
    <t>Brose Coburg</t>
  </si>
  <si>
    <t>Coburg</t>
  </si>
  <si>
    <t>Hirschvogel Automotive Group_Hirschvogel Umformtechnik Denkingen (Denkingen plant)_DE14</t>
  </si>
  <si>
    <t>Hirschvogel Automotive Group</t>
  </si>
  <si>
    <t>Hirschvogel Umformtechnik Denkingen (Denkingen plant)</t>
  </si>
  <si>
    <t>Denkingen</t>
  </si>
  <si>
    <t>Mercedes-Benz Group AG_Mercedes-Benz Sindelfingen Plant_DE11</t>
  </si>
  <si>
    <t>Mercedes-Benz Sindelfingen Plant</t>
  </si>
  <si>
    <t>Sindelfingen</t>
  </si>
  <si>
    <t>Dr. Ing. h.c. F. Porsche AG_Porsche Werk Stuttgart-Zuffenhausen (Engine / Powertrain plant)_DE11</t>
  </si>
  <si>
    <t>Porsche Werk Stuttgart-Zuffenhausen (Engine / Powertrain plant)</t>
  </si>
  <si>
    <t>Ford-Werke GmbH_Ford-Werke GmbH – Werk Saarlouis_DEC0</t>
  </si>
  <si>
    <t>Ford-Werke GmbH – Werk Saarlouis</t>
  </si>
  <si>
    <t>Robert Bosch GmbH_Bosch Werk Feuerbach (Stuttgart-Feuerbach)_DE11</t>
  </si>
  <si>
    <t>Bosch Werk Feuerbach (Stuttgart-Feuerbach)</t>
  </si>
  <si>
    <t>MANN+HUMMEL GmbH_MANN+HUMMEL Ludwigsburg Plant_DE11</t>
  </si>
  <si>
    <t>MANN+HUMMEL Ludwigsburg Plant</t>
  </si>
  <si>
    <t>Adam Opel GmbH (Opel Eisenach)_Opel Werk Eisenach (Eisenach Plant)_DEG0</t>
  </si>
  <si>
    <t>Adam Opel GmbH (Opel Eisenach)</t>
  </si>
  <si>
    <t>Opel Werk Eisenach (Eisenach Plant)</t>
  </si>
  <si>
    <t>Eisenach</t>
  </si>
  <si>
    <t>Webasto SE_Webasto SE - Stockdorf (Gilching) Plant_DE21</t>
  </si>
  <si>
    <t>Webasto SE - Stockdorf (Gilching) Plant</t>
  </si>
  <si>
    <t>Stockdorf (Gemeinde Gilching)</t>
  </si>
  <si>
    <t>Schaeffler AG_Schaeffler Werk Schweinfurt_DE26</t>
  </si>
  <si>
    <t>Schaeffler Werk Schweinfurt</t>
  </si>
  <si>
    <t>Schweinfurt</t>
  </si>
  <si>
    <t>DE26</t>
  </si>
  <si>
    <t>Unterfranken</t>
  </si>
  <si>
    <t>GlobalFoundries Inc._GlobalFoundries Dresden (Fab 1)_DED2</t>
  </si>
  <si>
    <t>GlobalFoundries Dresden (Fab 1)</t>
  </si>
  <si>
    <t>Bernard Krone Holding GmbH &amp; Co. KG_Fahrzeugwerk Bernard Krone (Spelle plant)_DE94</t>
  </si>
  <si>
    <t>Bernard Krone Holding GmbH &amp; Co. KG</t>
  </si>
  <si>
    <t>Fahrzeugwerk Bernard Krone (Spelle plant)</t>
  </si>
  <si>
    <t>Spelle</t>
  </si>
  <si>
    <t>Volkswagen AG_Porsche Werk Leipzig (Porsche Leipzig GmbH)_DED5</t>
  </si>
  <si>
    <t>Porsche Werk Leipzig (Porsche Leipzig GmbH)</t>
  </si>
  <si>
    <t>thyssenkrupp AG_tk elevator (thyssenkrupp Elevator) – Velbert plant_DEA1</t>
  </si>
  <si>
    <t>tk elevator (thyssenkrupp Elevator) – Velbert plant</t>
  </si>
  <si>
    <t>Velbert</t>
  </si>
  <si>
    <t>Kiekert AG_Heiligenhaus Plant_DEA1</t>
  </si>
  <si>
    <t>Kiekert AG</t>
  </si>
  <si>
    <t>Heiligenhaus Plant</t>
  </si>
  <si>
    <t>Heiligenhaus</t>
  </si>
  <si>
    <t>HELLA GmbH &amp; Co. KGaA_Lippstadt plant_DEA5</t>
  </si>
  <si>
    <t>Lippstadt plant</t>
  </si>
  <si>
    <t>component_idx</t>
  </si>
  <si>
    <t>category</t>
  </si>
  <si>
    <t>ice_ev_type</t>
  </si>
  <si>
    <t>confidence</t>
  </si>
  <si>
    <t>Vehicle Assembly</t>
  </si>
  <si>
    <t>Shared</t>
  </si>
  <si>
    <t>Body &amp; Structural Parts</t>
  </si>
  <si>
    <t>Powertrain Components</t>
  </si>
  <si>
    <t>ICE</t>
  </si>
  <si>
    <t>Chassis &amp; Suspension</t>
  </si>
  <si>
    <t>Interior Systems</t>
  </si>
  <si>
    <t>Electronics &amp; Control Units</t>
  </si>
  <si>
    <t>Electric Powertrain Components</t>
  </si>
  <si>
    <t>EV</t>
  </si>
  <si>
    <t>Battery Systems</t>
  </si>
  <si>
    <t>plant_count</t>
  </si>
  <si>
    <t>ice_plants</t>
  </si>
  <si>
    <t>ev_plants</t>
  </si>
  <si>
    <t>mixed_plants</t>
  </si>
  <si>
    <t>rd_expenditure_pct</t>
  </si>
  <si>
    <t>innovation_potential</t>
  </si>
  <si>
    <t>future_assets</t>
  </si>
  <si>
    <t>transition_score</t>
  </si>
  <si>
    <t>industrial_readiness</t>
  </si>
  <si>
    <t>ravi_raw</t>
  </si>
  <si>
    <t>NUTS2 Region</t>
  </si>
  <si>
    <t>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</si>
</sst>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Alignment="1">
      <alignment horizontal="center" vertical="top"/>
    </xf>
    <xf numFmtId="0" fontId="3" fillId="2" borderId="2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B99EE00D-1CE4-4884-BF7A-5A5A7782A4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5AFC-98F0-4F7B-8D66-95C71072E109}">
  <dimension ref="A1:K281"/>
  <sheetViews>
    <sheetView workbookViewId="0">
      <selection activeCell="B20" sqref="B20"/>
    </sheetView>
  </sheetViews>
  <sheetFormatPr defaultRowHeight="14.4" x14ac:dyDescent="0.3"/>
  <sheetData>
    <row r="1" spans="1:11" x14ac:dyDescent="0.3">
      <c r="A1" s="1" t="s">
        <v>454</v>
      </c>
      <c r="B1" s="1" t="s">
        <v>453</v>
      </c>
      <c r="C1" s="1" t="s">
        <v>428</v>
      </c>
      <c r="D1" s="1" t="s">
        <v>429</v>
      </c>
      <c r="E1" s="1" t="s">
        <v>430</v>
      </c>
      <c r="F1" s="1" t="s">
        <v>431</v>
      </c>
      <c r="J1" s="1" t="s">
        <v>428</v>
      </c>
      <c r="K1" s="1" t="s">
        <v>429</v>
      </c>
    </row>
    <row r="2" spans="1:11" x14ac:dyDescent="0.3">
      <c r="A2" t="s">
        <v>25</v>
      </c>
      <c r="B2" t="str">
        <f>RIGHT(A2,LEN(A2)-FIND("@",SUBSTITUTE(A2,"_","@",LEN(A2)-LEN(SUBSTITUTE(A2,"_","")))))</f>
        <v>DE94</v>
      </c>
      <c r="C2">
        <v>1</v>
      </c>
      <c r="D2" t="s">
        <v>432</v>
      </c>
      <c r="E2" t="s">
        <v>433</v>
      </c>
      <c r="F2" t="s">
        <v>48</v>
      </c>
      <c r="J2">
        <v>1</v>
      </c>
      <c r="K2" t="s">
        <v>432</v>
      </c>
    </row>
    <row r="3" spans="1:11" x14ac:dyDescent="0.3">
      <c r="A3" t="s">
        <v>25</v>
      </c>
      <c r="B3" t="str">
        <f t="shared" ref="B3:B66" si="0">RIGHT(A3,LEN(A3)-FIND("@",SUBSTITUTE(A3,"_","@",LEN(A3)-LEN(SUBSTITUTE(A3,"_","")))))</f>
        <v>DE94</v>
      </c>
      <c r="C3">
        <v>2</v>
      </c>
      <c r="D3" t="s">
        <v>434</v>
      </c>
      <c r="E3" t="s">
        <v>433</v>
      </c>
      <c r="F3" t="s">
        <v>31</v>
      </c>
      <c r="J3">
        <v>2</v>
      </c>
      <c r="K3" t="s">
        <v>434</v>
      </c>
    </row>
    <row r="4" spans="1:11" x14ac:dyDescent="0.3">
      <c r="A4" t="s">
        <v>34</v>
      </c>
      <c r="B4" t="str">
        <f t="shared" si="0"/>
        <v>DE21</v>
      </c>
      <c r="C4">
        <v>1</v>
      </c>
      <c r="D4" t="s">
        <v>435</v>
      </c>
      <c r="E4" t="s">
        <v>436</v>
      </c>
      <c r="F4" t="s">
        <v>48</v>
      </c>
      <c r="J4">
        <v>1</v>
      </c>
      <c r="K4" t="s">
        <v>435</v>
      </c>
    </row>
    <row r="5" spans="1:11" x14ac:dyDescent="0.3">
      <c r="A5" t="s">
        <v>42</v>
      </c>
      <c r="B5" t="str">
        <f t="shared" si="0"/>
        <v>DED4</v>
      </c>
      <c r="C5">
        <v>1</v>
      </c>
      <c r="D5" t="s">
        <v>432</v>
      </c>
      <c r="E5" t="s">
        <v>433</v>
      </c>
      <c r="F5" t="s">
        <v>48</v>
      </c>
      <c r="J5">
        <v>3</v>
      </c>
      <c r="K5" t="s">
        <v>437</v>
      </c>
    </row>
    <row r="6" spans="1:11" x14ac:dyDescent="0.3">
      <c r="A6" t="s">
        <v>42</v>
      </c>
      <c r="B6" t="str">
        <f t="shared" si="0"/>
        <v>DED4</v>
      </c>
      <c r="C6">
        <v>2</v>
      </c>
      <c r="D6" t="s">
        <v>434</v>
      </c>
      <c r="E6" t="s">
        <v>433</v>
      </c>
      <c r="F6" t="s">
        <v>48</v>
      </c>
      <c r="J6">
        <v>4</v>
      </c>
      <c r="K6" t="s">
        <v>438</v>
      </c>
    </row>
    <row r="7" spans="1:11" x14ac:dyDescent="0.3">
      <c r="A7" t="s">
        <v>42</v>
      </c>
      <c r="B7" t="str">
        <f t="shared" si="0"/>
        <v>DED4</v>
      </c>
      <c r="C7">
        <v>3</v>
      </c>
      <c r="D7" t="s">
        <v>437</v>
      </c>
      <c r="E7" t="s">
        <v>433</v>
      </c>
      <c r="F7" t="s">
        <v>48</v>
      </c>
      <c r="J7">
        <v>2</v>
      </c>
      <c r="K7" t="s">
        <v>437</v>
      </c>
    </row>
    <row r="8" spans="1:11" x14ac:dyDescent="0.3">
      <c r="A8" t="s">
        <v>42</v>
      </c>
      <c r="B8" t="str">
        <f t="shared" si="0"/>
        <v>DED4</v>
      </c>
      <c r="C8">
        <v>4</v>
      </c>
      <c r="D8" t="s">
        <v>438</v>
      </c>
      <c r="E8" t="s">
        <v>433</v>
      </c>
      <c r="F8" t="s">
        <v>31</v>
      </c>
      <c r="J8">
        <v>1</v>
      </c>
      <c r="K8" t="s">
        <v>437</v>
      </c>
    </row>
    <row r="9" spans="1:11" x14ac:dyDescent="0.3">
      <c r="A9" t="s">
        <v>50</v>
      </c>
      <c r="B9" t="str">
        <f t="shared" si="0"/>
        <v>DE91</v>
      </c>
      <c r="C9">
        <v>1</v>
      </c>
      <c r="D9" t="s">
        <v>435</v>
      </c>
      <c r="E9" t="s">
        <v>436</v>
      </c>
      <c r="F9" t="s">
        <v>48</v>
      </c>
      <c r="J9">
        <v>2</v>
      </c>
      <c r="K9" t="s">
        <v>439</v>
      </c>
    </row>
    <row r="10" spans="1:11" x14ac:dyDescent="0.3">
      <c r="A10" t="s">
        <v>56</v>
      </c>
      <c r="B10" t="str">
        <f t="shared" si="0"/>
        <v>DE12</v>
      </c>
      <c r="C10">
        <v>1</v>
      </c>
      <c r="D10" t="s">
        <v>435</v>
      </c>
      <c r="E10" t="s">
        <v>436</v>
      </c>
      <c r="F10" t="s">
        <v>31</v>
      </c>
      <c r="J10">
        <v>3</v>
      </c>
      <c r="K10" t="s">
        <v>438</v>
      </c>
    </row>
    <row r="11" spans="1:11" x14ac:dyDescent="0.3">
      <c r="A11" t="s">
        <v>56</v>
      </c>
      <c r="B11" t="str">
        <f t="shared" si="0"/>
        <v>DE12</v>
      </c>
      <c r="C11">
        <v>2</v>
      </c>
      <c r="D11" t="s">
        <v>437</v>
      </c>
      <c r="E11" t="s">
        <v>433</v>
      </c>
      <c r="F11" t="s">
        <v>31</v>
      </c>
      <c r="J11">
        <v>4</v>
      </c>
      <c r="K11" t="s">
        <v>439</v>
      </c>
    </row>
    <row r="12" spans="1:11" x14ac:dyDescent="0.3">
      <c r="A12" t="s">
        <v>62</v>
      </c>
      <c r="B12" t="str">
        <f t="shared" si="0"/>
        <v>DEG0</v>
      </c>
      <c r="C12">
        <v>1</v>
      </c>
      <c r="D12" t="s">
        <v>435</v>
      </c>
      <c r="E12" t="s">
        <v>436</v>
      </c>
      <c r="F12" t="s">
        <v>48</v>
      </c>
      <c r="J12">
        <v>4</v>
      </c>
      <c r="K12" t="s">
        <v>440</v>
      </c>
    </row>
    <row r="13" spans="1:11" x14ac:dyDescent="0.3">
      <c r="A13" t="s">
        <v>69</v>
      </c>
      <c r="B13" t="str">
        <f t="shared" si="0"/>
        <v>DE21</v>
      </c>
      <c r="C13">
        <v>1</v>
      </c>
      <c r="D13" t="s">
        <v>437</v>
      </c>
      <c r="E13" t="s">
        <v>433</v>
      </c>
      <c r="F13" t="s">
        <v>48</v>
      </c>
      <c r="J13">
        <v>1</v>
      </c>
      <c r="K13" t="s">
        <v>434</v>
      </c>
    </row>
    <row r="14" spans="1:11" x14ac:dyDescent="0.3">
      <c r="A14" t="s">
        <v>69</v>
      </c>
      <c r="B14" t="str">
        <f t="shared" si="0"/>
        <v>DE21</v>
      </c>
      <c r="C14">
        <v>2</v>
      </c>
      <c r="D14" t="s">
        <v>439</v>
      </c>
      <c r="E14" t="s">
        <v>433</v>
      </c>
      <c r="F14" t="s">
        <v>48</v>
      </c>
      <c r="J14">
        <v>3</v>
      </c>
      <c r="K14" t="s">
        <v>435</v>
      </c>
    </row>
    <row r="15" spans="1:11" x14ac:dyDescent="0.3">
      <c r="A15" t="s">
        <v>74</v>
      </c>
      <c r="B15" t="str">
        <f t="shared" si="0"/>
        <v>DE27</v>
      </c>
      <c r="C15">
        <v>1</v>
      </c>
      <c r="D15" t="s">
        <v>432</v>
      </c>
      <c r="E15" t="s">
        <v>433</v>
      </c>
      <c r="F15" t="s">
        <v>48</v>
      </c>
      <c r="J15">
        <v>1</v>
      </c>
      <c r="K15" t="s">
        <v>442</v>
      </c>
    </row>
    <row r="16" spans="1:11" x14ac:dyDescent="0.3">
      <c r="A16" t="s">
        <v>74</v>
      </c>
      <c r="B16" t="str">
        <f t="shared" si="0"/>
        <v>DE27</v>
      </c>
      <c r="C16">
        <v>2</v>
      </c>
      <c r="D16" t="s">
        <v>434</v>
      </c>
      <c r="E16" t="s">
        <v>433</v>
      </c>
      <c r="F16" t="s">
        <v>31</v>
      </c>
      <c r="J16">
        <v>2</v>
      </c>
      <c r="K16" t="s">
        <v>438</v>
      </c>
    </row>
    <row r="17" spans="1:11" x14ac:dyDescent="0.3">
      <c r="A17" t="s">
        <v>74</v>
      </c>
      <c r="B17" t="str">
        <f t="shared" si="0"/>
        <v>DE27</v>
      </c>
      <c r="C17">
        <v>3</v>
      </c>
      <c r="D17" t="s">
        <v>437</v>
      </c>
      <c r="E17" t="s">
        <v>433</v>
      </c>
      <c r="F17" t="s">
        <v>31</v>
      </c>
      <c r="J17">
        <v>3</v>
      </c>
      <c r="K17" t="s">
        <v>439</v>
      </c>
    </row>
    <row r="18" spans="1:11" x14ac:dyDescent="0.3">
      <c r="A18" t="s">
        <v>74</v>
      </c>
      <c r="B18" t="str">
        <f t="shared" si="0"/>
        <v>DE27</v>
      </c>
      <c r="C18">
        <v>4</v>
      </c>
      <c r="D18" t="s">
        <v>438</v>
      </c>
      <c r="E18" t="s">
        <v>433</v>
      </c>
      <c r="F18" t="s">
        <v>31</v>
      </c>
      <c r="J18">
        <v>3</v>
      </c>
      <c r="K18" t="s">
        <v>434</v>
      </c>
    </row>
    <row r="19" spans="1:11" x14ac:dyDescent="0.3">
      <c r="A19" t="s">
        <v>80</v>
      </c>
      <c r="B19" t="str">
        <f t="shared" si="0"/>
        <v>DE12</v>
      </c>
      <c r="C19">
        <v>1</v>
      </c>
      <c r="D19" t="s">
        <v>432</v>
      </c>
      <c r="E19" t="s">
        <v>433</v>
      </c>
      <c r="F19" t="s">
        <v>48</v>
      </c>
      <c r="J19">
        <v>2</v>
      </c>
      <c r="K19" t="s">
        <v>435</v>
      </c>
    </row>
    <row r="20" spans="1:11" x14ac:dyDescent="0.3">
      <c r="A20" t="s">
        <v>80</v>
      </c>
      <c r="B20" t="str">
        <f t="shared" si="0"/>
        <v>DE12</v>
      </c>
      <c r="C20">
        <v>2</v>
      </c>
      <c r="D20" t="s">
        <v>434</v>
      </c>
      <c r="E20" t="s">
        <v>433</v>
      </c>
      <c r="F20" t="s">
        <v>48</v>
      </c>
      <c r="J20">
        <v>4</v>
      </c>
      <c r="K20" t="s">
        <v>437</v>
      </c>
    </row>
    <row r="21" spans="1:11" x14ac:dyDescent="0.3">
      <c r="A21" t="s">
        <v>80</v>
      </c>
      <c r="B21" t="str">
        <f t="shared" si="0"/>
        <v>DE12</v>
      </c>
      <c r="C21">
        <v>3</v>
      </c>
      <c r="D21" t="s">
        <v>438</v>
      </c>
      <c r="E21" t="s">
        <v>433</v>
      </c>
      <c r="F21" t="s">
        <v>31</v>
      </c>
      <c r="J21">
        <v>1</v>
      </c>
      <c r="K21" t="s">
        <v>439</v>
      </c>
    </row>
    <row r="22" spans="1:11" x14ac:dyDescent="0.3">
      <c r="A22" t="s">
        <v>84</v>
      </c>
      <c r="B22" t="str">
        <f t="shared" si="0"/>
        <v>DE23</v>
      </c>
      <c r="C22">
        <v>1</v>
      </c>
      <c r="D22" t="s">
        <v>437</v>
      </c>
      <c r="E22" t="s">
        <v>433</v>
      </c>
      <c r="F22" t="s">
        <v>48</v>
      </c>
      <c r="J22">
        <v>2</v>
      </c>
      <c r="K22" t="s">
        <v>440</v>
      </c>
    </row>
    <row r="23" spans="1:11" x14ac:dyDescent="0.3">
      <c r="A23" t="s">
        <v>90</v>
      </c>
      <c r="B23" t="str">
        <f t="shared" si="0"/>
        <v>DE91</v>
      </c>
      <c r="C23">
        <v>1</v>
      </c>
      <c r="D23" t="s">
        <v>435</v>
      </c>
      <c r="E23" t="s">
        <v>436</v>
      </c>
      <c r="F23" t="s">
        <v>48</v>
      </c>
      <c r="J23">
        <v>1</v>
      </c>
      <c r="K23" t="s">
        <v>438</v>
      </c>
    </row>
    <row r="24" spans="1:11" x14ac:dyDescent="0.3">
      <c r="A24" t="s">
        <v>92</v>
      </c>
      <c r="B24" t="str">
        <f t="shared" si="0"/>
        <v>DE91</v>
      </c>
      <c r="C24">
        <v>1</v>
      </c>
      <c r="D24" t="s">
        <v>432</v>
      </c>
      <c r="E24" t="s">
        <v>433</v>
      </c>
      <c r="F24" t="s">
        <v>48</v>
      </c>
      <c r="J24">
        <v>3</v>
      </c>
      <c r="K24" t="s">
        <v>442</v>
      </c>
    </row>
    <row r="25" spans="1:11" x14ac:dyDescent="0.3">
      <c r="A25" t="s">
        <v>92</v>
      </c>
      <c r="B25" t="str">
        <f t="shared" si="0"/>
        <v>DE91</v>
      </c>
      <c r="C25">
        <v>2</v>
      </c>
      <c r="D25" t="s">
        <v>434</v>
      </c>
      <c r="E25" t="s">
        <v>433</v>
      </c>
      <c r="F25" t="s">
        <v>48</v>
      </c>
      <c r="J25">
        <v>3</v>
      </c>
      <c r="K25" t="s">
        <v>440</v>
      </c>
    </row>
    <row r="26" spans="1:11" x14ac:dyDescent="0.3">
      <c r="A26" t="s">
        <v>92</v>
      </c>
      <c r="B26" t="str">
        <f t="shared" si="0"/>
        <v>DE91</v>
      </c>
      <c r="C26">
        <v>3</v>
      </c>
      <c r="D26" t="s">
        <v>438</v>
      </c>
      <c r="E26" t="s">
        <v>433</v>
      </c>
      <c r="F26" t="s">
        <v>31</v>
      </c>
      <c r="J26">
        <v>4</v>
      </c>
      <c r="K26" t="s">
        <v>434</v>
      </c>
    </row>
    <row r="27" spans="1:11" x14ac:dyDescent="0.3">
      <c r="A27" t="s">
        <v>95</v>
      </c>
      <c r="B27" t="str">
        <f t="shared" si="0"/>
        <v>DE92</v>
      </c>
      <c r="C27">
        <v>1</v>
      </c>
      <c r="D27" t="s">
        <v>432</v>
      </c>
      <c r="E27" t="s">
        <v>433</v>
      </c>
      <c r="F27" t="s">
        <v>48</v>
      </c>
      <c r="J27">
        <v>3</v>
      </c>
      <c r="K27" t="s">
        <v>432</v>
      </c>
    </row>
    <row r="28" spans="1:11" x14ac:dyDescent="0.3">
      <c r="A28" t="s">
        <v>95</v>
      </c>
      <c r="B28" t="str">
        <f t="shared" si="0"/>
        <v>DE92</v>
      </c>
      <c r="C28">
        <v>2</v>
      </c>
      <c r="D28" t="s">
        <v>434</v>
      </c>
      <c r="E28" t="s">
        <v>433</v>
      </c>
      <c r="F28" t="s">
        <v>48</v>
      </c>
      <c r="J28">
        <v>1</v>
      </c>
      <c r="K28" t="s">
        <v>440</v>
      </c>
    </row>
    <row r="29" spans="1:11" x14ac:dyDescent="0.3">
      <c r="A29" t="s">
        <v>95</v>
      </c>
      <c r="B29" t="str">
        <f t="shared" si="0"/>
        <v>DE92</v>
      </c>
      <c r="C29">
        <v>3</v>
      </c>
      <c r="D29" t="s">
        <v>438</v>
      </c>
      <c r="E29" t="s">
        <v>433</v>
      </c>
      <c r="F29" t="s">
        <v>31</v>
      </c>
    </row>
    <row r="30" spans="1:11" x14ac:dyDescent="0.3">
      <c r="A30" t="s">
        <v>95</v>
      </c>
      <c r="B30" t="str">
        <f t="shared" si="0"/>
        <v>DE92</v>
      </c>
      <c r="C30">
        <v>4</v>
      </c>
      <c r="D30" t="s">
        <v>439</v>
      </c>
      <c r="E30" t="s">
        <v>433</v>
      </c>
      <c r="F30" t="s">
        <v>31</v>
      </c>
    </row>
    <row r="31" spans="1:11" x14ac:dyDescent="0.3">
      <c r="A31" t="s">
        <v>100</v>
      </c>
      <c r="B31" t="str">
        <f t="shared" si="0"/>
        <v>DE94</v>
      </c>
      <c r="C31">
        <v>1</v>
      </c>
      <c r="D31" t="s">
        <v>432</v>
      </c>
      <c r="E31" t="s">
        <v>433</v>
      </c>
      <c r="F31" t="s">
        <v>48</v>
      </c>
    </row>
    <row r="32" spans="1:11" x14ac:dyDescent="0.3">
      <c r="A32" t="s">
        <v>100</v>
      </c>
      <c r="B32" t="str">
        <f t="shared" si="0"/>
        <v>DE94</v>
      </c>
      <c r="C32">
        <v>2</v>
      </c>
      <c r="D32" t="s">
        <v>434</v>
      </c>
      <c r="E32" t="s">
        <v>433</v>
      </c>
      <c r="F32" t="s">
        <v>48</v>
      </c>
    </row>
    <row r="33" spans="1:6" x14ac:dyDescent="0.3">
      <c r="A33" t="s">
        <v>104</v>
      </c>
      <c r="B33" t="str">
        <f t="shared" si="0"/>
        <v>DE22</v>
      </c>
      <c r="C33">
        <v>1</v>
      </c>
      <c r="D33" t="s">
        <v>432</v>
      </c>
      <c r="E33" t="s">
        <v>433</v>
      </c>
      <c r="F33" t="s">
        <v>48</v>
      </c>
    </row>
    <row r="34" spans="1:6" x14ac:dyDescent="0.3">
      <c r="A34" t="s">
        <v>104</v>
      </c>
      <c r="B34" t="str">
        <f t="shared" si="0"/>
        <v>DE22</v>
      </c>
      <c r="C34">
        <v>2</v>
      </c>
      <c r="D34" t="s">
        <v>434</v>
      </c>
      <c r="E34" t="s">
        <v>433</v>
      </c>
      <c r="F34" t="s">
        <v>48</v>
      </c>
    </row>
    <row r="35" spans="1:6" x14ac:dyDescent="0.3">
      <c r="A35" t="s">
        <v>104</v>
      </c>
      <c r="B35" t="str">
        <f t="shared" si="0"/>
        <v>DE22</v>
      </c>
      <c r="C35">
        <v>3</v>
      </c>
      <c r="D35" t="s">
        <v>437</v>
      </c>
      <c r="E35" t="s">
        <v>433</v>
      </c>
      <c r="F35" t="s">
        <v>31</v>
      </c>
    </row>
    <row r="36" spans="1:6" x14ac:dyDescent="0.3">
      <c r="A36" t="s">
        <v>104</v>
      </c>
      <c r="B36" t="str">
        <f t="shared" si="0"/>
        <v>DE22</v>
      </c>
      <c r="C36">
        <v>4</v>
      </c>
      <c r="D36" t="s">
        <v>440</v>
      </c>
      <c r="E36" t="s">
        <v>441</v>
      </c>
      <c r="F36" t="s">
        <v>31</v>
      </c>
    </row>
    <row r="37" spans="1:6" x14ac:dyDescent="0.3">
      <c r="A37" t="s">
        <v>110</v>
      </c>
      <c r="B37" t="str">
        <f t="shared" si="0"/>
        <v>DEA2</v>
      </c>
      <c r="C37">
        <v>1</v>
      </c>
      <c r="D37" t="s">
        <v>435</v>
      </c>
      <c r="E37" t="s">
        <v>436</v>
      </c>
      <c r="F37" t="s">
        <v>48</v>
      </c>
    </row>
    <row r="38" spans="1:6" x14ac:dyDescent="0.3">
      <c r="A38" t="s">
        <v>115</v>
      </c>
      <c r="B38" t="str">
        <f t="shared" si="0"/>
        <v>DEA1</v>
      </c>
      <c r="C38">
        <v>1</v>
      </c>
      <c r="D38" t="s">
        <v>434</v>
      </c>
      <c r="E38" t="s">
        <v>433</v>
      </c>
      <c r="F38" t="s">
        <v>48</v>
      </c>
    </row>
    <row r="39" spans="1:6" x14ac:dyDescent="0.3">
      <c r="A39" t="s">
        <v>121</v>
      </c>
      <c r="B39" t="str">
        <f t="shared" si="0"/>
        <v>DEC0</v>
      </c>
      <c r="C39">
        <v>1</v>
      </c>
      <c r="D39" t="s">
        <v>437</v>
      </c>
      <c r="E39" t="s">
        <v>433</v>
      </c>
      <c r="F39" t="s">
        <v>48</v>
      </c>
    </row>
    <row r="40" spans="1:6" x14ac:dyDescent="0.3">
      <c r="A40" t="s">
        <v>121</v>
      </c>
      <c r="B40" t="str">
        <f t="shared" si="0"/>
        <v>DEC0</v>
      </c>
      <c r="C40">
        <v>2</v>
      </c>
      <c r="D40" t="s">
        <v>434</v>
      </c>
      <c r="E40" t="s">
        <v>433</v>
      </c>
      <c r="F40" t="s">
        <v>31</v>
      </c>
    </row>
    <row r="41" spans="1:6" x14ac:dyDescent="0.3">
      <c r="A41" t="s">
        <v>121</v>
      </c>
      <c r="B41" t="str">
        <f t="shared" si="0"/>
        <v>DEC0</v>
      </c>
      <c r="C41">
        <v>3</v>
      </c>
      <c r="D41" t="s">
        <v>435</v>
      </c>
      <c r="E41" t="s">
        <v>433</v>
      </c>
      <c r="F41" t="s">
        <v>31</v>
      </c>
    </row>
    <row r="42" spans="1:6" x14ac:dyDescent="0.3">
      <c r="A42" t="s">
        <v>127</v>
      </c>
      <c r="B42" t="str">
        <f t="shared" si="0"/>
        <v>DE22</v>
      </c>
      <c r="C42">
        <v>1</v>
      </c>
      <c r="D42" t="s">
        <v>442</v>
      </c>
      <c r="E42" t="s">
        <v>441</v>
      </c>
      <c r="F42" t="s">
        <v>48</v>
      </c>
    </row>
    <row r="43" spans="1:6" x14ac:dyDescent="0.3">
      <c r="A43" t="s">
        <v>127</v>
      </c>
      <c r="B43" t="str">
        <f t="shared" si="0"/>
        <v>DE22</v>
      </c>
      <c r="C43">
        <v>2</v>
      </c>
      <c r="D43" t="s">
        <v>438</v>
      </c>
      <c r="E43" t="s">
        <v>433</v>
      </c>
      <c r="F43" t="s">
        <v>48</v>
      </c>
    </row>
    <row r="44" spans="1:6" x14ac:dyDescent="0.3">
      <c r="A44" t="s">
        <v>127</v>
      </c>
      <c r="B44" t="str">
        <f t="shared" si="0"/>
        <v>DE22</v>
      </c>
      <c r="C44">
        <v>3</v>
      </c>
      <c r="D44" t="s">
        <v>439</v>
      </c>
      <c r="E44" t="s">
        <v>433</v>
      </c>
      <c r="F44" t="s">
        <v>31</v>
      </c>
    </row>
    <row r="45" spans="1:6" x14ac:dyDescent="0.3">
      <c r="A45" t="s">
        <v>131</v>
      </c>
      <c r="B45" t="str">
        <f t="shared" si="0"/>
        <v>DE11</v>
      </c>
      <c r="C45">
        <v>1</v>
      </c>
      <c r="D45" t="s">
        <v>435</v>
      </c>
      <c r="E45" t="s">
        <v>436</v>
      </c>
      <c r="F45" t="s">
        <v>48</v>
      </c>
    </row>
    <row r="46" spans="1:6" x14ac:dyDescent="0.3">
      <c r="A46" t="s">
        <v>131</v>
      </c>
      <c r="B46" t="str">
        <f t="shared" si="0"/>
        <v>DE11</v>
      </c>
      <c r="C46">
        <v>2</v>
      </c>
      <c r="D46" t="s">
        <v>438</v>
      </c>
      <c r="E46" t="s">
        <v>433</v>
      </c>
      <c r="F46" t="s">
        <v>48</v>
      </c>
    </row>
    <row r="47" spans="1:6" x14ac:dyDescent="0.3">
      <c r="A47" t="s">
        <v>131</v>
      </c>
      <c r="B47" t="str">
        <f t="shared" si="0"/>
        <v>DE11</v>
      </c>
      <c r="C47">
        <v>3</v>
      </c>
      <c r="D47" t="s">
        <v>434</v>
      </c>
      <c r="E47" t="s">
        <v>433</v>
      </c>
      <c r="F47" t="s">
        <v>31</v>
      </c>
    </row>
    <row r="48" spans="1:6" x14ac:dyDescent="0.3">
      <c r="A48" t="s">
        <v>137</v>
      </c>
      <c r="B48" t="str">
        <f t="shared" si="0"/>
        <v>DEA5</v>
      </c>
      <c r="C48">
        <v>1</v>
      </c>
      <c r="D48" t="s">
        <v>437</v>
      </c>
      <c r="E48" t="s">
        <v>433</v>
      </c>
      <c r="F48" t="s">
        <v>48</v>
      </c>
    </row>
    <row r="49" spans="1:6" x14ac:dyDescent="0.3">
      <c r="A49" t="s">
        <v>137</v>
      </c>
      <c r="B49" t="str">
        <f t="shared" si="0"/>
        <v>DEA5</v>
      </c>
      <c r="C49">
        <v>2</v>
      </c>
      <c r="D49" t="s">
        <v>434</v>
      </c>
      <c r="E49" t="s">
        <v>433</v>
      </c>
      <c r="F49" t="s">
        <v>31</v>
      </c>
    </row>
    <row r="50" spans="1:6" x14ac:dyDescent="0.3">
      <c r="A50" t="s">
        <v>143</v>
      </c>
      <c r="B50" t="str">
        <f t="shared" si="0"/>
        <v>DEC0</v>
      </c>
      <c r="C50">
        <v>1</v>
      </c>
      <c r="D50" t="s">
        <v>432</v>
      </c>
      <c r="E50" t="s">
        <v>433</v>
      </c>
      <c r="F50" t="s">
        <v>48</v>
      </c>
    </row>
    <row r="51" spans="1:6" x14ac:dyDescent="0.3">
      <c r="A51" t="s">
        <v>143</v>
      </c>
      <c r="B51" t="str">
        <f t="shared" si="0"/>
        <v>DEC0</v>
      </c>
      <c r="C51">
        <v>2</v>
      </c>
      <c r="D51" t="s">
        <v>434</v>
      </c>
      <c r="E51" t="s">
        <v>433</v>
      </c>
      <c r="F51" t="s">
        <v>31</v>
      </c>
    </row>
    <row r="52" spans="1:6" x14ac:dyDescent="0.3">
      <c r="A52" t="s">
        <v>146</v>
      </c>
      <c r="B52" t="str">
        <f t="shared" si="0"/>
        <v>DEA1</v>
      </c>
      <c r="C52">
        <v>1</v>
      </c>
      <c r="D52" t="s">
        <v>434</v>
      </c>
      <c r="E52" t="s">
        <v>433</v>
      </c>
      <c r="F52" t="s">
        <v>48</v>
      </c>
    </row>
    <row r="53" spans="1:6" x14ac:dyDescent="0.3">
      <c r="A53" t="s">
        <v>146</v>
      </c>
      <c r="B53" t="str">
        <f t="shared" si="0"/>
        <v>DEA1</v>
      </c>
      <c r="C53">
        <v>2</v>
      </c>
      <c r="D53" t="s">
        <v>435</v>
      </c>
      <c r="E53" t="s">
        <v>436</v>
      </c>
      <c r="F53" t="s">
        <v>31</v>
      </c>
    </row>
    <row r="54" spans="1:6" x14ac:dyDescent="0.3">
      <c r="A54" t="s">
        <v>146</v>
      </c>
      <c r="B54" t="str">
        <f t="shared" si="0"/>
        <v>DEA1</v>
      </c>
      <c r="C54">
        <v>3</v>
      </c>
      <c r="D54" t="s">
        <v>438</v>
      </c>
      <c r="E54" t="s">
        <v>433</v>
      </c>
      <c r="F54" t="s">
        <v>31</v>
      </c>
    </row>
    <row r="55" spans="1:6" x14ac:dyDescent="0.3">
      <c r="A55" t="s">
        <v>150</v>
      </c>
      <c r="B55" t="str">
        <f t="shared" si="0"/>
        <v>DE11</v>
      </c>
      <c r="C55">
        <v>1</v>
      </c>
      <c r="D55" t="s">
        <v>435</v>
      </c>
      <c r="E55" t="s">
        <v>436</v>
      </c>
      <c r="F55" t="s">
        <v>31</v>
      </c>
    </row>
    <row r="56" spans="1:6" x14ac:dyDescent="0.3">
      <c r="A56" t="s">
        <v>150</v>
      </c>
      <c r="B56" t="str">
        <f t="shared" si="0"/>
        <v>DE11</v>
      </c>
      <c r="C56">
        <v>2</v>
      </c>
      <c r="D56" t="s">
        <v>438</v>
      </c>
      <c r="E56" t="s">
        <v>433</v>
      </c>
      <c r="F56" t="s">
        <v>31</v>
      </c>
    </row>
    <row r="57" spans="1:6" x14ac:dyDescent="0.3">
      <c r="A57" t="s">
        <v>150</v>
      </c>
      <c r="B57" t="str">
        <f t="shared" si="0"/>
        <v>DE11</v>
      </c>
      <c r="C57">
        <v>3</v>
      </c>
      <c r="D57" t="s">
        <v>434</v>
      </c>
      <c r="E57" t="s">
        <v>433</v>
      </c>
      <c r="F57" t="s">
        <v>73</v>
      </c>
    </row>
    <row r="58" spans="1:6" x14ac:dyDescent="0.3">
      <c r="A58" t="s">
        <v>153</v>
      </c>
      <c r="B58" t="str">
        <f t="shared" si="0"/>
        <v>DEA4</v>
      </c>
      <c r="C58">
        <v>1</v>
      </c>
      <c r="D58" t="s">
        <v>432</v>
      </c>
      <c r="E58" t="s">
        <v>433</v>
      </c>
      <c r="F58" t="s">
        <v>48</v>
      </c>
    </row>
    <row r="59" spans="1:6" x14ac:dyDescent="0.3">
      <c r="A59" t="s">
        <v>153</v>
      </c>
      <c r="B59" t="str">
        <f t="shared" si="0"/>
        <v>DEA4</v>
      </c>
      <c r="C59">
        <v>2</v>
      </c>
      <c r="D59" t="s">
        <v>434</v>
      </c>
      <c r="E59" t="s">
        <v>433</v>
      </c>
      <c r="F59" t="s">
        <v>48</v>
      </c>
    </row>
    <row r="60" spans="1:6" x14ac:dyDescent="0.3">
      <c r="A60" t="s">
        <v>153</v>
      </c>
      <c r="B60" t="str">
        <f t="shared" si="0"/>
        <v>DEA4</v>
      </c>
      <c r="C60">
        <v>3</v>
      </c>
      <c r="D60" t="s">
        <v>438</v>
      </c>
      <c r="E60" t="s">
        <v>433</v>
      </c>
      <c r="F60" t="s">
        <v>31</v>
      </c>
    </row>
    <row r="61" spans="1:6" x14ac:dyDescent="0.3">
      <c r="A61" t="s">
        <v>153</v>
      </c>
      <c r="B61" t="str">
        <f t="shared" si="0"/>
        <v>DEA4</v>
      </c>
      <c r="C61">
        <v>4</v>
      </c>
      <c r="D61" t="s">
        <v>437</v>
      </c>
      <c r="E61" t="s">
        <v>433</v>
      </c>
      <c r="F61" t="s">
        <v>31</v>
      </c>
    </row>
    <row r="62" spans="1:6" x14ac:dyDescent="0.3">
      <c r="A62" t="s">
        <v>159</v>
      </c>
      <c r="B62" t="str">
        <f t="shared" si="0"/>
        <v>DED2</v>
      </c>
      <c r="C62">
        <v>1</v>
      </c>
      <c r="D62" t="s">
        <v>439</v>
      </c>
      <c r="E62" t="s">
        <v>433</v>
      </c>
      <c r="F62" t="s">
        <v>48</v>
      </c>
    </row>
    <row r="63" spans="1:6" x14ac:dyDescent="0.3">
      <c r="A63" t="s">
        <v>164</v>
      </c>
      <c r="B63" t="str">
        <f t="shared" si="0"/>
        <v>DE14</v>
      </c>
      <c r="C63">
        <v>1</v>
      </c>
      <c r="D63" t="s">
        <v>439</v>
      </c>
      <c r="E63" t="s">
        <v>433</v>
      </c>
      <c r="F63" t="s">
        <v>48</v>
      </c>
    </row>
    <row r="64" spans="1:6" x14ac:dyDescent="0.3">
      <c r="A64" t="s">
        <v>164</v>
      </c>
      <c r="B64" t="str">
        <f t="shared" si="0"/>
        <v>DE14</v>
      </c>
      <c r="C64">
        <v>2</v>
      </c>
      <c r="D64" t="s">
        <v>440</v>
      </c>
      <c r="E64" t="s">
        <v>441</v>
      </c>
      <c r="F64" t="s">
        <v>31</v>
      </c>
    </row>
    <row r="65" spans="1:6" x14ac:dyDescent="0.3">
      <c r="A65" t="s">
        <v>164</v>
      </c>
      <c r="B65" t="str">
        <f t="shared" si="0"/>
        <v>DE14</v>
      </c>
      <c r="C65">
        <v>3</v>
      </c>
      <c r="D65" t="s">
        <v>438</v>
      </c>
      <c r="E65" t="s">
        <v>433</v>
      </c>
      <c r="F65" t="s">
        <v>31</v>
      </c>
    </row>
    <row r="66" spans="1:6" x14ac:dyDescent="0.3">
      <c r="A66" t="s">
        <v>170</v>
      </c>
      <c r="B66" t="str">
        <f t="shared" si="0"/>
        <v>DE21</v>
      </c>
      <c r="C66">
        <v>1</v>
      </c>
      <c r="D66" t="s">
        <v>432</v>
      </c>
      <c r="E66" t="s">
        <v>433</v>
      </c>
      <c r="F66" t="s">
        <v>48</v>
      </c>
    </row>
    <row r="67" spans="1:6" x14ac:dyDescent="0.3">
      <c r="A67" t="s">
        <v>170</v>
      </c>
      <c r="B67" t="str">
        <f t="shared" ref="B67:B130" si="1">RIGHT(A67,LEN(A67)-FIND("@",SUBSTITUTE(A67,"_","@",LEN(A67)-LEN(SUBSTITUTE(A67,"_","")))))</f>
        <v>DE21</v>
      </c>
      <c r="C67">
        <v>2</v>
      </c>
      <c r="D67" t="s">
        <v>434</v>
      </c>
      <c r="E67" t="s">
        <v>433</v>
      </c>
      <c r="F67" t="s">
        <v>48</v>
      </c>
    </row>
    <row r="68" spans="1:6" x14ac:dyDescent="0.3">
      <c r="A68" t="s">
        <v>170</v>
      </c>
      <c r="B68" t="str">
        <f t="shared" si="1"/>
        <v>DE21</v>
      </c>
      <c r="C68">
        <v>3</v>
      </c>
      <c r="D68" t="s">
        <v>435</v>
      </c>
      <c r="E68" t="s">
        <v>436</v>
      </c>
      <c r="F68" t="s">
        <v>31</v>
      </c>
    </row>
    <row r="69" spans="1:6" x14ac:dyDescent="0.3">
      <c r="A69" t="s">
        <v>173</v>
      </c>
      <c r="B69" t="str">
        <f t="shared" si="1"/>
        <v>DEA5</v>
      </c>
      <c r="C69">
        <v>1</v>
      </c>
      <c r="D69" t="s">
        <v>437</v>
      </c>
      <c r="E69" t="s">
        <v>433</v>
      </c>
      <c r="F69" t="s">
        <v>48</v>
      </c>
    </row>
    <row r="70" spans="1:6" x14ac:dyDescent="0.3">
      <c r="A70" t="s">
        <v>173</v>
      </c>
      <c r="B70" t="str">
        <f t="shared" si="1"/>
        <v>DEA5</v>
      </c>
      <c r="C70">
        <v>2</v>
      </c>
      <c r="D70" t="s">
        <v>434</v>
      </c>
      <c r="E70" t="s">
        <v>433</v>
      </c>
      <c r="F70" t="s">
        <v>31</v>
      </c>
    </row>
    <row r="71" spans="1:6" x14ac:dyDescent="0.3">
      <c r="A71" t="s">
        <v>175</v>
      </c>
      <c r="B71" t="str">
        <f t="shared" si="1"/>
        <v>DE11</v>
      </c>
      <c r="C71">
        <v>1</v>
      </c>
      <c r="D71" t="s">
        <v>435</v>
      </c>
      <c r="E71" t="s">
        <v>436</v>
      </c>
      <c r="F71" t="s">
        <v>48</v>
      </c>
    </row>
    <row r="72" spans="1:6" x14ac:dyDescent="0.3">
      <c r="A72" t="s">
        <v>175</v>
      </c>
      <c r="B72" t="str">
        <f t="shared" si="1"/>
        <v>DE11</v>
      </c>
      <c r="C72">
        <v>2</v>
      </c>
      <c r="D72" t="s">
        <v>440</v>
      </c>
      <c r="E72" t="s">
        <v>441</v>
      </c>
      <c r="F72" t="s">
        <v>31</v>
      </c>
    </row>
    <row r="73" spans="1:6" x14ac:dyDescent="0.3">
      <c r="A73" t="s">
        <v>175</v>
      </c>
      <c r="B73" t="str">
        <f t="shared" si="1"/>
        <v>DE11</v>
      </c>
      <c r="C73">
        <v>3</v>
      </c>
      <c r="D73" t="s">
        <v>439</v>
      </c>
      <c r="E73" t="s">
        <v>433</v>
      </c>
      <c r="F73" t="s">
        <v>31</v>
      </c>
    </row>
    <row r="74" spans="1:6" x14ac:dyDescent="0.3">
      <c r="A74" t="s">
        <v>178</v>
      </c>
      <c r="B74" t="str">
        <f t="shared" si="1"/>
        <v>DE27</v>
      </c>
      <c r="C74">
        <v>1</v>
      </c>
      <c r="D74" t="s">
        <v>439</v>
      </c>
      <c r="E74" t="s">
        <v>433</v>
      </c>
      <c r="F74" t="s">
        <v>48</v>
      </c>
    </row>
    <row r="75" spans="1:6" x14ac:dyDescent="0.3">
      <c r="A75" t="s">
        <v>178</v>
      </c>
      <c r="B75" t="str">
        <f t="shared" si="1"/>
        <v>DE27</v>
      </c>
      <c r="C75">
        <v>2</v>
      </c>
      <c r="D75" t="s">
        <v>440</v>
      </c>
      <c r="E75" t="s">
        <v>441</v>
      </c>
      <c r="F75" t="s">
        <v>31</v>
      </c>
    </row>
    <row r="76" spans="1:6" x14ac:dyDescent="0.3">
      <c r="A76" t="s">
        <v>178</v>
      </c>
      <c r="B76" t="str">
        <f t="shared" si="1"/>
        <v>DE27</v>
      </c>
      <c r="C76">
        <v>3</v>
      </c>
      <c r="D76" t="s">
        <v>434</v>
      </c>
      <c r="E76" t="s">
        <v>433</v>
      </c>
      <c r="F76" t="s">
        <v>31</v>
      </c>
    </row>
    <row r="77" spans="1:6" x14ac:dyDescent="0.3">
      <c r="A77" t="s">
        <v>182</v>
      </c>
      <c r="B77" t="str">
        <f t="shared" si="1"/>
        <v>DE25</v>
      </c>
      <c r="C77">
        <v>1</v>
      </c>
      <c r="D77" t="s">
        <v>435</v>
      </c>
      <c r="E77" t="s">
        <v>433</v>
      </c>
      <c r="F77" t="s">
        <v>48</v>
      </c>
    </row>
    <row r="78" spans="1:6" x14ac:dyDescent="0.3">
      <c r="A78" t="s">
        <v>182</v>
      </c>
      <c r="B78" t="str">
        <f t="shared" si="1"/>
        <v>DE25</v>
      </c>
      <c r="C78">
        <v>2</v>
      </c>
      <c r="D78" t="s">
        <v>437</v>
      </c>
      <c r="E78" t="s">
        <v>433</v>
      </c>
      <c r="F78" t="s">
        <v>31</v>
      </c>
    </row>
    <row r="79" spans="1:6" x14ac:dyDescent="0.3">
      <c r="A79" t="s">
        <v>182</v>
      </c>
      <c r="B79" t="str">
        <f t="shared" si="1"/>
        <v>DE25</v>
      </c>
      <c r="C79">
        <v>3</v>
      </c>
      <c r="D79" t="s">
        <v>439</v>
      </c>
      <c r="E79" t="s">
        <v>433</v>
      </c>
      <c r="F79" t="s">
        <v>31</v>
      </c>
    </row>
    <row r="80" spans="1:6" x14ac:dyDescent="0.3">
      <c r="A80" t="s">
        <v>188</v>
      </c>
      <c r="B80" t="str">
        <f t="shared" si="1"/>
        <v>DED5</v>
      </c>
      <c r="C80">
        <v>1</v>
      </c>
      <c r="D80" t="s">
        <v>432</v>
      </c>
      <c r="E80" t="s">
        <v>433</v>
      </c>
      <c r="F80" t="s">
        <v>48</v>
      </c>
    </row>
    <row r="81" spans="1:6" x14ac:dyDescent="0.3">
      <c r="A81" t="s">
        <v>188</v>
      </c>
      <c r="B81" t="str">
        <f t="shared" si="1"/>
        <v>DED5</v>
      </c>
      <c r="C81">
        <v>2</v>
      </c>
      <c r="D81" t="s">
        <v>434</v>
      </c>
      <c r="E81" t="s">
        <v>433</v>
      </c>
      <c r="F81" t="s">
        <v>48</v>
      </c>
    </row>
    <row r="82" spans="1:6" x14ac:dyDescent="0.3">
      <c r="A82" t="s">
        <v>192</v>
      </c>
      <c r="B82" t="str">
        <f t="shared" si="1"/>
        <v>DE22</v>
      </c>
      <c r="C82">
        <v>1</v>
      </c>
      <c r="D82" t="s">
        <v>438</v>
      </c>
      <c r="E82" t="s">
        <v>433</v>
      </c>
      <c r="F82" t="s">
        <v>48</v>
      </c>
    </row>
    <row r="83" spans="1:6" x14ac:dyDescent="0.3">
      <c r="A83" t="s">
        <v>192</v>
      </c>
      <c r="B83" t="str">
        <f t="shared" si="1"/>
        <v>DE22</v>
      </c>
      <c r="C83">
        <v>2</v>
      </c>
      <c r="D83" t="s">
        <v>439</v>
      </c>
      <c r="E83" t="s">
        <v>433</v>
      </c>
      <c r="F83" t="s">
        <v>31</v>
      </c>
    </row>
    <row r="84" spans="1:6" x14ac:dyDescent="0.3">
      <c r="A84" t="s">
        <v>192</v>
      </c>
      <c r="B84" t="str">
        <f t="shared" si="1"/>
        <v>DE22</v>
      </c>
      <c r="C84">
        <v>3</v>
      </c>
      <c r="D84" t="s">
        <v>442</v>
      </c>
      <c r="E84" t="s">
        <v>441</v>
      </c>
      <c r="F84" t="s">
        <v>31</v>
      </c>
    </row>
    <row r="85" spans="1:6" x14ac:dyDescent="0.3">
      <c r="A85" t="s">
        <v>195</v>
      </c>
      <c r="B85" t="str">
        <f t="shared" si="1"/>
        <v>DE73</v>
      </c>
      <c r="C85">
        <v>1</v>
      </c>
      <c r="D85" t="s">
        <v>435</v>
      </c>
      <c r="E85" t="s">
        <v>436</v>
      </c>
      <c r="F85" t="s">
        <v>48</v>
      </c>
    </row>
    <row r="86" spans="1:6" x14ac:dyDescent="0.3">
      <c r="A86" t="s">
        <v>195</v>
      </c>
      <c r="B86" t="str">
        <f t="shared" si="1"/>
        <v>DE73</v>
      </c>
      <c r="C86">
        <v>2</v>
      </c>
      <c r="D86" t="s">
        <v>440</v>
      </c>
      <c r="E86" t="s">
        <v>441</v>
      </c>
      <c r="F86" t="s">
        <v>31</v>
      </c>
    </row>
    <row r="87" spans="1:6" x14ac:dyDescent="0.3">
      <c r="A87" t="s">
        <v>195</v>
      </c>
      <c r="B87" t="str">
        <f t="shared" si="1"/>
        <v>DE73</v>
      </c>
      <c r="C87">
        <v>3</v>
      </c>
      <c r="D87" t="s">
        <v>437</v>
      </c>
      <c r="E87" t="s">
        <v>433</v>
      </c>
      <c r="F87" t="s">
        <v>31</v>
      </c>
    </row>
    <row r="88" spans="1:6" x14ac:dyDescent="0.3">
      <c r="A88" t="s">
        <v>200</v>
      </c>
      <c r="B88" t="str">
        <f t="shared" si="1"/>
        <v>DE11</v>
      </c>
      <c r="C88">
        <v>1</v>
      </c>
      <c r="D88" t="s">
        <v>435</v>
      </c>
      <c r="E88" t="s">
        <v>436</v>
      </c>
      <c r="F88" t="s">
        <v>48</v>
      </c>
    </row>
    <row r="89" spans="1:6" x14ac:dyDescent="0.3">
      <c r="A89" t="s">
        <v>200</v>
      </c>
      <c r="B89" t="str">
        <f t="shared" si="1"/>
        <v>DE11</v>
      </c>
      <c r="C89">
        <v>2</v>
      </c>
      <c r="D89" t="s">
        <v>439</v>
      </c>
      <c r="E89" t="s">
        <v>433</v>
      </c>
      <c r="F89" t="s">
        <v>48</v>
      </c>
    </row>
    <row r="90" spans="1:6" x14ac:dyDescent="0.3">
      <c r="A90" t="s">
        <v>204</v>
      </c>
      <c r="B90" t="str">
        <f t="shared" si="1"/>
        <v>DED2</v>
      </c>
      <c r="C90">
        <v>1</v>
      </c>
      <c r="D90" t="s">
        <v>439</v>
      </c>
      <c r="E90" t="s">
        <v>433</v>
      </c>
      <c r="F90" t="s">
        <v>48</v>
      </c>
    </row>
    <row r="91" spans="1:6" x14ac:dyDescent="0.3">
      <c r="A91" t="s">
        <v>204</v>
      </c>
      <c r="B91" t="str">
        <f t="shared" si="1"/>
        <v>DED2</v>
      </c>
      <c r="C91">
        <v>2</v>
      </c>
      <c r="D91" t="s">
        <v>440</v>
      </c>
      <c r="E91" t="s">
        <v>441</v>
      </c>
      <c r="F91" t="s">
        <v>48</v>
      </c>
    </row>
    <row r="92" spans="1:6" x14ac:dyDescent="0.3">
      <c r="A92" t="s">
        <v>207</v>
      </c>
      <c r="B92" t="str">
        <f t="shared" si="1"/>
        <v>DE14</v>
      </c>
      <c r="C92">
        <v>1</v>
      </c>
      <c r="D92" t="s">
        <v>435</v>
      </c>
      <c r="E92" t="s">
        <v>436</v>
      </c>
      <c r="F92" t="s">
        <v>48</v>
      </c>
    </row>
    <row r="93" spans="1:6" x14ac:dyDescent="0.3">
      <c r="A93" t="s">
        <v>207</v>
      </c>
      <c r="B93" t="str">
        <f t="shared" si="1"/>
        <v>DE14</v>
      </c>
      <c r="C93">
        <v>2</v>
      </c>
      <c r="D93" t="s">
        <v>437</v>
      </c>
      <c r="E93" t="s">
        <v>433</v>
      </c>
      <c r="F93" t="s">
        <v>31</v>
      </c>
    </row>
    <row r="94" spans="1:6" x14ac:dyDescent="0.3">
      <c r="A94" t="s">
        <v>207</v>
      </c>
      <c r="B94" t="str">
        <f t="shared" si="1"/>
        <v>DE14</v>
      </c>
      <c r="C94">
        <v>3</v>
      </c>
      <c r="D94" t="s">
        <v>439</v>
      </c>
      <c r="E94" t="s">
        <v>433</v>
      </c>
      <c r="F94" t="s">
        <v>31</v>
      </c>
    </row>
    <row r="95" spans="1:6" x14ac:dyDescent="0.3">
      <c r="A95" t="s">
        <v>211</v>
      </c>
      <c r="B95" t="str">
        <f t="shared" si="1"/>
        <v>DE94</v>
      </c>
      <c r="C95">
        <v>1</v>
      </c>
      <c r="D95" t="s">
        <v>432</v>
      </c>
      <c r="E95" t="s">
        <v>433</v>
      </c>
      <c r="F95" t="s">
        <v>48</v>
      </c>
    </row>
    <row r="96" spans="1:6" x14ac:dyDescent="0.3">
      <c r="A96" t="s">
        <v>211</v>
      </c>
      <c r="B96" t="str">
        <f t="shared" si="1"/>
        <v>DE94</v>
      </c>
      <c r="C96">
        <v>2</v>
      </c>
      <c r="D96" t="s">
        <v>434</v>
      </c>
      <c r="E96" t="s">
        <v>433</v>
      </c>
      <c r="F96" t="s">
        <v>48</v>
      </c>
    </row>
    <row r="97" spans="1:6" x14ac:dyDescent="0.3">
      <c r="A97" t="s">
        <v>214</v>
      </c>
      <c r="B97" t="str">
        <f t="shared" si="1"/>
        <v>DEC0</v>
      </c>
      <c r="C97">
        <v>1</v>
      </c>
      <c r="D97" t="s">
        <v>437</v>
      </c>
      <c r="E97" t="s">
        <v>433</v>
      </c>
      <c r="F97" t="s">
        <v>48</v>
      </c>
    </row>
    <row r="98" spans="1:6" x14ac:dyDescent="0.3">
      <c r="A98" t="s">
        <v>214</v>
      </c>
      <c r="B98" t="str">
        <f t="shared" si="1"/>
        <v>DEC0</v>
      </c>
      <c r="C98">
        <v>2</v>
      </c>
      <c r="D98" t="s">
        <v>434</v>
      </c>
      <c r="E98" t="s">
        <v>433</v>
      </c>
      <c r="F98" t="s">
        <v>31</v>
      </c>
    </row>
    <row r="99" spans="1:6" x14ac:dyDescent="0.3">
      <c r="A99" t="s">
        <v>217</v>
      </c>
      <c r="B99" t="str">
        <f t="shared" si="1"/>
        <v>DED2</v>
      </c>
      <c r="C99">
        <v>1</v>
      </c>
      <c r="D99" t="s">
        <v>439</v>
      </c>
      <c r="E99" t="s">
        <v>433</v>
      </c>
      <c r="F99" t="s">
        <v>48</v>
      </c>
    </row>
    <row r="100" spans="1:6" x14ac:dyDescent="0.3">
      <c r="A100" t="s">
        <v>219</v>
      </c>
      <c r="B100" t="str">
        <f t="shared" si="1"/>
        <v>DE22</v>
      </c>
      <c r="C100">
        <v>1</v>
      </c>
      <c r="D100" t="s">
        <v>438</v>
      </c>
      <c r="E100" t="s">
        <v>433</v>
      </c>
      <c r="F100" t="s">
        <v>48</v>
      </c>
    </row>
    <row r="101" spans="1:6" x14ac:dyDescent="0.3">
      <c r="A101" t="s">
        <v>219</v>
      </c>
      <c r="B101" t="str">
        <f t="shared" si="1"/>
        <v>DE22</v>
      </c>
      <c r="C101">
        <v>2</v>
      </c>
      <c r="D101" t="s">
        <v>439</v>
      </c>
      <c r="E101" t="s">
        <v>433</v>
      </c>
      <c r="F101" t="s">
        <v>48</v>
      </c>
    </row>
    <row r="102" spans="1:6" x14ac:dyDescent="0.3">
      <c r="A102" t="s">
        <v>221</v>
      </c>
      <c r="B102" t="str">
        <f t="shared" si="1"/>
        <v>DED2</v>
      </c>
      <c r="C102">
        <v>1</v>
      </c>
      <c r="D102" t="s">
        <v>432</v>
      </c>
      <c r="E102" t="s">
        <v>433</v>
      </c>
      <c r="F102" t="s">
        <v>48</v>
      </c>
    </row>
    <row r="103" spans="1:6" x14ac:dyDescent="0.3">
      <c r="A103" t="s">
        <v>223</v>
      </c>
      <c r="B103" t="str">
        <f t="shared" si="1"/>
        <v>DED5</v>
      </c>
      <c r="C103">
        <v>1</v>
      </c>
      <c r="D103" t="s">
        <v>432</v>
      </c>
      <c r="E103" t="s">
        <v>433</v>
      </c>
      <c r="F103" t="s">
        <v>48</v>
      </c>
    </row>
    <row r="104" spans="1:6" x14ac:dyDescent="0.3">
      <c r="A104" t="s">
        <v>225</v>
      </c>
      <c r="B104" t="str">
        <f t="shared" si="1"/>
        <v>DEA1</v>
      </c>
      <c r="C104">
        <v>1</v>
      </c>
      <c r="D104" t="s">
        <v>434</v>
      </c>
      <c r="E104" t="s">
        <v>433</v>
      </c>
      <c r="F104" t="s">
        <v>48</v>
      </c>
    </row>
    <row r="105" spans="1:6" x14ac:dyDescent="0.3">
      <c r="A105" t="s">
        <v>225</v>
      </c>
      <c r="B105" t="str">
        <f t="shared" si="1"/>
        <v>DEA1</v>
      </c>
      <c r="C105">
        <v>2</v>
      </c>
      <c r="D105" t="s">
        <v>437</v>
      </c>
      <c r="E105" t="s">
        <v>433</v>
      </c>
      <c r="F105" t="s">
        <v>31</v>
      </c>
    </row>
    <row r="106" spans="1:6" x14ac:dyDescent="0.3">
      <c r="A106" t="s">
        <v>227</v>
      </c>
      <c r="B106" t="str">
        <f t="shared" si="1"/>
        <v>DE14</v>
      </c>
      <c r="C106">
        <v>1</v>
      </c>
      <c r="D106" t="s">
        <v>435</v>
      </c>
      <c r="E106" t="s">
        <v>436</v>
      </c>
      <c r="F106" t="s">
        <v>48</v>
      </c>
    </row>
    <row r="107" spans="1:6" x14ac:dyDescent="0.3">
      <c r="A107" t="s">
        <v>227</v>
      </c>
      <c r="B107" t="str">
        <f t="shared" si="1"/>
        <v>DE14</v>
      </c>
      <c r="C107">
        <v>2</v>
      </c>
      <c r="D107" t="s">
        <v>434</v>
      </c>
      <c r="E107" t="s">
        <v>433</v>
      </c>
      <c r="F107" t="s">
        <v>31</v>
      </c>
    </row>
    <row r="108" spans="1:6" x14ac:dyDescent="0.3">
      <c r="A108" t="s">
        <v>231</v>
      </c>
      <c r="B108" t="str">
        <f t="shared" si="1"/>
        <v>DE24</v>
      </c>
      <c r="C108">
        <v>1</v>
      </c>
      <c r="D108" t="s">
        <v>438</v>
      </c>
      <c r="E108" t="s">
        <v>433</v>
      </c>
      <c r="F108" t="s">
        <v>48</v>
      </c>
    </row>
    <row r="109" spans="1:6" x14ac:dyDescent="0.3">
      <c r="A109" t="s">
        <v>231</v>
      </c>
      <c r="B109" t="str">
        <f t="shared" si="1"/>
        <v>DE24</v>
      </c>
      <c r="C109">
        <v>2</v>
      </c>
      <c r="D109" t="s">
        <v>439</v>
      </c>
      <c r="E109" t="s">
        <v>433</v>
      </c>
      <c r="F109" t="s">
        <v>48</v>
      </c>
    </row>
    <row r="110" spans="1:6" x14ac:dyDescent="0.3">
      <c r="A110" t="s">
        <v>231</v>
      </c>
      <c r="B110" t="str">
        <f t="shared" si="1"/>
        <v>DE24</v>
      </c>
      <c r="C110">
        <v>3</v>
      </c>
      <c r="D110" t="s">
        <v>434</v>
      </c>
      <c r="E110" t="s">
        <v>433</v>
      </c>
      <c r="F110" t="s">
        <v>31</v>
      </c>
    </row>
    <row r="111" spans="1:6" x14ac:dyDescent="0.3">
      <c r="A111" t="s">
        <v>231</v>
      </c>
      <c r="B111" t="str">
        <f t="shared" si="1"/>
        <v>DE24</v>
      </c>
      <c r="C111">
        <v>4</v>
      </c>
      <c r="D111" t="s">
        <v>440</v>
      </c>
      <c r="E111" t="s">
        <v>441</v>
      </c>
      <c r="F111" t="s">
        <v>31</v>
      </c>
    </row>
    <row r="112" spans="1:6" x14ac:dyDescent="0.3">
      <c r="A112" t="s">
        <v>237</v>
      </c>
      <c r="B112" t="str">
        <f t="shared" si="1"/>
        <v>DEA5</v>
      </c>
      <c r="C112">
        <v>1</v>
      </c>
      <c r="D112" t="s">
        <v>439</v>
      </c>
      <c r="E112" t="s">
        <v>433</v>
      </c>
      <c r="F112" t="s">
        <v>48</v>
      </c>
    </row>
    <row r="113" spans="1:6" x14ac:dyDescent="0.3">
      <c r="A113" t="s">
        <v>237</v>
      </c>
      <c r="B113" t="str">
        <f t="shared" si="1"/>
        <v>DEA5</v>
      </c>
      <c r="C113">
        <v>2</v>
      </c>
      <c r="D113" t="s">
        <v>438</v>
      </c>
      <c r="E113" t="s">
        <v>433</v>
      </c>
      <c r="F113" t="s">
        <v>48</v>
      </c>
    </row>
    <row r="114" spans="1:6" x14ac:dyDescent="0.3">
      <c r="A114" t="s">
        <v>237</v>
      </c>
      <c r="B114" t="str">
        <f t="shared" si="1"/>
        <v>DEA5</v>
      </c>
      <c r="C114">
        <v>3</v>
      </c>
      <c r="D114" t="s">
        <v>440</v>
      </c>
      <c r="E114" t="s">
        <v>441</v>
      </c>
      <c r="F114" t="s">
        <v>31</v>
      </c>
    </row>
    <row r="115" spans="1:6" x14ac:dyDescent="0.3">
      <c r="A115" t="s">
        <v>241</v>
      </c>
      <c r="B115" t="str">
        <f t="shared" si="1"/>
        <v>DE24</v>
      </c>
      <c r="C115">
        <v>1</v>
      </c>
      <c r="D115" t="s">
        <v>438</v>
      </c>
      <c r="E115" t="s">
        <v>433</v>
      </c>
      <c r="F115" t="s">
        <v>48</v>
      </c>
    </row>
    <row r="116" spans="1:6" x14ac:dyDescent="0.3">
      <c r="A116" t="s">
        <v>241</v>
      </c>
      <c r="B116" t="str">
        <f t="shared" si="1"/>
        <v>DE24</v>
      </c>
      <c r="C116">
        <v>2</v>
      </c>
      <c r="D116" t="s">
        <v>440</v>
      </c>
      <c r="E116" t="s">
        <v>441</v>
      </c>
      <c r="F116" t="s">
        <v>31</v>
      </c>
    </row>
    <row r="117" spans="1:6" x14ac:dyDescent="0.3">
      <c r="A117" t="s">
        <v>241</v>
      </c>
      <c r="B117" t="str">
        <f t="shared" si="1"/>
        <v>DE24</v>
      </c>
      <c r="C117">
        <v>3</v>
      </c>
      <c r="D117" t="s">
        <v>439</v>
      </c>
      <c r="E117" t="s">
        <v>433</v>
      </c>
      <c r="F117" t="s">
        <v>31</v>
      </c>
    </row>
    <row r="118" spans="1:6" x14ac:dyDescent="0.3">
      <c r="A118" t="s">
        <v>244</v>
      </c>
      <c r="B118" t="str">
        <f t="shared" si="1"/>
        <v>DE27</v>
      </c>
      <c r="C118">
        <v>1</v>
      </c>
      <c r="D118" t="s">
        <v>432</v>
      </c>
      <c r="E118" t="s">
        <v>433</v>
      </c>
      <c r="F118" t="s">
        <v>48</v>
      </c>
    </row>
    <row r="119" spans="1:6" x14ac:dyDescent="0.3">
      <c r="A119" t="s">
        <v>244</v>
      </c>
      <c r="B119" t="str">
        <f t="shared" si="1"/>
        <v>DE27</v>
      </c>
      <c r="C119">
        <v>2</v>
      </c>
      <c r="D119" t="s">
        <v>435</v>
      </c>
      <c r="E119" t="s">
        <v>433</v>
      </c>
      <c r="F119" t="s">
        <v>31</v>
      </c>
    </row>
    <row r="120" spans="1:6" x14ac:dyDescent="0.3">
      <c r="A120" t="s">
        <v>244</v>
      </c>
      <c r="B120" t="str">
        <f t="shared" si="1"/>
        <v>DE27</v>
      </c>
      <c r="C120">
        <v>3</v>
      </c>
      <c r="D120" t="s">
        <v>437</v>
      </c>
      <c r="E120" t="s">
        <v>433</v>
      </c>
      <c r="F120" t="s">
        <v>31</v>
      </c>
    </row>
    <row r="121" spans="1:6" x14ac:dyDescent="0.3">
      <c r="A121" t="s">
        <v>244</v>
      </c>
      <c r="B121" t="str">
        <f t="shared" si="1"/>
        <v>DE27</v>
      </c>
      <c r="C121">
        <v>4</v>
      </c>
      <c r="D121" t="s">
        <v>434</v>
      </c>
      <c r="E121" t="s">
        <v>433</v>
      </c>
      <c r="F121" t="s">
        <v>31</v>
      </c>
    </row>
    <row r="122" spans="1:6" x14ac:dyDescent="0.3">
      <c r="A122" t="s">
        <v>247</v>
      </c>
      <c r="B122" t="str">
        <f t="shared" si="1"/>
        <v>DE23</v>
      </c>
      <c r="C122">
        <v>1</v>
      </c>
      <c r="D122" t="s">
        <v>439</v>
      </c>
      <c r="E122" t="s">
        <v>433</v>
      </c>
      <c r="F122" t="s">
        <v>48</v>
      </c>
    </row>
    <row r="123" spans="1:6" x14ac:dyDescent="0.3">
      <c r="A123" t="s">
        <v>247</v>
      </c>
      <c r="B123" t="str">
        <f t="shared" si="1"/>
        <v>DE23</v>
      </c>
      <c r="C123">
        <v>2</v>
      </c>
      <c r="D123" t="s">
        <v>440</v>
      </c>
      <c r="E123" t="s">
        <v>441</v>
      </c>
      <c r="F123" t="s">
        <v>31</v>
      </c>
    </row>
    <row r="124" spans="1:6" x14ac:dyDescent="0.3">
      <c r="A124" t="s">
        <v>247</v>
      </c>
      <c r="B124" t="str">
        <f t="shared" si="1"/>
        <v>DE23</v>
      </c>
      <c r="C124">
        <v>3</v>
      </c>
      <c r="D124" t="s">
        <v>438</v>
      </c>
      <c r="E124" t="s">
        <v>433</v>
      </c>
      <c r="F124" t="s">
        <v>31</v>
      </c>
    </row>
    <row r="125" spans="1:6" x14ac:dyDescent="0.3">
      <c r="A125" t="s">
        <v>250</v>
      </c>
      <c r="B125" t="str">
        <f t="shared" si="1"/>
        <v>DE50</v>
      </c>
      <c r="C125">
        <v>1</v>
      </c>
      <c r="D125" t="s">
        <v>432</v>
      </c>
      <c r="E125" t="s">
        <v>433</v>
      </c>
      <c r="F125" t="s">
        <v>48</v>
      </c>
    </row>
    <row r="126" spans="1:6" x14ac:dyDescent="0.3">
      <c r="A126" t="s">
        <v>250</v>
      </c>
      <c r="B126" t="str">
        <f t="shared" si="1"/>
        <v>DE50</v>
      </c>
      <c r="C126">
        <v>2</v>
      </c>
      <c r="D126" t="s">
        <v>434</v>
      </c>
      <c r="E126" t="s">
        <v>433</v>
      </c>
      <c r="F126" t="s">
        <v>48</v>
      </c>
    </row>
    <row r="127" spans="1:6" x14ac:dyDescent="0.3">
      <c r="A127" t="s">
        <v>250</v>
      </c>
      <c r="B127" t="str">
        <f t="shared" si="1"/>
        <v>DE50</v>
      </c>
      <c r="C127">
        <v>3</v>
      </c>
      <c r="D127" t="s">
        <v>438</v>
      </c>
      <c r="E127" t="s">
        <v>433</v>
      </c>
      <c r="F127" t="s">
        <v>31</v>
      </c>
    </row>
    <row r="128" spans="1:6" x14ac:dyDescent="0.3">
      <c r="A128" t="s">
        <v>252</v>
      </c>
      <c r="B128" t="str">
        <f t="shared" si="1"/>
        <v>DE11</v>
      </c>
      <c r="C128">
        <v>1</v>
      </c>
      <c r="D128" t="s">
        <v>435</v>
      </c>
      <c r="E128" t="s">
        <v>436</v>
      </c>
      <c r="F128" t="s">
        <v>48</v>
      </c>
    </row>
    <row r="129" spans="1:6" x14ac:dyDescent="0.3">
      <c r="A129" t="s">
        <v>252</v>
      </c>
      <c r="B129" t="str">
        <f t="shared" si="1"/>
        <v>DE11</v>
      </c>
      <c r="C129">
        <v>2</v>
      </c>
      <c r="D129" t="s">
        <v>440</v>
      </c>
      <c r="E129" t="s">
        <v>441</v>
      </c>
      <c r="F129" t="s">
        <v>31</v>
      </c>
    </row>
    <row r="130" spans="1:6" x14ac:dyDescent="0.3">
      <c r="A130" t="s">
        <v>252</v>
      </c>
      <c r="B130" t="str">
        <f t="shared" si="1"/>
        <v>DE11</v>
      </c>
      <c r="C130">
        <v>3</v>
      </c>
      <c r="D130" t="s">
        <v>439</v>
      </c>
      <c r="E130" t="s">
        <v>433</v>
      </c>
      <c r="F130" t="s">
        <v>31</v>
      </c>
    </row>
    <row r="131" spans="1:6" x14ac:dyDescent="0.3">
      <c r="A131" t="s">
        <v>255</v>
      </c>
      <c r="B131" t="str">
        <f t="shared" ref="B131:B194" si="2">RIGHT(A131,LEN(A131)-FIND("@",SUBSTITUTE(A131,"_","@",LEN(A131)-LEN(SUBSTITUTE(A131,"_","")))))</f>
        <v>DE91</v>
      </c>
      <c r="C131">
        <v>1</v>
      </c>
      <c r="D131" t="s">
        <v>434</v>
      </c>
      <c r="E131" t="s">
        <v>433</v>
      </c>
      <c r="F131" t="s">
        <v>48</v>
      </c>
    </row>
    <row r="132" spans="1:6" x14ac:dyDescent="0.3">
      <c r="A132" t="s">
        <v>255</v>
      </c>
      <c r="B132" t="str">
        <f t="shared" si="2"/>
        <v>DE91</v>
      </c>
      <c r="C132">
        <v>2</v>
      </c>
      <c r="D132" t="s">
        <v>437</v>
      </c>
      <c r="E132" t="s">
        <v>433</v>
      </c>
      <c r="F132" t="s">
        <v>31</v>
      </c>
    </row>
    <row r="133" spans="1:6" x14ac:dyDescent="0.3">
      <c r="A133" t="s">
        <v>258</v>
      </c>
      <c r="B133" t="str">
        <f t="shared" si="2"/>
        <v>DE23</v>
      </c>
      <c r="C133">
        <v>1</v>
      </c>
      <c r="D133" t="s">
        <v>439</v>
      </c>
      <c r="E133" t="s">
        <v>433</v>
      </c>
      <c r="F133" t="s">
        <v>48</v>
      </c>
    </row>
    <row r="134" spans="1:6" x14ac:dyDescent="0.3">
      <c r="A134" t="s">
        <v>258</v>
      </c>
      <c r="B134" t="str">
        <f t="shared" si="2"/>
        <v>DE23</v>
      </c>
      <c r="C134">
        <v>2</v>
      </c>
      <c r="D134" t="s">
        <v>437</v>
      </c>
      <c r="E134" t="s">
        <v>433</v>
      </c>
      <c r="F134" t="s">
        <v>31</v>
      </c>
    </row>
    <row r="135" spans="1:6" x14ac:dyDescent="0.3">
      <c r="A135" t="s">
        <v>258</v>
      </c>
      <c r="B135" t="str">
        <f t="shared" si="2"/>
        <v>DE23</v>
      </c>
      <c r="C135">
        <v>3</v>
      </c>
      <c r="D135" t="s">
        <v>438</v>
      </c>
      <c r="E135" t="s">
        <v>433</v>
      </c>
      <c r="F135" t="s">
        <v>31</v>
      </c>
    </row>
    <row r="136" spans="1:6" x14ac:dyDescent="0.3">
      <c r="A136" t="s">
        <v>261</v>
      </c>
      <c r="B136" t="str">
        <f t="shared" si="2"/>
        <v>DE21</v>
      </c>
      <c r="C136">
        <v>1</v>
      </c>
      <c r="D136" t="s">
        <v>432</v>
      </c>
      <c r="E136" t="s">
        <v>433</v>
      </c>
      <c r="F136" t="s">
        <v>48</v>
      </c>
    </row>
    <row r="137" spans="1:6" x14ac:dyDescent="0.3">
      <c r="A137" t="s">
        <v>261</v>
      </c>
      <c r="B137" t="str">
        <f t="shared" si="2"/>
        <v>DE21</v>
      </c>
      <c r="C137">
        <v>2</v>
      </c>
      <c r="D137" t="s">
        <v>434</v>
      </c>
      <c r="E137" t="s">
        <v>433</v>
      </c>
      <c r="F137" t="s">
        <v>48</v>
      </c>
    </row>
    <row r="138" spans="1:6" x14ac:dyDescent="0.3">
      <c r="A138" t="s">
        <v>261</v>
      </c>
      <c r="B138" t="str">
        <f t="shared" si="2"/>
        <v>DE21</v>
      </c>
      <c r="C138">
        <v>3</v>
      </c>
      <c r="D138" t="s">
        <v>437</v>
      </c>
      <c r="E138" t="s">
        <v>433</v>
      </c>
      <c r="F138" t="s">
        <v>31</v>
      </c>
    </row>
    <row r="139" spans="1:6" x14ac:dyDescent="0.3">
      <c r="A139" t="s">
        <v>264</v>
      </c>
      <c r="B139" t="str">
        <f t="shared" si="2"/>
        <v>DE92</v>
      </c>
      <c r="C139">
        <v>1</v>
      </c>
      <c r="D139" t="s">
        <v>432</v>
      </c>
      <c r="E139" t="s">
        <v>433</v>
      </c>
      <c r="F139" t="s">
        <v>48</v>
      </c>
    </row>
    <row r="140" spans="1:6" x14ac:dyDescent="0.3">
      <c r="A140" t="s">
        <v>264</v>
      </c>
      <c r="B140" t="str">
        <f t="shared" si="2"/>
        <v>DE92</v>
      </c>
      <c r="C140">
        <v>2</v>
      </c>
      <c r="D140" t="s">
        <v>434</v>
      </c>
      <c r="E140" t="s">
        <v>433</v>
      </c>
      <c r="F140" t="s">
        <v>48</v>
      </c>
    </row>
    <row r="141" spans="1:6" x14ac:dyDescent="0.3">
      <c r="A141" t="s">
        <v>264</v>
      </c>
      <c r="B141" t="str">
        <f t="shared" si="2"/>
        <v>DE92</v>
      </c>
      <c r="C141">
        <v>3</v>
      </c>
      <c r="D141" t="s">
        <v>438</v>
      </c>
      <c r="E141" t="s">
        <v>433</v>
      </c>
      <c r="F141" t="s">
        <v>31</v>
      </c>
    </row>
    <row r="142" spans="1:6" x14ac:dyDescent="0.3">
      <c r="A142" t="s">
        <v>266</v>
      </c>
      <c r="B142" t="str">
        <f t="shared" si="2"/>
        <v>DE14</v>
      </c>
      <c r="C142">
        <v>1</v>
      </c>
      <c r="D142" t="s">
        <v>435</v>
      </c>
      <c r="E142" t="s">
        <v>436</v>
      </c>
      <c r="F142" t="s">
        <v>48</v>
      </c>
    </row>
    <row r="143" spans="1:6" x14ac:dyDescent="0.3">
      <c r="A143" t="s">
        <v>266</v>
      </c>
      <c r="B143" t="str">
        <f t="shared" si="2"/>
        <v>DE14</v>
      </c>
      <c r="C143">
        <v>2</v>
      </c>
      <c r="D143" t="s">
        <v>439</v>
      </c>
      <c r="E143" t="s">
        <v>433</v>
      </c>
      <c r="F143" t="s">
        <v>31</v>
      </c>
    </row>
    <row r="144" spans="1:6" x14ac:dyDescent="0.3">
      <c r="A144" t="s">
        <v>270</v>
      </c>
      <c r="B144" t="str">
        <f t="shared" si="2"/>
        <v>DEC0</v>
      </c>
      <c r="C144">
        <v>1</v>
      </c>
      <c r="D144" t="s">
        <v>439</v>
      </c>
      <c r="E144" t="s">
        <v>433</v>
      </c>
      <c r="F144" t="s">
        <v>48</v>
      </c>
    </row>
    <row r="145" spans="1:6" x14ac:dyDescent="0.3">
      <c r="A145" t="s">
        <v>270</v>
      </c>
      <c r="B145" t="str">
        <f t="shared" si="2"/>
        <v>DEC0</v>
      </c>
      <c r="C145">
        <v>2</v>
      </c>
      <c r="D145" t="s">
        <v>437</v>
      </c>
      <c r="E145" t="s">
        <v>433</v>
      </c>
      <c r="F145" t="s">
        <v>31</v>
      </c>
    </row>
    <row r="146" spans="1:6" x14ac:dyDescent="0.3">
      <c r="A146" t="s">
        <v>270</v>
      </c>
      <c r="B146" t="str">
        <f t="shared" si="2"/>
        <v>DEC0</v>
      </c>
      <c r="C146">
        <v>3</v>
      </c>
      <c r="D146" t="s">
        <v>435</v>
      </c>
      <c r="E146" t="s">
        <v>433</v>
      </c>
      <c r="F146" t="s">
        <v>73</v>
      </c>
    </row>
    <row r="147" spans="1:6" x14ac:dyDescent="0.3">
      <c r="A147" t="s">
        <v>274</v>
      </c>
      <c r="B147" t="str">
        <f t="shared" si="2"/>
        <v>DE14</v>
      </c>
      <c r="C147">
        <v>1</v>
      </c>
      <c r="D147" t="s">
        <v>435</v>
      </c>
      <c r="E147" t="s">
        <v>436</v>
      </c>
      <c r="F147" t="s">
        <v>48</v>
      </c>
    </row>
    <row r="148" spans="1:6" x14ac:dyDescent="0.3">
      <c r="A148" t="s">
        <v>274</v>
      </c>
      <c r="B148" t="str">
        <f t="shared" si="2"/>
        <v>DE14</v>
      </c>
      <c r="C148">
        <v>2</v>
      </c>
      <c r="D148" t="s">
        <v>434</v>
      </c>
      <c r="E148" t="s">
        <v>433</v>
      </c>
      <c r="F148" t="s">
        <v>31</v>
      </c>
    </row>
    <row r="149" spans="1:6" x14ac:dyDescent="0.3">
      <c r="A149" t="s">
        <v>274</v>
      </c>
      <c r="B149" t="str">
        <f t="shared" si="2"/>
        <v>DE14</v>
      </c>
      <c r="C149">
        <v>3</v>
      </c>
      <c r="D149" t="s">
        <v>438</v>
      </c>
      <c r="E149" t="s">
        <v>433</v>
      </c>
      <c r="F149" t="s">
        <v>31</v>
      </c>
    </row>
    <row r="150" spans="1:6" x14ac:dyDescent="0.3">
      <c r="A150" t="s">
        <v>277</v>
      </c>
      <c r="B150" t="str">
        <f t="shared" si="2"/>
        <v>DE23</v>
      </c>
      <c r="C150">
        <v>1</v>
      </c>
      <c r="D150" t="s">
        <v>432</v>
      </c>
      <c r="E150" t="s">
        <v>433</v>
      </c>
      <c r="F150" t="s">
        <v>48</v>
      </c>
    </row>
    <row r="151" spans="1:6" x14ac:dyDescent="0.3">
      <c r="A151" t="s">
        <v>277</v>
      </c>
      <c r="B151" t="str">
        <f t="shared" si="2"/>
        <v>DE23</v>
      </c>
      <c r="C151">
        <v>2</v>
      </c>
      <c r="D151" t="s">
        <v>434</v>
      </c>
      <c r="E151" t="s">
        <v>433</v>
      </c>
      <c r="F151" t="s">
        <v>48</v>
      </c>
    </row>
    <row r="152" spans="1:6" x14ac:dyDescent="0.3">
      <c r="A152" t="s">
        <v>277</v>
      </c>
      <c r="B152" t="str">
        <f t="shared" si="2"/>
        <v>DE23</v>
      </c>
      <c r="C152">
        <v>3</v>
      </c>
      <c r="D152" t="s">
        <v>437</v>
      </c>
      <c r="E152" t="s">
        <v>433</v>
      </c>
      <c r="F152" t="s">
        <v>31</v>
      </c>
    </row>
    <row r="153" spans="1:6" x14ac:dyDescent="0.3">
      <c r="A153" t="s">
        <v>279</v>
      </c>
      <c r="B153" t="str">
        <f t="shared" si="2"/>
        <v>DE21</v>
      </c>
      <c r="C153">
        <v>1</v>
      </c>
      <c r="D153" t="s">
        <v>434</v>
      </c>
      <c r="E153" t="s">
        <v>433</v>
      </c>
      <c r="F153" t="s">
        <v>48</v>
      </c>
    </row>
    <row r="154" spans="1:6" x14ac:dyDescent="0.3">
      <c r="A154" t="s">
        <v>279</v>
      </c>
      <c r="B154" t="str">
        <f t="shared" si="2"/>
        <v>DE21</v>
      </c>
      <c r="C154">
        <v>2</v>
      </c>
      <c r="D154" t="s">
        <v>438</v>
      </c>
      <c r="E154" t="s">
        <v>433</v>
      </c>
      <c r="F154" t="s">
        <v>31</v>
      </c>
    </row>
    <row r="155" spans="1:6" x14ac:dyDescent="0.3">
      <c r="A155" t="s">
        <v>279</v>
      </c>
      <c r="B155" t="str">
        <f t="shared" si="2"/>
        <v>DE21</v>
      </c>
      <c r="C155">
        <v>3</v>
      </c>
      <c r="D155" t="s">
        <v>439</v>
      </c>
      <c r="E155" t="s">
        <v>433</v>
      </c>
      <c r="F155" t="s">
        <v>31</v>
      </c>
    </row>
    <row r="156" spans="1:6" x14ac:dyDescent="0.3">
      <c r="A156" t="s">
        <v>283</v>
      </c>
      <c r="B156" t="str">
        <f t="shared" si="2"/>
        <v>DE14</v>
      </c>
      <c r="C156">
        <v>1</v>
      </c>
      <c r="D156" t="s">
        <v>437</v>
      </c>
      <c r="E156" t="s">
        <v>433</v>
      </c>
      <c r="F156" t="s">
        <v>48</v>
      </c>
    </row>
    <row r="157" spans="1:6" x14ac:dyDescent="0.3">
      <c r="A157" t="s">
        <v>283</v>
      </c>
      <c r="B157" t="str">
        <f t="shared" si="2"/>
        <v>DE14</v>
      </c>
      <c r="C157">
        <v>2</v>
      </c>
      <c r="D157" t="s">
        <v>439</v>
      </c>
      <c r="E157" t="s">
        <v>433</v>
      </c>
      <c r="F157" t="s">
        <v>48</v>
      </c>
    </row>
    <row r="158" spans="1:6" x14ac:dyDescent="0.3">
      <c r="A158" t="s">
        <v>286</v>
      </c>
      <c r="B158" t="str">
        <f t="shared" si="2"/>
        <v>DE14</v>
      </c>
      <c r="C158">
        <v>1</v>
      </c>
      <c r="D158" t="s">
        <v>437</v>
      </c>
      <c r="E158" t="s">
        <v>433</v>
      </c>
      <c r="F158" t="s">
        <v>31</v>
      </c>
    </row>
    <row r="159" spans="1:6" x14ac:dyDescent="0.3">
      <c r="A159" t="s">
        <v>286</v>
      </c>
      <c r="B159" t="str">
        <f t="shared" si="2"/>
        <v>DE14</v>
      </c>
      <c r="C159">
        <v>2</v>
      </c>
      <c r="D159" t="s">
        <v>435</v>
      </c>
      <c r="E159" t="s">
        <v>433</v>
      </c>
      <c r="F159" t="s">
        <v>31</v>
      </c>
    </row>
    <row r="160" spans="1:6" x14ac:dyDescent="0.3">
      <c r="A160" t="s">
        <v>286</v>
      </c>
      <c r="B160" t="str">
        <f t="shared" si="2"/>
        <v>DE14</v>
      </c>
      <c r="C160">
        <v>3</v>
      </c>
      <c r="D160" t="s">
        <v>434</v>
      </c>
      <c r="E160" t="s">
        <v>433</v>
      </c>
      <c r="F160" t="s">
        <v>31</v>
      </c>
    </row>
    <row r="161" spans="1:6" x14ac:dyDescent="0.3">
      <c r="A161" t="s">
        <v>288</v>
      </c>
      <c r="B161" t="str">
        <f t="shared" si="2"/>
        <v>DE11</v>
      </c>
      <c r="C161">
        <v>1</v>
      </c>
      <c r="D161" t="s">
        <v>432</v>
      </c>
      <c r="E161" t="s">
        <v>433</v>
      </c>
      <c r="F161" t="s">
        <v>48</v>
      </c>
    </row>
    <row r="162" spans="1:6" x14ac:dyDescent="0.3">
      <c r="A162" t="s">
        <v>288</v>
      </c>
      <c r="B162" t="str">
        <f t="shared" si="2"/>
        <v>DE11</v>
      </c>
      <c r="C162">
        <v>2</v>
      </c>
      <c r="D162" t="s">
        <v>434</v>
      </c>
      <c r="E162" t="s">
        <v>433</v>
      </c>
      <c r="F162" t="s">
        <v>48</v>
      </c>
    </row>
    <row r="163" spans="1:6" x14ac:dyDescent="0.3">
      <c r="A163" t="s">
        <v>288</v>
      </c>
      <c r="B163" t="str">
        <f t="shared" si="2"/>
        <v>DE11</v>
      </c>
      <c r="C163">
        <v>3</v>
      </c>
      <c r="D163" t="s">
        <v>435</v>
      </c>
      <c r="E163" t="s">
        <v>436</v>
      </c>
      <c r="F163" t="s">
        <v>31</v>
      </c>
    </row>
    <row r="164" spans="1:6" x14ac:dyDescent="0.3">
      <c r="A164" t="s">
        <v>288</v>
      </c>
      <c r="B164" t="str">
        <f t="shared" si="2"/>
        <v>DE11</v>
      </c>
      <c r="C164">
        <v>4</v>
      </c>
      <c r="D164" t="s">
        <v>440</v>
      </c>
      <c r="E164" t="s">
        <v>441</v>
      </c>
      <c r="F164" t="s">
        <v>31</v>
      </c>
    </row>
    <row r="165" spans="1:6" x14ac:dyDescent="0.3">
      <c r="A165" t="s">
        <v>292</v>
      </c>
      <c r="B165" t="str">
        <f t="shared" si="2"/>
        <v>DE11</v>
      </c>
      <c r="C165">
        <v>1</v>
      </c>
      <c r="D165" t="s">
        <v>435</v>
      </c>
      <c r="E165" t="s">
        <v>436</v>
      </c>
      <c r="F165" t="s">
        <v>48</v>
      </c>
    </row>
    <row r="166" spans="1:6" x14ac:dyDescent="0.3">
      <c r="A166" t="s">
        <v>292</v>
      </c>
      <c r="B166" t="str">
        <f t="shared" si="2"/>
        <v>DE11</v>
      </c>
      <c r="C166">
        <v>2</v>
      </c>
      <c r="D166" t="s">
        <v>438</v>
      </c>
      <c r="E166" t="s">
        <v>433</v>
      </c>
      <c r="F166" t="s">
        <v>48</v>
      </c>
    </row>
    <row r="167" spans="1:6" x14ac:dyDescent="0.3">
      <c r="A167" t="s">
        <v>295</v>
      </c>
      <c r="B167" t="str">
        <f t="shared" si="2"/>
        <v>DE11</v>
      </c>
      <c r="C167">
        <v>1</v>
      </c>
      <c r="D167" t="s">
        <v>435</v>
      </c>
      <c r="E167" t="s">
        <v>436</v>
      </c>
      <c r="F167" t="s">
        <v>31</v>
      </c>
    </row>
    <row r="168" spans="1:6" x14ac:dyDescent="0.3">
      <c r="A168" t="s">
        <v>295</v>
      </c>
      <c r="B168" t="str">
        <f t="shared" si="2"/>
        <v>DE11</v>
      </c>
      <c r="C168">
        <v>2</v>
      </c>
      <c r="D168" t="s">
        <v>438</v>
      </c>
      <c r="E168" t="s">
        <v>433</v>
      </c>
      <c r="F168" t="s">
        <v>48</v>
      </c>
    </row>
    <row r="169" spans="1:6" x14ac:dyDescent="0.3">
      <c r="A169" t="s">
        <v>295</v>
      </c>
      <c r="B169" t="str">
        <f t="shared" si="2"/>
        <v>DE11</v>
      </c>
      <c r="C169">
        <v>3</v>
      </c>
      <c r="D169" t="s">
        <v>434</v>
      </c>
      <c r="E169" t="s">
        <v>433</v>
      </c>
      <c r="F169" t="s">
        <v>31</v>
      </c>
    </row>
    <row r="170" spans="1:6" x14ac:dyDescent="0.3">
      <c r="A170" t="s">
        <v>297</v>
      </c>
      <c r="B170" t="str">
        <f t="shared" si="2"/>
        <v>DEA4</v>
      </c>
      <c r="C170">
        <v>1</v>
      </c>
      <c r="D170" t="s">
        <v>434</v>
      </c>
      <c r="E170" t="s">
        <v>433</v>
      </c>
      <c r="F170" t="s">
        <v>48</v>
      </c>
    </row>
    <row r="171" spans="1:6" x14ac:dyDescent="0.3">
      <c r="A171" t="s">
        <v>297</v>
      </c>
      <c r="B171" t="str">
        <f t="shared" si="2"/>
        <v>DEA4</v>
      </c>
      <c r="C171">
        <v>2</v>
      </c>
      <c r="D171" t="s">
        <v>437</v>
      </c>
      <c r="E171" t="s">
        <v>433</v>
      </c>
      <c r="F171" t="s">
        <v>48</v>
      </c>
    </row>
    <row r="172" spans="1:6" x14ac:dyDescent="0.3">
      <c r="A172" t="s">
        <v>297</v>
      </c>
      <c r="B172" t="str">
        <f t="shared" si="2"/>
        <v>DEA4</v>
      </c>
      <c r="C172">
        <v>3</v>
      </c>
      <c r="D172" t="s">
        <v>432</v>
      </c>
      <c r="E172" t="s">
        <v>433</v>
      </c>
      <c r="F172" t="s">
        <v>31</v>
      </c>
    </row>
    <row r="173" spans="1:6" x14ac:dyDescent="0.3">
      <c r="A173" t="s">
        <v>301</v>
      </c>
      <c r="B173" t="str">
        <f t="shared" si="2"/>
        <v>DE22</v>
      </c>
      <c r="C173">
        <v>1</v>
      </c>
      <c r="D173" t="s">
        <v>438</v>
      </c>
      <c r="E173" t="s">
        <v>433</v>
      </c>
      <c r="F173" t="s">
        <v>48</v>
      </c>
    </row>
    <row r="174" spans="1:6" x14ac:dyDescent="0.3">
      <c r="A174" t="s">
        <v>301</v>
      </c>
      <c r="B174" t="str">
        <f t="shared" si="2"/>
        <v>DE22</v>
      </c>
      <c r="C174">
        <v>2</v>
      </c>
      <c r="D174" t="s">
        <v>439</v>
      </c>
      <c r="E174" t="s">
        <v>433</v>
      </c>
      <c r="F174" t="s">
        <v>48</v>
      </c>
    </row>
    <row r="175" spans="1:6" x14ac:dyDescent="0.3">
      <c r="A175" t="s">
        <v>301</v>
      </c>
      <c r="B175" t="str">
        <f t="shared" si="2"/>
        <v>DE22</v>
      </c>
      <c r="C175">
        <v>3</v>
      </c>
      <c r="D175" t="s">
        <v>442</v>
      </c>
      <c r="E175" t="s">
        <v>441</v>
      </c>
      <c r="F175" t="s">
        <v>31</v>
      </c>
    </row>
    <row r="176" spans="1:6" x14ac:dyDescent="0.3">
      <c r="A176" t="s">
        <v>303</v>
      </c>
      <c r="B176" t="str">
        <f t="shared" si="2"/>
        <v>DE23</v>
      </c>
      <c r="C176">
        <v>1</v>
      </c>
      <c r="D176" t="s">
        <v>439</v>
      </c>
      <c r="E176" t="s">
        <v>433</v>
      </c>
      <c r="F176" t="s">
        <v>48</v>
      </c>
    </row>
    <row r="177" spans="1:6" x14ac:dyDescent="0.3">
      <c r="A177" t="s">
        <v>303</v>
      </c>
      <c r="B177" t="str">
        <f t="shared" si="2"/>
        <v>DE23</v>
      </c>
      <c r="C177">
        <v>2</v>
      </c>
      <c r="D177" t="s">
        <v>440</v>
      </c>
      <c r="E177" t="s">
        <v>441</v>
      </c>
      <c r="F177" t="s">
        <v>31</v>
      </c>
    </row>
    <row r="178" spans="1:6" x14ac:dyDescent="0.3">
      <c r="A178" t="s">
        <v>306</v>
      </c>
      <c r="B178" t="str">
        <f t="shared" si="2"/>
        <v>DEA4</v>
      </c>
      <c r="C178">
        <v>1</v>
      </c>
      <c r="D178" t="s">
        <v>439</v>
      </c>
      <c r="E178" t="s">
        <v>433</v>
      </c>
      <c r="F178" t="s">
        <v>48</v>
      </c>
    </row>
    <row r="179" spans="1:6" x14ac:dyDescent="0.3">
      <c r="A179" t="s">
        <v>306</v>
      </c>
      <c r="B179" t="str">
        <f t="shared" si="2"/>
        <v>DEA4</v>
      </c>
      <c r="C179">
        <v>2</v>
      </c>
      <c r="D179" t="s">
        <v>440</v>
      </c>
      <c r="E179" t="s">
        <v>441</v>
      </c>
      <c r="F179" t="s">
        <v>31</v>
      </c>
    </row>
    <row r="180" spans="1:6" x14ac:dyDescent="0.3">
      <c r="A180" t="s">
        <v>310</v>
      </c>
      <c r="B180" t="str">
        <f t="shared" si="2"/>
        <v>DED5</v>
      </c>
      <c r="C180">
        <v>1</v>
      </c>
      <c r="D180" t="s">
        <v>432</v>
      </c>
      <c r="E180" t="s">
        <v>433</v>
      </c>
      <c r="F180" t="s">
        <v>48</v>
      </c>
    </row>
    <row r="181" spans="1:6" x14ac:dyDescent="0.3">
      <c r="A181" t="s">
        <v>310</v>
      </c>
      <c r="B181" t="str">
        <f t="shared" si="2"/>
        <v>DED5</v>
      </c>
      <c r="C181">
        <v>2</v>
      </c>
      <c r="D181" t="s">
        <v>434</v>
      </c>
      <c r="E181" t="s">
        <v>433</v>
      </c>
      <c r="F181" t="s">
        <v>48</v>
      </c>
    </row>
    <row r="182" spans="1:6" x14ac:dyDescent="0.3">
      <c r="A182" t="s">
        <v>310</v>
      </c>
      <c r="B182" t="str">
        <f t="shared" si="2"/>
        <v>DED5</v>
      </c>
      <c r="C182">
        <v>3</v>
      </c>
      <c r="D182" t="s">
        <v>438</v>
      </c>
      <c r="E182" t="s">
        <v>433</v>
      </c>
      <c r="F182" t="s">
        <v>31</v>
      </c>
    </row>
    <row r="183" spans="1:6" x14ac:dyDescent="0.3">
      <c r="A183" t="s">
        <v>312</v>
      </c>
      <c r="B183" t="str">
        <f t="shared" si="2"/>
        <v>DE11</v>
      </c>
      <c r="C183">
        <v>1</v>
      </c>
      <c r="D183" t="s">
        <v>435</v>
      </c>
      <c r="E183" t="s">
        <v>436</v>
      </c>
      <c r="F183" t="s">
        <v>48</v>
      </c>
    </row>
    <row r="184" spans="1:6" x14ac:dyDescent="0.3">
      <c r="A184" t="s">
        <v>315</v>
      </c>
      <c r="B184" t="str">
        <f t="shared" si="2"/>
        <v>DE40</v>
      </c>
      <c r="C184">
        <v>1</v>
      </c>
      <c r="D184" t="s">
        <v>432</v>
      </c>
      <c r="E184" t="s">
        <v>433</v>
      </c>
      <c r="F184" t="s">
        <v>48</v>
      </c>
    </row>
    <row r="185" spans="1:6" x14ac:dyDescent="0.3">
      <c r="A185" t="s">
        <v>315</v>
      </c>
      <c r="B185" t="str">
        <f t="shared" si="2"/>
        <v>DE40</v>
      </c>
      <c r="C185">
        <v>2</v>
      </c>
      <c r="D185" t="s">
        <v>434</v>
      </c>
      <c r="E185" t="s">
        <v>433</v>
      </c>
      <c r="F185" t="s">
        <v>48</v>
      </c>
    </row>
    <row r="186" spans="1:6" x14ac:dyDescent="0.3">
      <c r="A186" t="s">
        <v>315</v>
      </c>
      <c r="B186" t="str">
        <f t="shared" si="2"/>
        <v>DE40</v>
      </c>
      <c r="C186">
        <v>3</v>
      </c>
      <c r="D186" t="s">
        <v>442</v>
      </c>
      <c r="E186" t="s">
        <v>441</v>
      </c>
      <c r="F186" t="s">
        <v>31</v>
      </c>
    </row>
    <row r="187" spans="1:6" x14ac:dyDescent="0.3">
      <c r="A187" t="s">
        <v>315</v>
      </c>
      <c r="B187" t="str">
        <f t="shared" si="2"/>
        <v>DE40</v>
      </c>
      <c r="C187">
        <v>4</v>
      </c>
      <c r="D187" t="s">
        <v>440</v>
      </c>
      <c r="E187" t="s">
        <v>441</v>
      </c>
      <c r="F187" t="s">
        <v>31</v>
      </c>
    </row>
    <row r="188" spans="1:6" x14ac:dyDescent="0.3">
      <c r="A188" t="s">
        <v>321</v>
      </c>
      <c r="B188" t="str">
        <f t="shared" si="2"/>
        <v>DEA4</v>
      </c>
      <c r="C188">
        <v>1</v>
      </c>
      <c r="D188" t="s">
        <v>434</v>
      </c>
      <c r="E188" t="s">
        <v>433</v>
      </c>
      <c r="F188" t="s">
        <v>48</v>
      </c>
    </row>
    <row r="189" spans="1:6" x14ac:dyDescent="0.3">
      <c r="A189" t="s">
        <v>321</v>
      </c>
      <c r="B189" t="str">
        <f t="shared" si="2"/>
        <v>DEA4</v>
      </c>
      <c r="C189">
        <v>2</v>
      </c>
      <c r="D189" t="s">
        <v>437</v>
      </c>
      <c r="E189" t="s">
        <v>433</v>
      </c>
      <c r="F189" t="s">
        <v>48</v>
      </c>
    </row>
    <row r="190" spans="1:6" x14ac:dyDescent="0.3">
      <c r="A190" t="s">
        <v>324</v>
      </c>
      <c r="B190" t="str">
        <f t="shared" si="2"/>
        <v>DE21</v>
      </c>
      <c r="C190">
        <v>1</v>
      </c>
      <c r="D190" t="s">
        <v>434</v>
      </c>
      <c r="E190" t="s">
        <v>433</v>
      </c>
      <c r="F190" t="s">
        <v>48</v>
      </c>
    </row>
    <row r="191" spans="1:6" x14ac:dyDescent="0.3">
      <c r="A191" t="s">
        <v>324</v>
      </c>
      <c r="B191" t="str">
        <f t="shared" si="2"/>
        <v>DE21</v>
      </c>
      <c r="C191">
        <v>2</v>
      </c>
      <c r="D191" t="s">
        <v>438</v>
      </c>
      <c r="E191" t="s">
        <v>433</v>
      </c>
      <c r="F191" t="s">
        <v>31</v>
      </c>
    </row>
    <row r="192" spans="1:6" x14ac:dyDescent="0.3">
      <c r="A192" t="s">
        <v>324</v>
      </c>
      <c r="B192" t="str">
        <f t="shared" si="2"/>
        <v>DE21</v>
      </c>
      <c r="C192">
        <v>3</v>
      </c>
      <c r="D192" t="s">
        <v>439</v>
      </c>
      <c r="E192" t="s">
        <v>433</v>
      </c>
      <c r="F192" t="s">
        <v>31</v>
      </c>
    </row>
    <row r="193" spans="1:6" x14ac:dyDescent="0.3">
      <c r="A193" t="s">
        <v>327</v>
      </c>
      <c r="B193" t="str">
        <f t="shared" si="2"/>
        <v>DE11</v>
      </c>
      <c r="C193">
        <v>1</v>
      </c>
      <c r="D193" t="s">
        <v>435</v>
      </c>
      <c r="E193" t="s">
        <v>436</v>
      </c>
      <c r="F193" t="s">
        <v>48</v>
      </c>
    </row>
    <row r="194" spans="1:6" x14ac:dyDescent="0.3">
      <c r="A194" t="s">
        <v>329</v>
      </c>
      <c r="B194" t="str">
        <f t="shared" si="2"/>
        <v>DE91</v>
      </c>
      <c r="C194">
        <v>1</v>
      </c>
      <c r="D194" t="s">
        <v>432</v>
      </c>
      <c r="E194" t="s">
        <v>433</v>
      </c>
      <c r="F194" t="s">
        <v>48</v>
      </c>
    </row>
    <row r="195" spans="1:6" x14ac:dyDescent="0.3">
      <c r="A195" t="s">
        <v>329</v>
      </c>
      <c r="B195" t="str">
        <f t="shared" ref="B195:B258" si="3">RIGHT(A195,LEN(A195)-FIND("@",SUBSTITUTE(A195,"_","@",LEN(A195)-LEN(SUBSTITUTE(A195,"_","")))))</f>
        <v>DE91</v>
      </c>
      <c r="C195">
        <v>2</v>
      </c>
      <c r="D195" t="s">
        <v>434</v>
      </c>
      <c r="E195" t="s">
        <v>433</v>
      </c>
      <c r="F195" t="s">
        <v>48</v>
      </c>
    </row>
    <row r="196" spans="1:6" x14ac:dyDescent="0.3">
      <c r="A196" t="s">
        <v>329</v>
      </c>
      <c r="B196" t="str">
        <f t="shared" si="3"/>
        <v>DE91</v>
      </c>
      <c r="C196">
        <v>3</v>
      </c>
      <c r="D196" t="s">
        <v>438</v>
      </c>
      <c r="E196" t="s">
        <v>433</v>
      </c>
      <c r="F196" t="s">
        <v>31</v>
      </c>
    </row>
    <row r="197" spans="1:6" x14ac:dyDescent="0.3">
      <c r="A197" t="s">
        <v>329</v>
      </c>
      <c r="B197" t="str">
        <f t="shared" si="3"/>
        <v>DE91</v>
      </c>
      <c r="C197">
        <v>4</v>
      </c>
      <c r="D197" t="s">
        <v>439</v>
      </c>
      <c r="E197" t="s">
        <v>433</v>
      </c>
      <c r="F197" t="s">
        <v>31</v>
      </c>
    </row>
    <row r="198" spans="1:6" x14ac:dyDescent="0.3">
      <c r="A198" t="s">
        <v>331</v>
      </c>
      <c r="B198" t="str">
        <f t="shared" si="3"/>
        <v>DE91</v>
      </c>
      <c r="C198">
        <v>1</v>
      </c>
      <c r="D198" t="s">
        <v>434</v>
      </c>
      <c r="E198" t="s">
        <v>433</v>
      </c>
      <c r="F198" t="s">
        <v>48</v>
      </c>
    </row>
    <row r="199" spans="1:6" x14ac:dyDescent="0.3">
      <c r="A199" t="s">
        <v>333</v>
      </c>
      <c r="B199" t="str">
        <f t="shared" si="3"/>
        <v>DEA2</v>
      </c>
      <c r="C199">
        <v>1</v>
      </c>
      <c r="D199" t="s">
        <v>432</v>
      </c>
      <c r="E199" t="s">
        <v>433</v>
      </c>
      <c r="F199" t="s">
        <v>48</v>
      </c>
    </row>
    <row r="200" spans="1:6" x14ac:dyDescent="0.3">
      <c r="A200" t="s">
        <v>333</v>
      </c>
      <c r="B200" t="str">
        <f t="shared" si="3"/>
        <v>DEA2</v>
      </c>
      <c r="C200">
        <v>2</v>
      </c>
      <c r="D200" t="s">
        <v>434</v>
      </c>
      <c r="E200" t="s">
        <v>433</v>
      </c>
      <c r="F200" t="s">
        <v>31</v>
      </c>
    </row>
    <row r="201" spans="1:6" x14ac:dyDescent="0.3">
      <c r="A201" t="s">
        <v>335</v>
      </c>
      <c r="B201" t="str">
        <f t="shared" si="3"/>
        <v>DEA5</v>
      </c>
      <c r="C201">
        <v>1</v>
      </c>
      <c r="D201" t="s">
        <v>439</v>
      </c>
      <c r="E201" t="s">
        <v>433</v>
      </c>
      <c r="F201" t="s">
        <v>48</v>
      </c>
    </row>
    <row r="202" spans="1:6" x14ac:dyDescent="0.3">
      <c r="A202" t="s">
        <v>335</v>
      </c>
      <c r="B202" t="str">
        <f t="shared" si="3"/>
        <v>DEA5</v>
      </c>
      <c r="C202">
        <v>2</v>
      </c>
      <c r="D202" t="s">
        <v>434</v>
      </c>
      <c r="E202" t="s">
        <v>433</v>
      </c>
      <c r="F202" t="s">
        <v>31</v>
      </c>
    </row>
    <row r="203" spans="1:6" x14ac:dyDescent="0.3">
      <c r="A203" t="s">
        <v>335</v>
      </c>
      <c r="B203" t="str">
        <f t="shared" si="3"/>
        <v>DEA5</v>
      </c>
      <c r="C203">
        <v>3</v>
      </c>
      <c r="D203" t="s">
        <v>438</v>
      </c>
      <c r="E203" t="s">
        <v>433</v>
      </c>
      <c r="F203" t="s">
        <v>31</v>
      </c>
    </row>
    <row r="204" spans="1:6" x14ac:dyDescent="0.3">
      <c r="A204" t="s">
        <v>339</v>
      </c>
      <c r="B204" t="str">
        <f t="shared" si="3"/>
        <v>DE12</v>
      </c>
      <c r="C204">
        <v>1</v>
      </c>
      <c r="D204" t="s">
        <v>437</v>
      </c>
      <c r="E204" t="s">
        <v>433</v>
      </c>
      <c r="F204" t="s">
        <v>48</v>
      </c>
    </row>
    <row r="205" spans="1:6" x14ac:dyDescent="0.3">
      <c r="A205" t="s">
        <v>339</v>
      </c>
      <c r="B205" t="str">
        <f t="shared" si="3"/>
        <v>DE12</v>
      </c>
      <c r="C205">
        <v>2</v>
      </c>
      <c r="D205" t="s">
        <v>434</v>
      </c>
      <c r="E205" t="s">
        <v>433</v>
      </c>
      <c r="F205" t="s">
        <v>31</v>
      </c>
    </row>
    <row r="206" spans="1:6" x14ac:dyDescent="0.3">
      <c r="A206" t="s">
        <v>342</v>
      </c>
      <c r="B206" t="str">
        <f t="shared" si="3"/>
        <v>DE12</v>
      </c>
      <c r="C206">
        <v>1</v>
      </c>
      <c r="D206" t="s">
        <v>432</v>
      </c>
      <c r="E206" t="s">
        <v>433</v>
      </c>
      <c r="F206" t="s">
        <v>48</v>
      </c>
    </row>
    <row r="207" spans="1:6" x14ac:dyDescent="0.3">
      <c r="A207" t="s">
        <v>342</v>
      </c>
      <c r="B207" t="str">
        <f t="shared" si="3"/>
        <v>DE12</v>
      </c>
      <c r="C207">
        <v>2</v>
      </c>
      <c r="D207" t="s">
        <v>434</v>
      </c>
      <c r="E207" t="s">
        <v>433</v>
      </c>
      <c r="F207" t="s">
        <v>31</v>
      </c>
    </row>
    <row r="208" spans="1:6" x14ac:dyDescent="0.3">
      <c r="A208" t="s">
        <v>342</v>
      </c>
      <c r="B208" t="str">
        <f t="shared" si="3"/>
        <v>DE12</v>
      </c>
      <c r="C208">
        <v>3</v>
      </c>
      <c r="D208" t="s">
        <v>438</v>
      </c>
      <c r="E208" t="s">
        <v>433</v>
      </c>
      <c r="F208" t="s">
        <v>31</v>
      </c>
    </row>
    <row r="209" spans="1:6" x14ac:dyDescent="0.3">
      <c r="A209" t="s">
        <v>342</v>
      </c>
      <c r="B209" t="str">
        <f t="shared" si="3"/>
        <v>DE12</v>
      </c>
      <c r="C209">
        <v>4</v>
      </c>
      <c r="D209" t="s">
        <v>437</v>
      </c>
      <c r="E209" t="s">
        <v>433</v>
      </c>
      <c r="F209" t="s">
        <v>73</v>
      </c>
    </row>
    <row r="210" spans="1:6" x14ac:dyDescent="0.3">
      <c r="A210" t="s">
        <v>344</v>
      </c>
      <c r="B210" t="str">
        <f t="shared" si="3"/>
        <v>DE94</v>
      </c>
      <c r="C210">
        <v>1</v>
      </c>
      <c r="D210" t="s">
        <v>432</v>
      </c>
      <c r="E210" t="s">
        <v>433</v>
      </c>
      <c r="F210" t="s">
        <v>48</v>
      </c>
    </row>
    <row r="211" spans="1:6" x14ac:dyDescent="0.3">
      <c r="A211" t="s">
        <v>344</v>
      </c>
      <c r="B211" t="str">
        <f t="shared" si="3"/>
        <v>DE94</v>
      </c>
      <c r="C211">
        <v>2</v>
      </c>
      <c r="D211" t="s">
        <v>434</v>
      </c>
      <c r="E211" t="s">
        <v>433</v>
      </c>
      <c r="F211" t="s">
        <v>48</v>
      </c>
    </row>
    <row r="212" spans="1:6" x14ac:dyDescent="0.3">
      <c r="A212" t="s">
        <v>344</v>
      </c>
      <c r="B212" t="str">
        <f t="shared" si="3"/>
        <v>DE94</v>
      </c>
      <c r="C212">
        <v>3</v>
      </c>
      <c r="D212" t="s">
        <v>438</v>
      </c>
      <c r="E212" t="s">
        <v>433</v>
      </c>
      <c r="F212" t="s">
        <v>31</v>
      </c>
    </row>
    <row r="213" spans="1:6" x14ac:dyDescent="0.3">
      <c r="A213" t="s">
        <v>345</v>
      </c>
      <c r="B213" t="str">
        <f t="shared" si="3"/>
        <v>DEA1</v>
      </c>
      <c r="C213">
        <v>1</v>
      </c>
      <c r="D213" t="s">
        <v>434</v>
      </c>
      <c r="E213" t="s">
        <v>433</v>
      </c>
      <c r="F213" t="s">
        <v>31</v>
      </c>
    </row>
    <row r="214" spans="1:6" x14ac:dyDescent="0.3">
      <c r="A214" t="s">
        <v>347</v>
      </c>
      <c r="B214" t="str">
        <f t="shared" si="3"/>
        <v>DE14</v>
      </c>
      <c r="C214">
        <v>1</v>
      </c>
      <c r="D214" t="s">
        <v>435</v>
      </c>
      <c r="E214" t="s">
        <v>436</v>
      </c>
      <c r="F214" t="s">
        <v>48</v>
      </c>
    </row>
    <row r="215" spans="1:6" x14ac:dyDescent="0.3">
      <c r="A215" t="s">
        <v>350</v>
      </c>
      <c r="B215" t="str">
        <f t="shared" si="3"/>
        <v>DEA5</v>
      </c>
      <c r="C215">
        <v>1</v>
      </c>
      <c r="D215" t="s">
        <v>439</v>
      </c>
      <c r="E215" t="s">
        <v>433</v>
      </c>
      <c r="F215" t="s">
        <v>48</v>
      </c>
    </row>
    <row r="216" spans="1:6" x14ac:dyDescent="0.3">
      <c r="A216" t="s">
        <v>350</v>
      </c>
      <c r="B216" t="str">
        <f t="shared" si="3"/>
        <v>DEA5</v>
      </c>
      <c r="C216">
        <v>2</v>
      </c>
      <c r="D216" t="s">
        <v>438</v>
      </c>
      <c r="E216" t="s">
        <v>433</v>
      </c>
      <c r="F216" t="s">
        <v>31</v>
      </c>
    </row>
    <row r="217" spans="1:6" x14ac:dyDescent="0.3">
      <c r="A217" t="s">
        <v>350</v>
      </c>
      <c r="B217" t="str">
        <f t="shared" si="3"/>
        <v>DEA5</v>
      </c>
      <c r="C217">
        <v>3</v>
      </c>
      <c r="D217" t="s">
        <v>440</v>
      </c>
      <c r="E217" t="s">
        <v>441</v>
      </c>
      <c r="F217" t="s">
        <v>73</v>
      </c>
    </row>
    <row r="218" spans="1:6" x14ac:dyDescent="0.3">
      <c r="A218" t="s">
        <v>352</v>
      </c>
      <c r="B218" t="str">
        <f t="shared" si="3"/>
        <v>DE14</v>
      </c>
      <c r="C218">
        <v>1</v>
      </c>
      <c r="D218" t="s">
        <v>439</v>
      </c>
      <c r="E218" t="s">
        <v>433</v>
      </c>
      <c r="F218" t="s">
        <v>48</v>
      </c>
    </row>
    <row r="219" spans="1:6" x14ac:dyDescent="0.3">
      <c r="A219" t="s">
        <v>352</v>
      </c>
      <c r="B219" t="str">
        <f t="shared" si="3"/>
        <v>DE14</v>
      </c>
      <c r="C219">
        <v>2</v>
      </c>
      <c r="D219" t="s">
        <v>440</v>
      </c>
      <c r="E219" t="s">
        <v>441</v>
      </c>
      <c r="F219" t="s">
        <v>31</v>
      </c>
    </row>
    <row r="220" spans="1:6" x14ac:dyDescent="0.3">
      <c r="A220" t="s">
        <v>355</v>
      </c>
      <c r="B220" t="str">
        <f t="shared" si="3"/>
        <v>DEA1</v>
      </c>
      <c r="C220">
        <v>1</v>
      </c>
      <c r="D220" t="s">
        <v>434</v>
      </c>
      <c r="E220" t="s">
        <v>433</v>
      </c>
      <c r="F220" t="s">
        <v>48</v>
      </c>
    </row>
    <row r="221" spans="1:6" x14ac:dyDescent="0.3">
      <c r="A221" t="s">
        <v>357</v>
      </c>
      <c r="B221" t="str">
        <f t="shared" si="3"/>
        <v>DE71</v>
      </c>
      <c r="C221">
        <v>1</v>
      </c>
      <c r="D221" t="s">
        <v>432</v>
      </c>
      <c r="E221" t="s">
        <v>433</v>
      </c>
      <c r="F221" t="s">
        <v>48</v>
      </c>
    </row>
    <row r="222" spans="1:6" x14ac:dyDescent="0.3">
      <c r="A222" t="s">
        <v>357</v>
      </c>
      <c r="B222" t="str">
        <f t="shared" si="3"/>
        <v>DE71</v>
      </c>
      <c r="C222">
        <v>2</v>
      </c>
      <c r="D222" t="s">
        <v>434</v>
      </c>
      <c r="E222" t="s">
        <v>433</v>
      </c>
      <c r="F222" t="s">
        <v>31</v>
      </c>
    </row>
    <row r="223" spans="1:6" x14ac:dyDescent="0.3">
      <c r="A223" t="s">
        <v>357</v>
      </c>
      <c r="B223" t="str">
        <f t="shared" si="3"/>
        <v>DE71</v>
      </c>
      <c r="C223">
        <v>3</v>
      </c>
      <c r="D223" t="s">
        <v>438</v>
      </c>
      <c r="E223" t="s">
        <v>433</v>
      </c>
      <c r="F223" t="s">
        <v>31</v>
      </c>
    </row>
    <row r="224" spans="1:6" x14ac:dyDescent="0.3">
      <c r="A224" t="s">
        <v>363</v>
      </c>
      <c r="B224" t="str">
        <f t="shared" si="3"/>
        <v>DEG0</v>
      </c>
      <c r="C224">
        <v>1</v>
      </c>
      <c r="D224" t="s">
        <v>439</v>
      </c>
      <c r="E224" t="s">
        <v>433</v>
      </c>
      <c r="F224" t="s">
        <v>48</v>
      </c>
    </row>
    <row r="225" spans="1:6" x14ac:dyDescent="0.3">
      <c r="A225" t="s">
        <v>363</v>
      </c>
      <c r="B225" t="str">
        <f t="shared" si="3"/>
        <v>DEG0</v>
      </c>
      <c r="C225">
        <v>2</v>
      </c>
      <c r="D225" t="s">
        <v>440</v>
      </c>
      <c r="E225" t="s">
        <v>441</v>
      </c>
      <c r="F225" t="s">
        <v>31</v>
      </c>
    </row>
    <row r="226" spans="1:6" x14ac:dyDescent="0.3">
      <c r="A226" t="s">
        <v>363</v>
      </c>
      <c r="B226" t="str">
        <f t="shared" si="3"/>
        <v>DEG0</v>
      </c>
      <c r="C226">
        <v>3</v>
      </c>
      <c r="D226" t="s">
        <v>435</v>
      </c>
      <c r="E226" t="s">
        <v>436</v>
      </c>
      <c r="F226" t="s">
        <v>31</v>
      </c>
    </row>
    <row r="227" spans="1:6" x14ac:dyDescent="0.3">
      <c r="A227" t="s">
        <v>367</v>
      </c>
      <c r="B227" t="str">
        <f t="shared" si="3"/>
        <v>DED2</v>
      </c>
      <c r="C227">
        <v>1</v>
      </c>
      <c r="D227" t="s">
        <v>432</v>
      </c>
      <c r="E227" t="s">
        <v>433</v>
      </c>
      <c r="F227" t="s">
        <v>48</v>
      </c>
    </row>
    <row r="228" spans="1:6" x14ac:dyDescent="0.3">
      <c r="A228" t="s">
        <v>369</v>
      </c>
      <c r="B228" t="str">
        <f t="shared" si="3"/>
        <v>DEC0</v>
      </c>
      <c r="C228">
        <v>1</v>
      </c>
      <c r="D228" t="s">
        <v>435</v>
      </c>
      <c r="E228" t="s">
        <v>433</v>
      </c>
      <c r="F228" t="s">
        <v>31</v>
      </c>
    </row>
    <row r="229" spans="1:6" x14ac:dyDescent="0.3">
      <c r="A229" t="s">
        <v>369</v>
      </c>
      <c r="B229" t="str">
        <f t="shared" si="3"/>
        <v>DEC0</v>
      </c>
      <c r="C229">
        <v>2</v>
      </c>
      <c r="D229" t="s">
        <v>439</v>
      </c>
      <c r="E229" t="s">
        <v>433</v>
      </c>
      <c r="F229" t="s">
        <v>48</v>
      </c>
    </row>
    <row r="230" spans="1:6" x14ac:dyDescent="0.3">
      <c r="A230" t="s">
        <v>369</v>
      </c>
      <c r="B230" t="str">
        <f t="shared" si="3"/>
        <v>DEC0</v>
      </c>
      <c r="C230">
        <v>3</v>
      </c>
      <c r="D230" t="s">
        <v>437</v>
      </c>
      <c r="E230" t="s">
        <v>433</v>
      </c>
      <c r="F230" t="s">
        <v>31</v>
      </c>
    </row>
    <row r="231" spans="1:6" x14ac:dyDescent="0.3">
      <c r="A231" t="s">
        <v>372</v>
      </c>
      <c r="B231" t="str">
        <f t="shared" si="3"/>
        <v>DE23</v>
      </c>
      <c r="C231">
        <v>1</v>
      </c>
      <c r="D231" t="s">
        <v>439</v>
      </c>
      <c r="E231" t="s">
        <v>433</v>
      </c>
      <c r="F231" t="s">
        <v>48</v>
      </c>
    </row>
    <row r="232" spans="1:6" x14ac:dyDescent="0.3">
      <c r="A232" t="s">
        <v>372</v>
      </c>
      <c r="B232" t="str">
        <f t="shared" si="3"/>
        <v>DE23</v>
      </c>
      <c r="C232">
        <v>2</v>
      </c>
      <c r="D232" t="s">
        <v>440</v>
      </c>
      <c r="E232" t="s">
        <v>441</v>
      </c>
      <c r="F232" t="s">
        <v>31</v>
      </c>
    </row>
    <row r="233" spans="1:6" x14ac:dyDescent="0.3">
      <c r="A233" t="s">
        <v>372</v>
      </c>
      <c r="B233" t="str">
        <f t="shared" si="3"/>
        <v>DE23</v>
      </c>
      <c r="C233">
        <v>3</v>
      </c>
      <c r="D233" t="s">
        <v>438</v>
      </c>
      <c r="E233" t="s">
        <v>433</v>
      </c>
      <c r="F233" t="s">
        <v>31</v>
      </c>
    </row>
    <row r="234" spans="1:6" x14ac:dyDescent="0.3">
      <c r="A234" t="s">
        <v>374</v>
      </c>
      <c r="B234" t="str">
        <f t="shared" si="3"/>
        <v>DE22</v>
      </c>
      <c r="C234">
        <v>1</v>
      </c>
      <c r="D234" t="s">
        <v>434</v>
      </c>
      <c r="E234" t="s">
        <v>433</v>
      </c>
      <c r="F234" t="s">
        <v>48</v>
      </c>
    </row>
    <row r="235" spans="1:6" x14ac:dyDescent="0.3">
      <c r="A235" t="s">
        <v>374</v>
      </c>
      <c r="B235" t="str">
        <f t="shared" si="3"/>
        <v>DE22</v>
      </c>
      <c r="C235">
        <v>2</v>
      </c>
      <c r="D235" t="s">
        <v>437</v>
      </c>
      <c r="E235" t="s">
        <v>433</v>
      </c>
      <c r="F235" t="s">
        <v>31</v>
      </c>
    </row>
    <row r="236" spans="1:6" x14ac:dyDescent="0.3">
      <c r="A236" t="s">
        <v>374</v>
      </c>
      <c r="B236" t="str">
        <f t="shared" si="3"/>
        <v>DE22</v>
      </c>
      <c r="C236">
        <v>3</v>
      </c>
      <c r="D236" t="s">
        <v>435</v>
      </c>
      <c r="E236" t="s">
        <v>433</v>
      </c>
      <c r="F236" t="s">
        <v>31</v>
      </c>
    </row>
    <row r="237" spans="1:6" x14ac:dyDescent="0.3">
      <c r="A237" t="s">
        <v>377</v>
      </c>
      <c r="B237" t="str">
        <f t="shared" si="3"/>
        <v>DEA2</v>
      </c>
      <c r="C237">
        <v>1</v>
      </c>
      <c r="D237" t="s">
        <v>432</v>
      </c>
      <c r="E237" t="s">
        <v>433</v>
      </c>
      <c r="F237" t="s">
        <v>48</v>
      </c>
    </row>
    <row r="238" spans="1:6" x14ac:dyDescent="0.3">
      <c r="A238" t="s">
        <v>377</v>
      </c>
      <c r="B238" t="str">
        <f t="shared" si="3"/>
        <v>DEA2</v>
      </c>
      <c r="C238">
        <v>2</v>
      </c>
      <c r="D238" t="s">
        <v>434</v>
      </c>
      <c r="E238" t="s">
        <v>433</v>
      </c>
      <c r="F238" t="s">
        <v>31</v>
      </c>
    </row>
    <row r="239" spans="1:6" x14ac:dyDescent="0.3">
      <c r="A239" t="s">
        <v>379</v>
      </c>
      <c r="B239" t="str">
        <f t="shared" si="3"/>
        <v>DE27</v>
      </c>
      <c r="C239">
        <v>1</v>
      </c>
      <c r="D239" t="s">
        <v>432</v>
      </c>
      <c r="E239" t="s">
        <v>433</v>
      </c>
      <c r="F239" t="s">
        <v>48</v>
      </c>
    </row>
    <row r="240" spans="1:6" x14ac:dyDescent="0.3">
      <c r="A240" t="s">
        <v>379</v>
      </c>
      <c r="B240" t="str">
        <f t="shared" si="3"/>
        <v>DE27</v>
      </c>
      <c r="C240">
        <v>2</v>
      </c>
      <c r="D240" t="s">
        <v>434</v>
      </c>
      <c r="E240" t="s">
        <v>433</v>
      </c>
      <c r="F240" t="s">
        <v>31</v>
      </c>
    </row>
    <row r="241" spans="1:6" x14ac:dyDescent="0.3">
      <c r="A241" t="s">
        <v>379</v>
      </c>
      <c r="B241" t="str">
        <f t="shared" si="3"/>
        <v>DE27</v>
      </c>
      <c r="C241">
        <v>3</v>
      </c>
      <c r="D241" t="s">
        <v>437</v>
      </c>
      <c r="E241" t="s">
        <v>433</v>
      </c>
      <c r="F241" t="s">
        <v>31</v>
      </c>
    </row>
    <row r="242" spans="1:6" x14ac:dyDescent="0.3">
      <c r="A242" t="s">
        <v>379</v>
      </c>
      <c r="B242" t="str">
        <f t="shared" si="3"/>
        <v>DE27</v>
      </c>
      <c r="C242">
        <v>4</v>
      </c>
      <c r="D242" t="s">
        <v>438</v>
      </c>
      <c r="E242" t="s">
        <v>433</v>
      </c>
      <c r="F242" t="s">
        <v>31</v>
      </c>
    </row>
    <row r="243" spans="1:6" x14ac:dyDescent="0.3">
      <c r="A243" t="s">
        <v>381</v>
      </c>
      <c r="B243" t="str">
        <f t="shared" si="3"/>
        <v>DE24</v>
      </c>
      <c r="C243">
        <v>1</v>
      </c>
      <c r="D243" t="s">
        <v>440</v>
      </c>
      <c r="E243" t="s">
        <v>441</v>
      </c>
      <c r="F243" t="s">
        <v>48</v>
      </c>
    </row>
    <row r="244" spans="1:6" x14ac:dyDescent="0.3">
      <c r="A244" t="s">
        <v>381</v>
      </c>
      <c r="B244" t="str">
        <f t="shared" si="3"/>
        <v>DE24</v>
      </c>
      <c r="C244">
        <v>2</v>
      </c>
      <c r="D244" t="s">
        <v>434</v>
      </c>
      <c r="E244" t="s">
        <v>433</v>
      </c>
      <c r="F244" t="s">
        <v>48</v>
      </c>
    </row>
    <row r="245" spans="1:6" x14ac:dyDescent="0.3">
      <c r="A245" t="s">
        <v>381</v>
      </c>
      <c r="B245" t="str">
        <f t="shared" si="3"/>
        <v>DE24</v>
      </c>
      <c r="C245">
        <v>3</v>
      </c>
      <c r="D245" t="s">
        <v>438</v>
      </c>
      <c r="E245" t="s">
        <v>433</v>
      </c>
      <c r="F245" t="s">
        <v>48</v>
      </c>
    </row>
    <row r="246" spans="1:6" x14ac:dyDescent="0.3">
      <c r="A246" t="s">
        <v>381</v>
      </c>
      <c r="B246" t="str">
        <f t="shared" si="3"/>
        <v>DE24</v>
      </c>
      <c r="C246">
        <v>4</v>
      </c>
      <c r="D246" t="s">
        <v>439</v>
      </c>
      <c r="E246" t="s">
        <v>433</v>
      </c>
      <c r="F246" t="s">
        <v>31</v>
      </c>
    </row>
    <row r="247" spans="1:6" x14ac:dyDescent="0.3">
      <c r="A247" t="s">
        <v>384</v>
      </c>
      <c r="B247" t="str">
        <f t="shared" si="3"/>
        <v>DE14</v>
      </c>
      <c r="C247">
        <v>1</v>
      </c>
      <c r="D247" t="s">
        <v>435</v>
      </c>
      <c r="E247" t="s">
        <v>436</v>
      </c>
      <c r="F247" t="s">
        <v>48</v>
      </c>
    </row>
    <row r="248" spans="1:6" x14ac:dyDescent="0.3">
      <c r="A248" t="s">
        <v>384</v>
      </c>
      <c r="B248" t="str">
        <f t="shared" si="3"/>
        <v>DE14</v>
      </c>
      <c r="C248">
        <v>2</v>
      </c>
      <c r="D248" t="s">
        <v>437</v>
      </c>
      <c r="E248" t="s">
        <v>433</v>
      </c>
      <c r="F248" t="s">
        <v>31</v>
      </c>
    </row>
    <row r="249" spans="1:6" x14ac:dyDescent="0.3">
      <c r="A249" t="s">
        <v>384</v>
      </c>
      <c r="B249" t="str">
        <f t="shared" si="3"/>
        <v>DE14</v>
      </c>
      <c r="C249">
        <v>3</v>
      </c>
      <c r="D249" t="s">
        <v>434</v>
      </c>
      <c r="E249" t="s">
        <v>433</v>
      </c>
      <c r="F249" t="s">
        <v>31</v>
      </c>
    </row>
    <row r="250" spans="1:6" x14ac:dyDescent="0.3">
      <c r="A250" t="s">
        <v>388</v>
      </c>
      <c r="B250" t="str">
        <f t="shared" si="3"/>
        <v>DE11</v>
      </c>
      <c r="C250">
        <v>1</v>
      </c>
      <c r="D250" t="s">
        <v>432</v>
      </c>
      <c r="E250" t="s">
        <v>433</v>
      </c>
      <c r="F250" t="s">
        <v>48</v>
      </c>
    </row>
    <row r="251" spans="1:6" x14ac:dyDescent="0.3">
      <c r="A251" t="s">
        <v>388</v>
      </c>
      <c r="B251" t="str">
        <f t="shared" si="3"/>
        <v>DE11</v>
      </c>
      <c r="C251">
        <v>2</v>
      </c>
      <c r="D251" t="s">
        <v>434</v>
      </c>
      <c r="E251" t="s">
        <v>433</v>
      </c>
      <c r="F251" t="s">
        <v>48</v>
      </c>
    </row>
    <row r="252" spans="1:6" x14ac:dyDescent="0.3">
      <c r="A252" t="s">
        <v>388</v>
      </c>
      <c r="B252" t="str">
        <f t="shared" si="3"/>
        <v>DE11</v>
      </c>
      <c r="C252">
        <v>3</v>
      </c>
      <c r="D252" t="s">
        <v>438</v>
      </c>
      <c r="E252" t="s">
        <v>433</v>
      </c>
      <c r="F252" t="s">
        <v>48</v>
      </c>
    </row>
    <row r="253" spans="1:6" x14ac:dyDescent="0.3">
      <c r="A253" t="s">
        <v>391</v>
      </c>
      <c r="B253" t="str">
        <f t="shared" si="3"/>
        <v>DE11</v>
      </c>
      <c r="C253">
        <v>1</v>
      </c>
      <c r="D253" t="s">
        <v>435</v>
      </c>
      <c r="E253" t="s">
        <v>436</v>
      </c>
      <c r="F253" t="s">
        <v>48</v>
      </c>
    </row>
    <row r="254" spans="1:6" x14ac:dyDescent="0.3">
      <c r="A254" t="s">
        <v>393</v>
      </c>
      <c r="B254" t="str">
        <f t="shared" si="3"/>
        <v>DEC0</v>
      </c>
      <c r="C254">
        <v>1</v>
      </c>
      <c r="D254" t="s">
        <v>432</v>
      </c>
      <c r="E254" t="s">
        <v>433</v>
      </c>
      <c r="F254" t="s">
        <v>48</v>
      </c>
    </row>
    <row r="255" spans="1:6" x14ac:dyDescent="0.3">
      <c r="A255" t="s">
        <v>393</v>
      </c>
      <c r="B255" t="str">
        <f t="shared" si="3"/>
        <v>DEC0</v>
      </c>
      <c r="C255">
        <v>2</v>
      </c>
      <c r="D255" t="s">
        <v>434</v>
      </c>
      <c r="E255" t="s">
        <v>433</v>
      </c>
      <c r="F255" t="s">
        <v>48</v>
      </c>
    </row>
    <row r="256" spans="1:6" x14ac:dyDescent="0.3">
      <c r="A256" t="s">
        <v>395</v>
      </c>
      <c r="B256" t="str">
        <f t="shared" si="3"/>
        <v>DE11</v>
      </c>
      <c r="C256">
        <v>1</v>
      </c>
      <c r="D256" t="s">
        <v>439</v>
      </c>
      <c r="E256" t="s">
        <v>433</v>
      </c>
      <c r="F256" t="s">
        <v>48</v>
      </c>
    </row>
    <row r="257" spans="1:6" x14ac:dyDescent="0.3">
      <c r="A257" t="s">
        <v>395</v>
      </c>
      <c r="B257" t="str">
        <f t="shared" si="3"/>
        <v>DE11</v>
      </c>
      <c r="C257">
        <v>2</v>
      </c>
      <c r="D257" t="s">
        <v>435</v>
      </c>
      <c r="E257" t="s">
        <v>436</v>
      </c>
      <c r="F257" t="s">
        <v>31</v>
      </c>
    </row>
    <row r="258" spans="1:6" x14ac:dyDescent="0.3">
      <c r="A258" t="s">
        <v>395</v>
      </c>
      <c r="B258" t="str">
        <f t="shared" si="3"/>
        <v>DE11</v>
      </c>
      <c r="C258">
        <v>3</v>
      </c>
      <c r="D258" t="s">
        <v>440</v>
      </c>
      <c r="E258" t="s">
        <v>441</v>
      </c>
      <c r="F258" t="s">
        <v>73</v>
      </c>
    </row>
    <row r="259" spans="1:6" x14ac:dyDescent="0.3">
      <c r="A259" t="s">
        <v>397</v>
      </c>
      <c r="B259" t="str">
        <f t="shared" ref="B259:B281" si="4">RIGHT(A259,LEN(A259)-FIND("@",SUBSTITUTE(A259,"_","@",LEN(A259)-LEN(SUBSTITUTE(A259,"_","")))))</f>
        <v>DE11</v>
      </c>
      <c r="C259">
        <v>1</v>
      </c>
      <c r="D259" t="s">
        <v>435</v>
      </c>
      <c r="E259" t="s">
        <v>436</v>
      </c>
      <c r="F259" t="s">
        <v>48</v>
      </c>
    </row>
    <row r="260" spans="1:6" x14ac:dyDescent="0.3">
      <c r="A260" t="s">
        <v>397</v>
      </c>
      <c r="B260" t="str">
        <f t="shared" si="4"/>
        <v>DE11</v>
      </c>
      <c r="C260">
        <v>2</v>
      </c>
      <c r="D260" t="s">
        <v>438</v>
      </c>
      <c r="E260" t="s">
        <v>433</v>
      </c>
      <c r="F260" t="s">
        <v>48</v>
      </c>
    </row>
    <row r="261" spans="1:6" x14ac:dyDescent="0.3">
      <c r="A261" t="s">
        <v>397</v>
      </c>
      <c r="B261" t="str">
        <f t="shared" si="4"/>
        <v>DE11</v>
      </c>
      <c r="C261">
        <v>3</v>
      </c>
      <c r="D261" t="s">
        <v>434</v>
      </c>
      <c r="E261" t="s">
        <v>433</v>
      </c>
      <c r="F261" t="s">
        <v>31</v>
      </c>
    </row>
    <row r="262" spans="1:6" x14ac:dyDescent="0.3">
      <c r="A262" t="s">
        <v>399</v>
      </c>
      <c r="B262" t="str">
        <f t="shared" si="4"/>
        <v>DEG0</v>
      </c>
      <c r="C262">
        <v>1</v>
      </c>
      <c r="D262" t="s">
        <v>432</v>
      </c>
      <c r="E262" t="s">
        <v>433</v>
      </c>
      <c r="F262" t="s">
        <v>48</v>
      </c>
    </row>
    <row r="263" spans="1:6" x14ac:dyDescent="0.3">
      <c r="A263" t="s">
        <v>403</v>
      </c>
      <c r="B263" t="str">
        <f t="shared" si="4"/>
        <v>DE21</v>
      </c>
      <c r="C263">
        <v>1</v>
      </c>
      <c r="D263" t="s">
        <v>434</v>
      </c>
      <c r="E263" t="s">
        <v>433</v>
      </c>
      <c r="F263" t="s">
        <v>48</v>
      </c>
    </row>
    <row r="264" spans="1:6" x14ac:dyDescent="0.3">
      <c r="A264" t="s">
        <v>403</v>
      </c>
      <c r="B264" t="str">
        <f t="shared" si="4"/>
        <v>DE21</v>
      </c>
      <c r="C264">
        <v>2</v>
      </c>
      <c r="D264" t="s">
        <v>438</v>
      </c>
      <c r="E264" t="s">
        <v>433</v>
      </c>
      <c r="F264" t="s">
        <v>31</v>
      </c>
    </row>
    <row r="265" spans="1:6" x14ac:dyDescent="0.3">
      <c r="A265" t="s">
        <v>403</v>
      </c>
      <c r="B265" t="str">
        <f t="shared" si="4"/>
        <v>DE21</v>
      </c>
      <c r="C265">
        <v>3</v>
      </c>
      <c r="D265" t="s">
        <v>439</v>
      </c>
      <c r="E265" t="s">
        <v>433</v>
      </c>
      <c r="F265" t="s">
        <v>31</v>
      </c>
    </row>
    <row r="266" spans="1:6" x14ac:dyDescent="0.3">
      <c r="A266" t="s">
        <v>406</v>
      </c>
      <c r="B266" t="str">
        <f t="shared" si="4"/>
        <v>DE26</v>
      </c>
      <c r="C266">
        <v>1</v>
      </c>
      <c r="D266" t="s">
        <v>435</v>
      </c>
      <c r="E266" t="s">
        <v>433</v>
      </c>
      <c r="F266" t="s">
        <v>48</v>
      </c>
    </row>
    <row r="267" spans="1:6" x14ac:dyDescent="0.3">
      <c r="A267" t="s">
        <v>406</v>
      </c>
      <c r="B267" t="str">
        <f t="shared" si="4"/>
        <v>DE26</v>
      </c>
      <c r="C267">
        <v>2</v>
      </c>
      <c r="D267" t="s">
        <v>437</v>
      </c>
      <c r="E267" t="s">
        <v>433</v>
      </c>
      <c r="F267" t="s">
        <v>31</v>
      </c>
    </row>
    <row r="268" spans="1:6" x14ac:dyDescent="0.3">
      <c r="A268" t="s">
        <v>411</v>
      </c>
      <c r="B268" t="str">
        <f t="shared" si="4"/>
        <v>DED2</v>
      </c>
      <c r="C268">
        <v>1</v>
      </c>
      <c r="D268" t="s">
        <v>439</v>
      </c>
      <c r="E268" t="s">
        <v>433</v>
      </c>
      <c r="F268" t="s">
        <v>48</v>
      </c>
    </row>
    <row r="269" spans="1:6" x14ac:dyDescent="0.3">
      <c r="A269" t="s">
        <v>413</v>
      </c>
      <c r="B269" t="str">
        <f t="shared" si="4"/>
        <v>DE94</v>
      </c>
      <c r="C269">
        <v>1</v>
      </c>
      <c r="D269" t="s">
        <v>432</v>
      </c>
      <c r="E269" t="s">
        <v>433</v>
      </c>
      <c r="F269" t="s">
        <v>48</v>
      </c>
    </row>
    <row r="270" spans="1:6" x14ac:dyDescent="0.3">
      <c r="A270" t="s">
        <v>413</v>
      </c>
      <c r="B270" t="str">
        <f t="shared" si="4"/>
        <v>DE94</v>
      </c>
      <c r="C270">
        <v>2</v>
      </c>
      <c r="D270" t="s">
        <v>434</v>
      </c>
      <c r="E270" t="s">
        <v>433</v>
      </c>
      <c r="F270" t="s">
        <v>48</v>
      </c>
    </row>
    <row r="271" spans="1:6" x14ac:dyDescent="0.3">
      <c r="A271" t="s">
        <v>413</v>
      </c>
      <c r="B271" t="str">
        <f t="shared" si="4"/>
        <v>DE94</v>
      </c>
      <c r="C271">
        <v>3</v>
      </c>
      <c r="D271" t="s">
        <v>437</v>
      </c>
      <c r="E271" t="s">
        <v>433</v>
      </c>
      <c r="F271" t="s">
        <v>48</v>
      </c>
    </row>
    <row r="272" spans="1:6" x14ac:dyDescent="0.3">
      <c r="A272" t="s">
        <v>417</v>
      </c>
      <c r="B272" t="str">
        <f t="shared" si="4"/>
        <v>DED5</v>
      </c>
      <c r="C272">
        <v>1</v>
      </c>
      <c r="D272" t="s">
        <v>432</v>
      </c>
      <c r="E272" t="s">
        <v>433</v>
      </c>
      <c r="F272" t="s">
        <v>48</v>
      </c>
    </row>
    <row r="273" spans="1:6" x14ac:dyDescent="0.3">
      <c r="A273" t="s">
        <v>417</v>
      </c>
      <c r="B273" t="str">
        <f t="shared" si="4"/>
        <v>DED5</v>
      </c>
      <c r="C273">
        <v>2</v>
      </c>
      <c r="D273" t="s">
        <v>434</v>
      </c>
      <c r="E273" t="s">
        <v>433</v>
      </c>
      <c r="F273" t="s">
        <v>48</v>
      </c>
    </row>
    <row r="274" spans="1:6" x14ac:dyDescent="0.3">
      <c r="A274" t="s">
        <v>419</v>
      </c>
      <c r="B274" t="str">
        <f t="shared" si="4"/>
        <v>DEA1</v>
      </c>
      <c r="C274">
        <v>1</v>
      </c>
      <c r="D274" t="s">
        <v>434</v>
      </c>
      <c r="E274" t="s">
        <v>433</v>
      </c>
      <c r="F274" t="s">
        <v>48</v>
      </c>
    </row>
    <row r="275" spans="1:6" x14ac:dyDescent="0.3">
      <c r="A275" t="s">
        <v>419</v>
      </c>
      <c r="B275" t="str">
        <f t="shared" si="4"/>
        <v>DEA1</v>
      </c>
      <c r="C275">
        <v>2</v>
      </c>
      <c r="D275" t="s">
        <v>438</v>
      </c>
      <c r="E275" t="s">
        <v>433</v>
      </c>
      <c r="F275" t="s">
        <v>48</v>
      </c>
    </row>
    <row r="276" spans="1:6" x14ac:dyDescent="0.3">
      <c r="A276" t="s">
        <v>419</v>
      </c>
      <c r="B276" t="str">
        <f t="shared" si="4"/>
        <v>DEA1</v>
      </c>
      <c r="C276">
        <v>3</v>
      </c>
      <c r="D276" t="s">
        <v>439</v>
      </c>
      <c r="E276" t="s">
        <v>433</v>
      </c>
      <c r="F276" t="s">
        <v>31</v>
      </c>
    </row>
    <row r="277" spans="1:6" x14ac:dyDescent="0.3">
      <c r="A277" t="s">
        <v>419</v>
      </c>
      <c r="B277" t="str">
        <f t="shared" si="4"/>
        <v>DEA1</v>
      </c>
      <c r="C277">
        <v>4</v>
      </c>
      <c r="D277" t="s">
        <v>440</v>
      </c>
      <c r="E277" t="s">
        <v>441</v>
      </c>
      <c r="F277" t="s">
        <v>31</v>
      </c>
    </row>
    <row r="278" spans="1:6" x14ac:dyDescent="0.3">
      <c r="A278" t="s">
        <v>422</v>
      </c>
      <c r="B278" t="str">
        <f t="shared" si="4"/>
        <v>DEA1</v>
      </c>
      <c r="C278">
        <v>1</v>
      </c>
      <c r="D278" t="s">
        <v>434</v>
      </c>
      <c r="E278" t="s">
        <v>433</v>
      </c>
      <c r="F278" t="s">
        <v>48</v>
      </c>
    </row>
    <row r="279" spans="1:6" x14ac:dyDescent="0.3">
      <c r="A279" t="s">
        <v>422</v>
      </c>
      <c r="B279" t="str">
        <f t="shared" si="4"/>
        <v>DEA1</v>
      </c>
      <c r="C279">
        <v>2</v>
      </c>
      <c r="D279" t="s">
        <v>439</v>
      </c>
      <c r="E279" t="s">
        <v>433</v>
      </c>
      <c r="F279" t="s">
        <v>31</v>
      </c>
    </row>
    <row r="280" spans="1:6" x14ac:dyDescent="0.3">
      <c r="A280" t="s">
        <v>422</v>
      </c>
      <c r="B280" t="str">
        <f t="shared" si="4"/>
        <v>DEA1</v>
      </c>
      <c r="C280">
        <v>3</v>
      </c>
      <c r="D280" t="s">
        <v>438</v>
      </c>
      <c r="E280" t="s">
        <v>433</v>
      </c>
      <c r="F280" t="s">
        <v>31</v>
      </c>
    </row>
    <row r="281" spans="1:6" x14ac:dyDescent="0.3">
      <c r="A281" t="s">
        <v>426</v>
      </c>
      <c r="B281" t="str">
        <f t="shared" si="4"/>
        <v>DEA5</v>
      </c>
      <c r="C281">
        <v>2</v>
      </c>
      <c r="D281" t="s">
        <v>434</v>
      </c>
      <c r="E281" t="s">
        <v>433</v>
      </c>
      <c r="F281" t="s">
        <v>48</v>
      </c>
    </row>
  </sheetData>
  <autoFilter ref="E1:E283" xr:uid="{00000000-0001-0000-01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7"/>
  <sheetViews>
    <sheetView workbookViewId="0">
      <selection activeCell="C51" sqref="C51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3200</v>
      </c>
      <c r="G2" t="s">
        <v>30</v>
      </c>
      <c r="H2" t="s">
        <v>31</v>
      </c>
      <c r="I2" t="b">
        <v>1</v>
      </c>
      <c r="J2">
        <v>2</v>
      </c>
      <c r="K2">
        <v>0</v>
      </c>
      <c r="L2">
        <v>0</v>
      </c>
      <c r="M2">
        <v>2</v>
      </c>
      <c r="N2">
        <v>64.5</v>
      </c>
      <c r="O2">
        <v>0.29699999999999999</v>
      </c>
      <c r="P2" t="s">
        <v>32</v>
      </c>
      <c r="Q2">
        <v>100</v>
      </c>
      <c r="R2">
        <v>1</v>
      </c>
      <c r="S2" t="s">
        <v>33</v>
      </c>
      <c r="T2">
        <v>66.900000000000006</v>
      </c>
      <c r="U2">
        <v>0.27100000000000002</v>
      </c>
      <c r="V2">
        <v>30000</v>
      </c>
      <c r="W2">
        <v>0.27300000000000002</v>
      </c>
      <c r="X2">
        <v>7.3899999999999993E-2</v>
      </c>
      <c r="Y2">
        <v>0.58599999999999997</v>
      </c>
    </row>
    <row r="3" spans="1:25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>
        <v>1200</v>
      </c>
      <c r="G3" t="s">
        <v>39</v>
      </c>
      <c r="H3" t="s">
        <v>31</v>
      </c>
      <c r="I3" t="b">
        <v>1</v>
      </c>
      <c r="J3">
        <v>1</v>
      </c>
      <c r="K3">
        <v>1</v>
      </c>
      <c r="L3">
        <v>0</v>
      </c>
      <c r="M3">
        <v>0</v>
      </c>
      <c r="N3">
        <v>15</v>
      </c>
      <c r="O3">
        <v>1</v>
      </c>
      <c r="P3" t="s">
        <v>40</v>
      </c>
      <c r="Q3">
        <v>8.6999999999999993</v>
      </c>
      <c r="R3">
        <v>23</v>
      </c>
      <c r="S3" t="s">
        <v>41</v>
      </c>
      <c r="T3">
        <v>60.8</v>
      </c>
      <c r="U3">
        <v>0.36799999999999999</v>
      </c>
      <c r="V3">
        <v>20700</v>
      </c>
      <c r="W3">
        <v>4.9000000000000002E-2</v>
      </c>
      <c r="X3">
        <v>1.8100000000000002E-2</v>
      </c>
      <c r="Y3">
        <v>0.81100000000000005</v>
      </c>
    </row>
    <row r="4" spans="1:25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>
        <v>8000</v>
      </c>
      <c r="G4" t="s">
        <v>47</v>
      </c>
      <c r="H4" t="s">
        <v>48</v>
      </c>
      <c r="I4" t="b">
        <v>1</v>
      </c>
      <c r="J4">
        <v>4</v>
      </c>
      <c r="K4">
        <v>0</v>
      </c>
      <c r="L4">
        <v>0</v>
      </c>
      <c r="M4">
        <v>4</v>
      </c>
      <c r="N4">
        <v>70.5</v>
      </c>
      <c r="O4">
        <v>0.23499999999999999</v>
      </c>
      <c r="P4" t="s">
        <v>49</v>
      </c>
      <c r="Q4">
        <v>19.100000000000001</v>
      </c>
      <c r="R4">
        <v>14</v>
      </c>
      <c r="S4" t="s">
        <v>41</v>
      </c>
      <c r="T4">
        <v>70.5</v>
      </c>
      <c r="U4">
        <v>0.23499999999999999</v>
      </c>
      <c r="V4">
        <v>8000</v>
      </c>
      <c r="W4">
        <v>8.4000000000000005E-2</v>
      </c>
      <c r="X4">
        <v>1.9800000000000002E-2</v>
      </c>
      <c r="Y4">
        <v>0.67</v>
      </c>
    </row>
    <row r="5" spans="1:25" x14ac:dyDescent="0.3">
      <c r="A5" t="s">
        <v>50</v>
      </c>
      <c r="B5" t="s">
        <v>51</v>
      </c>
      <c r="C5" t="s">
        <v>52</v>
      </c>
      <c r="D5" t="s">
        <v>53</v>
      </c>
      <c r="E5" t="s">
        <v>54</v>
      </c>
      <c r="G5" t="s">
        <v>30</v>
      </c>
      <c r="H5" t="s">
        <v>31</v>
      </c>
      <c r="I5" t="b">
        <v>1</v>
      </c>
      <c r="J5">
        <v>1</v>
      </c>
      <c r="K5">
        <v>1</v>
      </c>
      <c r="L5">
        <v>0</v>
      </c>
      <c r="M5">
        <v>0</v>
      </c>
      <c r="N5">
        <v>15</v>
      </c>
      <c r="O5">
        <v>1</v>
      </c>
      <c r="P5" t="s">
        <v>55</v>
      </c>
      <c r="Q5">
        <v>88.3</v>
      </c>
      <c r="R5">
        <v>3</v>
      </c>
      <c r="S5" t="s">
        <v>33</v>
      </c>
      <c r="T5">
        <v>68.400000000000006</v>
      </c>
      <c r="U5">
        <v>0.25900000000000001</v>
      </c>
      <c r="V5">
        <v>142000</v>
      </c>
      <c r="W5">
        <v>0.6</v>
      </c>
      <c r="X5">
        <v>0.15540000000000001</v>
      </c>
      <c r="Y5">
        <v>0.82599999999999996</v>
      </c>
    </row>
    <row r="6" spans="1:2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G6" t="s">
        <v>30</v>
      </c>
      <c r="H6" t="s">
        <v>31</v>
      </c>
      <c r="I6" t="b">
        <v>1</v>
      </c>
      <c r="J6">
        <v>2</v>
      </c>
      <c r="K6">
        <v>1</v>
      </c>
      <c r="L6">
        <v>0</v>
      </c>
      <c r="M6">
        <v>1</v>
      </c>
      <c r="N6">
        <v>43.5</v>
      </c>
      <c r="O6">
        <v>0.625</v>
      </c>
      <c r="P6" t="s">
        <v>61</v>
      </c>
      <c r="Q6">
        <v>13.4</v>
      </c>
      <c r="R6">
        <v>19</v>
      </c>
      <c r="S6" t="s">
        <v>41</v>
      </c>
      <c r="T6">
        <v>64.599999999999994</v>
      </c>
      <c r="U6">
        <v>0.315</v>
      </c>
      <c r="V6">
        <v>16750</v>
      </c>
      <c r="W6">
        <v>9.2999999999999999E-2</v>
      </c>
      <c r="X6">
        <v>2.93E-2</v>
      </c>
      <c r="Y6">
        <v>0.83499999999999996</v>
      </c>
    </row>
    <row r="7" spans="1:25" x14ac:dyDescent="0.3">
      <c r="A7" t="s">
        <v>62</v>
      </c>
      <c r="B7" t="s">
        <v>63</v>
      </c>
      <c r="C7" t="s">
        <v>64</v>
      </c>
      <c r="D7" t="s">
        <v>65</v>
      </c>
      <c r="E7" t="s">
        <v>66</v>
      </c>
      <c r="G7" t="s">
        <v>67</v>
      </c>
      <c r="H7" t="s">
        <v>31</v>
      </c>
      <c r="I7" t="b">
        <v>1</v>
      </c>
      <c r="J7">
        <v>1</v>
      </c>
      <c r="K7">
        <v>1</v>
      </c>
      <c r="L7">
        <v>0</v>
      </c>
      <c r="M7">
        <v>0</v>
      </c>
      <c r="N7">
        <v>15</v>
      </c>
      <c r="O7">
        <v>1</v>
      </c>
      <c r="P7" t="s">
        <v>68</v>
      </c>
      <c r="Q7">
        <v>12.1</v>
      </c>
      <c r="R7">
        <v>21</v>
      </c>
      <c r="S7" t="s">
        <v>41</v>
      </c>
      <c r="T7">
        <v>55</v>
      </c>
      <c r="U7">
        <v>0.44500000000000001</v>
      </c>
      <c r="V7">
        <v>2650</v>
      </c>
      <c r="W7">
        <v>2.4E-2</v>
      </c>
      <c r="X7">
        <v>1.0699999999999999E-2</v>
      </c>
      <c r="Y7">
        <v>0.59299999999999997</v>
      </c>
    </row>
    <row r="8" spans="1:25" x14ac:dyDescent="0.3">
      <c r="A8" t="s">
        <v>69</v>
      </c>
      <c r="B8" t="s">
        <v>70</v>
      </c>
      <c r="C8" t="s">
        <v>71</v>
      </c>
      <c r="D8" t="s">
        <v>72</v>
      </c>
      <c r="E8" t="s">
        <v>38</v>
      </c>
      <c r="G8" t="s">
        <v>39</v>
      </c>
      <c r="H8" t="s">
        <v>73</v>
      </c>
      <c r="I8" t="b">
        <v>1</v>
      </c>
      <c r="J8">
        <v>2</v>
      </c>
      <c r="K8">
        <v>0</v>
      </c>
      <c r="L8">
        <v>0</v>
      </c>
      <c r="M8">
        <v>2</v>
      </c>
      <c r="N8">
        <v>73.5</v>
      </c>
      <c r="O8">
        <v>0.22500000000000001</v>
      </c>
      <c r="P8" t="s">
        <v>40</v>
      </c>
      <c r="Q8">
        <v>8.6999999999999993</v>
      </c>
      <c r="R8">
        <v>23</v>
      </c>
      <c r="S8" t="s">
        <v>41</v>
      </c>
      <c r="T8">
        <v>60.8</v>
      </c>
      <c r="U8">
        <v>0.36799999999999999</v>
      </c>
      <c r="V8">
        <v>20700</v>
      </c>
      <c r="W8">
        <v>4.9000000000000002E-2</v>
      </c>
      <c r="X8">
        <v>1.8100000000000002E-2</v>
      </c>
      <c r="Y8">
        <v>0.81100000000000005</v>
      </c>
    </row>
    <row r="9" spans="1:25" x14ac:dyDescent="0.3">
      <c r="A9" t="s">
        <v>74</v>
      </c>
      <c r="B9" t="s">
        <v>75</v>
      </c>
      <c r="C9" t="s">
        <v>76</v>
      </c>
      <c r="D9" t="s">
        <v>77</v>
      </c>
      <c r="E9" t="s">
        <v>78</v>
      </c>
      <c r="G9" t="s">
        <v>39</v>
      </c>
      <c r="H9" t="s">
        <v>73</v>
      </c>
      <c r="I9" t="b">
        <v>1</v>
      </c>
      <c r="J9">
        <v>4</v>
      </c>
      <c r="K9">
        <v>0</v>
      </c>
      <c r="L9">
        <v>0</v>
      </c>
      <c r="M9">
        <v>4</v>
      </c>
      <c r="N9">
        <v>69.7</v>
      </c>
      <c r="O9">
        <v>0.24199999999999999</v>
      </c>
      <c r="P9" t="s">
        <v>79</v>
      </c>
      <c r="Q9">
        <v>13.4</v>
      </c>
      <c r="R9">
        <v>20</v>
      </c>
      <c r="S9" t="s">
        <v>41</v>
      </c>
      <c r="T9">
        <v>67.599999999999994</v>
      </c>
      <c r="U9">
        <v>0.28599999999999998</v>
      </c>
      <c r="V9">
        <v>9000</v>
      </c>
      <c r="W9">
        <v>5.6000000000000001E-2</v>
      </c>
      <c r="X9">
        <v>1.61E-2</v>
      </c>
      <c r="Y9">
        <v>0.69899999999999995</v>
      </c>
    </row>
    <row r="10" spans="1:25" x14ac:dyDescent="0.3">
      <c r="A10" t="s">
        <v>80</v>
      </c>
      <c r="B10" t="s">
        <v>81</v>
      </c>
      <c r="C10" t="s">
        <v>82</v>
      </c>
      <c r="D10" t="s">
        <v>83</v>
      </c>
      <c r="E10" t="s">
        <v>60</v>
      </c>
      <c r="F10">
        <v>6000</v>
      </c>
      <c r="G10" t="s">
        <v>47</v>
      </c>
      <c r="H10" t="s">
        <v>31</v>
      </c>
      <c r="I10" t="b">
        <v>1</v>
      </c>
      <c r="J10">
        <v>3</v>
      </c>
      <c r="K10">
        <v>0</v>
      </c>
      <c r="L10">
        <v>0</v>
      </c>
      <c r="M10">
        <v>3</v>
      </c>
      <c r="N10">
        <v>70</v>
      </c>
      <c r="O10">
        <v>0.23</v>
      </c>
      <c r="P10" t="s">
        <v>61</v>
      </c>
      <c r="Q10">
        <v>13.4</v>
      </c>
      <c r="R10">
        <v>19</v>
      </c>
      <c r="S10" t="s">
        <v>41</v>
      </c>
      <c r="T10">
        <v>64.599999999999994</v>
      </c>
      <c r="U10">
        <v>0.315</v>
      </c>
      <c r="V10">
        <v>16750</v>
      </c>
      <c r="W10">
        <v>9.2999999999999999E-2</v>
      </c>
      <c r="X10">
        <v>2.93E-2</v>
      </c>
      <c r="Y10">
        <v>0.83499999999999996</v>
      </c>
    </row>
    <row r="11" spans="1:25" x14ac:dyDescent="0.3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G11" t="s">
        <v>39</v>
      </c>
      <c r="H11" t="s">
        <v>31</v>
      </c>
      <c r="I11" t="b">
        <v>1</v>
      </c>
      <c r="J11">
        <v>1</v>
      </c>
      <c r="K11">
        <v>0</v>
      </c>
      <c r="L11">
        <v>0</v>
      </c>
      <c r="M11">
        <v>1</v>
      </c>
      <c r="N11">
        <v>72</v>
      </c>
      <c r="O11">
        <v>0.25</v>
      </c>
      <c r="P11" t="s">
        <v>89</v>
      </c>
      <c r="Q11">
        <v>37.6</v>
      </c>
      <c r="R11">
        <v>9</v>
      </c>
      <c r="S11" t="s">
        <v>39</v>
      </c>
      <c r="T11">
        <v>73.3</v>
      </c>
      <c r="U11">
        <v>0.21299999999999999</v>
      </c>
      <c r="V11">
        <v>15950</v>
      </c>
      <c r="W11">
        <v>0.17699999999999999</v>
      </c>
      <c r="X11">
        <v>3.7699999999999997E-2</v>
      </c>
      <c r="Y11">
        <v>0.68300000000000005</v>
      </c>
    </row>
    <row r="12" spans="1:25" x14ac:dyDescent="0.3">
      <c r="A12" t="s">
        <v>90</v>
      </c>
      <c r="B12" t="s">
        <v>51</v>
      </c>
      <c r="C12" t="s">
        <v>91</v>
      </c>
      <c r="D12" t="s">
        <v>53</v>
      </c>
      <c r="E12" t="s">
        <v>54</v>
      </c>
      <c r="G12" t="s">
        <v>30</v>
      </c>
      <c r="H12" t="s">
        <v>31</v>
      </c>
      <c r="I12" t="b">
        <v>1</v>
      </c>
      <c r="J12">
        <v>1</v>
      </c>
      <c r="K12">
        <v>1</v>
      </c>
      <c r="L12">
        <v>0</v>
      </c>
      <c r="M12">
        <v>0</v>
      </c>
      <c r="N12">
        <v>15</v>
      </c>
      <c r="O12">
        <v>1</v>
      </c>
      <c r="P12" t="s">
        <v>55</v>
      </c>
      <c r="Q12">
        <v>88.3</v>
      </c>
      <c r="R12">
        <v>3</v>
      </c>
      <c r="S12" t="s">
        <v>33</v>
      </c>
      <c r="T12">
        <v>68.400000000000006</v>
      </c>
      <c r="U12">
        <v>0.25900000000000001</v>
      </c>
      <c r="V12">
        <v>142000</v>
      </c>
      <c r="W12">
        <v>0.6</v>
      </c>
      <c r="X12">
        <v>0.15540000000000001</v>
      </c>
      <c r="Y12">
        <v>0.82599999999999996</v>
      </c>
    </row>
    <row r="13" spans="1:25" x14ac:dyDescent="0.3">
      <c r="A13" t="s">
        <v>92</v>
      </c>
      <c r="B13" t="s">
        <v>51</v>
      </c>
      <c r="C13" t="s">
        <v>93</v>
      </c>
      <c r="D13" t="s">
        <v>94</v>
      </c>
      <c r="E13" t="s">
        <v>54</v>
      </c>
      <c r="F13">
        <v>60000</v>
      </c>
      <c r="G13" t="s">
        <v>47</v>
      </c>
      <c r="H13" t="s">
        <v>48</v>
      </c>
      <c r="I13" t="b">
        <v>1</v>
      </c>
      <c r="J13">
        <v>3</v>
      </c>
      <c r="K13">
        <v>0</v>
      </c>
      <c r="L13">
        <v>0</v>
      </c>
      <c r="M13">
        <v>3</v>
      </c>
      <c r="N13">
        <v>70</v>
      </c>
      <c r="O13">
        <v>0.23</v>
      </c>
      <c r="P13" t="s">
        <v>55</v>
      </c>
      <c r="Q13">
        <v>88.3</v>
      </c>
      <c r="R13">
        <v>3</v>
      </c>
      <c r="S13" t="s">
        <v>33</v>
      </c>
      <c r="T13">
        <v>68.400000000000006</v>
      </c>
      <c r="U13">
        <v>0.25900000000000001</v>
      </c>
      <c r="V13">
        <v>142000</v>
      </c>
      <c r="W13">
        <v>0.6</v>
      </c>
      <c r="X13">
        <v>0.15540000000000001</v>
      </c>
      <c r="Y13">
        <v>0.82599999999999996</v>
      </c>
    </row>
    <row r="14" spans="1:25" x14ac:dyDescent="0.3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G14" t="s">
        <v>47</v>
      </c>
      <c r="H14" t="s">
        <v>31</v>
      </c>
      <c r="I14" t="b">
        <v>1</v>
      </c>
      <c r="J14">
        <v>4</v>
      </c>
      <c r="K14">
        <v>0</v>
      </c>
      <c r="L14">
        <v>0</v>
      </c>
      <c r="M14">
        <v>4</v>
      </c>
      <c r="N14">
        <v>71</v>
      </c>
      <c r="O14">
        <v>0.224</v>
      </c>
      <c r="P14" t="s">
        <v>98</v>
      </c>
      <c r="Q14">
        <v>13.8</v>
      </c>
      <c r="R14">
        <v>18</v>
      </c>
      <c r="S14" t="s">
        <v>41</v>
      </c>
      <c r="T14">
        <v>70.5</v>
      </c>
      <c r="U14">
        <v>0.22700000000000001</v>
      </c>
      <c r="V14">
        <v>15000</v>
      </c>
      <c r="W14">
        <v>8.3000000000000004E-2</v>
      </c>
      <c r="X14">
        <v>1.89E-2</v>
      </c>
      <c r="Y14">
        <v>0.74</v>
      </c>
    </row>
    <row r="15" spans="1:25" x14ac:dyDescent="0.3">
      <c r="A15" t="s">
        <v>100</v>
      </c>
      <c r="B15" t="s">
        <v>101</v>
      </c>
      <c r="C15" t="s">
        <v>102</v>
      </c>
      <c r="D15" t="s">
        <v>103</v>
      </c>
      <c r="E15" t="s">
        <v>29</v>
      </c>
      <c r="F15">
        <v>12000</v>
      </c>
      <c r="G15" t="s">
        <v>47</v>
      </c>
      <c r="H15" t="s">
        <v>31</v>
      </c>
      <c r="I15" t="b">
        <v>1</v>
      </c>
      <c r="J15">
        <v>2</v>
      </c>
      <c r="K15">
        <v>0</v>
      </c>
      <c r="L15">
        <v>0</v>
      </c>
      <c r="M15">
        <v>2</v>
      </c>
      <c r="N15">
        <v>66.5</v>
      </c>
      <c r="O15">
        <v>0.27500000000000002</v>
      </c>
      <c r="P15" t="s">
        <v>32</v>
      </c>
      <c r="Q15">
        <v>100</v>
      </c>
      <c r="R15">
        <v>1</v>
      </c>
      <c r="S15" t="s">
        <v>33</v>
      </c>
      <c r="T15">
        <v>66.900000000000006</v>
      </c>
      <c r="U15">
        <v>0.27100000000000002</v>
      </c>
      <c r="V15">
        <v>30000</v>
      </c>
      <c r="W15">
        <v>0.27300000000000002</v>
      </c>
      <c r="X15">
        <v>7.3899999999999993E-2</v>
      </c>
      <c r="Y15">
        <v>0.58599999999999997</v>
      </c>
    </row>
    <row r="16" spans="1:25" x14ac:dyDescent="0.3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>
        <v>18000</v>
      </c>
      <c r="G16" t="s">
        <v>47</v>
      </c>
      <c r="H16" t="s">
        <v>48</v>
      </c>
      <c r="I16" t="b">
        <v>1</v>
      </c>
      <c r="J16">
        <v>4</v>
      </c>
      <c r="K16">
        <v>0</v>
      </c>
      <c r="L16">
        <v>1</v>
      </c>
      <c r="M16">
        <v>3</v>
      </c>
      <c r="N16">
        <v>73.5</v>
      </c>
      <c r="O16">
        <v>0.21299999999999999</v>
      </c>
      <c r="P16" t="s">
        <v>109</v>
      </c>
      <c r="Q16">
        <v>62.1</v>
      </c>
      <c r="R16">
        <v>7</v>
      </c>
      <c r="S16" t="s">
        <v>39</v>
      </c>
      <c r="T16">
        <v>73.599999999999994</v>
      </c>
      <c r="U16">
        <v>0.218</v>
      </c>
      <c r="V16">
        <v>26500</v>
      </c>
      <c r="W16">
        <v>0.24099999999999999</v>
      </c>
      <c r="X16">
        <v>5.2499999999999998E-2</v>
      </c>
      <c r="Y16">
        <v>0.63200000000000001</v>
      </c>
    </row>
    <row r="17" spans="1:25" x14ac:dyDescent="0.3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>
        <v>3500</v>
      </c>
      <c r="G17" t="s">
        <v>30</v>
      </c>
      <c r="H17" t="s">
        <v>31</v>
      </c>
      <c r="I17" t="b">
        <v>1</v>
      </c>
      <c r="J17">
        <v>1</v>
      </c>
      <c r="K17">
        <v>1</v>
      </c>
      <c r="L17">
        <v>0</v>
      </c>
      <c r="M17">
        <v>0</v>
      </c>
      <c r="N17">
        <v>15</v>
      </c>
      <c r="O17">
        <v>1</v>
      </c>
      <c r="P17" t="s">
        <v>113</v>
      </c>
      <c r="Q17">
        <v>25.5</v>
      </c>
      <c r="R17">
        <v>12</v>
      </c>
      <c r="S17" t="s">
        <v>41</v>
      </c>
      <c r="T17">
        <v>50.1</v>
      </c>
      <c r="U17">
        <v>0.502</v>
      </c>
      <c r="V17">
        <v>12000</v>
      </c>
      <c r="W17">
        <v>0.04</v>
      </c>
      <c r="X17">
        <v>2.01E-2</v>
      </c>
      <c r="Y17">
        <v>0.58299999999999996</v>
      </c>
    </row>
    <row r="18" spans="1:25" x14ac:dyDescent="0.3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G18" t="s">
        <v>47</v>
      </c>
      <c r="H18" t="s">
        <v>31</v>
      </c>
      <c r="I18" t="b">
        <v>1</v>
      </c>
      <c r="J18">
        <v>1</v>
      </c>
      <c r="K18">
        <v>0</v>
      </c>
      <c r="L18">
        <v>0</v>
      </c>
      <c r="M18">
        <v>1</v>
      </c>
      <c r="N18">
        <v>78</v>
      </c>
      <c r="O18">
        <v>0.15</v>
      </c>
      <c r="P18" t="s">
        <v>120</v>
      </c>
      <c r="Q18">
        <v>17.8</v>
      </c>
      <c r="R18">
        <v>16</v>
      </c>
      <c r="S18" t="s">
        <v>41</v>
      </c>
      <c r="T18">
        <v>77</v>
      </c>
      <c r="U18">
        <v>0.16400000000000001</v>
      </c>
      <c r="V18">
        <v>31300</v>
      </c>
      <c r="W18">
        <v>0.125</v>
      </c>
      <c r="X18">
        <v>2.0500000000000001E-2</v>
      </c>
      <c r="Y18">
        <v>0.70499999999999996</v>
      </c>
    </row>
    <row r="19" spans="1:25" x14ac:dyDescent="0.3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G19" t="s">
        <v>39</v>
      </c>
      <c r="H19" t="s">
        <v>31</v>
      </c>
      <c r="I19" t="b">
        <v>1</v>
      </c>
      <c r="J19">
        <v>3</v>
      </c>
      <c r="K19">
        <v>0</v>
      </c>
      <c r="L19">
        <v>0</v>
      </c>
      <c r="M19">
        <v>3</v>
      </c>
      <c r="N19">
        <v>61.5</v>
      </c>
      <c r="O19">
        <v>0.41</v>
      </c>
      <c r="P19" t="s">
        <v>126</v>
      </c>
      <c r="Q19">
        <v>92.3</v>
      </c>
      <c r="R19">
        <v>2</v>
      </c>
      <c r="S19" t="s">
        <v>33</v>
      </c>
      <c r="T19">
        <v>65</v>
      </c>
      <c r="U19">
        <v>0.31900000000000001</v>
      </c>
      <c r="V19">
        <v>18100</v>
      </c>
      <c r="W19">
        <v>0.191</v>
      </c>
      <c r="X19">
        <v>6.08E-2</v>
      </c>
      <c r="Y19">
        <v>0.53400000000000003</v>
      </c>
    </row>
    <row r="20" spans="1:25" x14ac:dyDescent="0.3">
      <c r="A20" t="s">
        <v>127</v>
      </c>
      <c r="B20" t="s">
        <v>128</v>
      </c>
      <c r="C20" t="s">
        <v>129</v>
      </c>
      <c r="D20" t="s">
        <v>130</v>
      </c>
      <c r="E20" t="s">
        <v>108</v>
      </c>
      <c r="G20" t="s">
        <v>39</v>
      </c>
      <c r="H20" t="s">
        <v>73</v>
      </c>
      <c r="I20" t="b">
        <v>1</v>
      </c>
      <c r="J20">
        <v>3</v>
      </c>
      <c r="K20">
        <v>0</v>
      </c>
      <c r="L20">
        <v>1</v>
      </c>
      <c r="M20">
        <v>2</v>
      </c>
      <c r="N20">
        <v>84.3</v>
      </c>
      <c r="O20">
        <v>8.8999999999999996E-2</v>
      </c>
      <c r="P20" t="s">
        <v>109</v>
      </c>
      <c r="Q20">
        <v>62.1</v>
      </c>
      <c r="R20">
        <v>7</v>
      </c>
      <c r="S20" t="s">
        <v>39</v>
      </c>
      <c r="T20">
        <v>73.599999999999994</v>
      </c>
      <c r="U20">
        <v>0.218</v>
      </c>
      <c r="V20">
        <v>26500</v>
      </c>
      <c r="W20">
        <v>0.24099999999999999</v>
      </c>
      <c r="X20">
        <v>5.2499999999999998E-2</v>
      </c>
      <c r="Y20">
        <v>0.63200000000000001</v>
      </c>
    </row>
    <row r="21" spans="1:25" x14ac:dyDescent="0.3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G21" t="s">
        <v>39</v>
      </c>
      <c r="H21" t="s">
        <v>73</v>
      </c>
      <c r="I21" t="b">
        <v>1</v>
      </c>
      <c r="J21">
        <v>3</v>
      </c>
      <c r="K21">
        <v>1</v>
      </c>
      <c r="L21">
        <v>0</v>
      </c>
      <c r="M21">
        <v>2</v>
      </c>
      <c r="N21">
        <v>55.4</v>
      </c>
      <c r="O21">
        <v>0.44600000000000001</v>
      </c>
      <c r="P21" t="s">
        <v>136</v>
      </c>
      <c r="Q21">
        <v>30.2</v>
      </c>
      <c r="R21">
        <v>11</v>
      </c>
      <c r="S21" t="s">
        <v>41</v>
      </c>
      <c r="T21">
        <v>60.1</v>
      </c>
      <c r="U21">
        <v>0.38600000000000001</v>
      </c>
      <c r="V21">
        <v>67450</v>
      </c>
      <c r="W21">
        <v>0.13</v>
      </c>
      <c r="X21">
        <v>5.0099999999999999E-2</v>
      </c>
      <c r="Y21">
        <v>0.80400000000000005</v>
      </c>
    </row>
    <row r="22" spans="1:25" x14ac:dyDescent="0.3">
      <c r="A22" t="s">
        <v>137</v>
      </c>
      <c r="B22" t="s">
        <v>138</v>
      </c>
      <c r="C22" t="s">
        <v>139</v>
      </c>
      <c r="D22" t="s">
        <v>140</v>
      </c>
      <c r="E22" t="s">
        <v>141</v>
      </c>
      <c r="G22" t="s">
        <v>67</v>
      </c>
      <c r="H22" t="s">
        <v>73</v>
      </c>
      <c r="I22" t="b">
        <v>1</v>
      </c>
      <c r="J22">
        <v>2</v>
      </c>
      <c r="K22">
        <v>0</v>
      </c>
      <c r="L22">
        <v>0</v>
      </c>
      <c r="M22">
        <v>2</v>
      </c>
      <c r="N22">
        <v>74.5</v>
      </c>
      <c r="O22">
        <v>0.20899999999999999</v>
      </c>
      <c r="P22" t="s">
        <v>142</v>
      </c>
      <c r="Q22">
        <v>15.8</v>
      </c>
      <c r="R22">
        <v>17</v>
      </c>
      <c r="S22" t="s">
        <v>41</v>
      </c>
      <c r="T22">
        <v>78.2</v>
      </c>
      <c r="U22">
        <v>0.15</v>
      </c>
      <c r="V22">
        <v>22500</v>
      </c>
      <c r="W22">
        <v>0.10199999999999999</v>
      </c>
      <c r="X22">
        <v>1.5299999999999999E-2</v>
      </c>
      <c r="Y22">
        <v>0.64500000000000002</v>
      </c>
    </row>
    <row r="23" spans="1:25" x14ac:dyDescent="0.3">
      <c r="A23" t="s">
        <v>143</v>
      </c>
      <c r="B23" t="s">
        <v>111</v>
      </c>
      <c r="C23" t="s">
        <v>144</v>
      </c>
      <c r="D23" t="s">
        <v>145</v>
      </c>
      <c r="E23" t="s">
        <v>125</v>
      </c>
      <c r="F23">
        <v>5600</v>
      </c>
      <c r="G23" t="s">
        <v>47</v>
      </c>
      <c r="H23" t="s">
        <v>31</v>
      </c>
      <c r="I23" t="b">
        <v>1</v>
      </c>
      <c r="J23">
        <v>2</v>
      </c>
      <c r="K23">
        <v>0</v>
      </c>
      <c r="L23">
        <v>0</v>
      </c>
      <c r="M23">
        <v>2</v>
      </c>
      <c r="N23">
        <v>64.5</v>
      </c>
      <c r="O23">
        <v>0.29699999999999999</v>
      </c>
      <c r="P23" t="s">
        <v>126</v>
      </c>
      <c r="Q23">
        <v>92.3</v>
      </c>
      <c r="R23">
        <v>2</v>
      </c>
      <c r="S23" t="s">
        <v>33</v>
      </c>
      <c r="T23">
        <v>65</v>
      </c>
      <c r="U23">
        <v>0.31900000000000001</v>
      </c>
      <c r="V23">
        <v>18100</v>
      </c>
      <c r="W23">
        <v>0.191</v>
      </c>
      <c r="X23">
        <v>6.08E-2</v>
      </c>
      <c r="Y23">
        <v>0.53400000000000003</v>
      </c>
    </row>
    <row r="24" spans="1:25" x14ac:dyDescent="0.3">
      <c r="A24" t="s">
        <v>146</v>
      </c>
      <c r="B24" t="s">
        <v>147</v>
      </c>
      <c r="C24" t="s">
        <v>148</v>
      </c>
      <c r="D24" t="s">
        <v>149</v>
      </c>
      <c r="E24" t="s">
        <v>119</v>
      </c>
      <c r="G24" t="s">
        <v>39</v>
      </c>
      <c r="H24" t="s">
        <v>31</v>
      </c>
      <c r="I24" t="b">
        <v>1</v>
      </c>
      <c r="J24">
        <v>3</v>
      </c>
      <c r="K24">
        <v>1</v>
      </c>
      <c r="L24">
        <v>0</v>
      </c>
      <c r="M24">
        <v>2</v>
      </c>
      <c r="N24">
        <v>60.2</v>
      </c>
      <c r="O24">
        <v>0.38300000000000001</v>
      </c>
      <c r="P24" t="s">
        <v>120</v>
      </c>
      <c r="Q24">
        <v>17.8</v>
      </c>
      <c r="R24">
        <v>16</v>
      </c>
      <c r="S24" t="s">
        <v>41</v>
      </c>
      <c r="T24">
        <v>77</v>
      </c>
      <c r="U24">
        <v>0.16400000000000001</v>
      </c>
      <c r="V24">
        <v>31300</v>
      </c>
      <c r="W24">
        <v>0.125</v>
      </c>
      <c r="X24">
        <v>2.0500000000000001E-2</v>
      </c>
      <c r="Y24">
        <v>0.70499999999999996</v>
      </c>
    </row>
    <row r="25" spans="1:25" x14ac:dyDescent="0.3">
      <c r="A25" t="s">
        <v>150</v>
      </c>
      <c r="B25" t="s">
        <v>132</v>
      </c>
      <c r="C25" t="s">
        <v>151</v>
      </c>
      <c r="D25" t="s">
        <v>152</v>
      </c>
      <c r="E25" t="s">
        <v>135</v>
      </c>
      <c r="G25" t="s">
        <v>39</v>
      </c>
      <c r="H25" t="s">
        <v>73</v>
      </c>
      <c r="I25" t="b">
        <v>1</v>
      </c>
      <c r="J25">
        <v>3</v>
      </c>
      <c r="K25">
        <v>1</v>
      </c>
      <c r="L25">
        <v>0</v>
      </c>
      <c r="M25">
        <v>2</v>
      </c>
      <c r="N25">
        <v>54.3</v>
      </c>
      <c r="O25">
        <v>0.46100000000000002</v>
      </c>
      <c r="P25" t="s">
        <v>136</v>
      </c>
      <c r="Q25">
        <v>30.2</v>
      </c>
      <c r="R25">
        <v>11</v>
      </c>
      <c r="S25" t="s">
        <v>41</v>
      </c>
      <c r="T25">
        <v>60.1</v>
      </c>
      <c r="U25">
        <v>0.38600000000000001</v>
      </c>
      <c r="V25">
        <v>67450</v>
      </c>
      <c r="W25">
        <v>0.13</v>
      </c>
      <c r="X25">
        <v>5.0099999999999999E-2</v>
      </c>
      <c r="Y25">
        <v>0.80400000000000005</v>
      </c>
    </row>
    <row r="26" spans="1:25" x14ac:dyDescent="0.3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>
        <v>6000</v>
      </c>
      <c r="G26" t="s">
        <v>47</v>
      </c>
      <c r="H26" t="s">
        <v>31</v>
      </c>
      <c r="I26" t="b">
        <v>1</v>
      </c>
      <c r="J26">
        <v>4</v>
      </c>
      <c r="K26">
        <v>0</v>
      </c>
      <c r="L26">
        <v>0</v>
      </c>
      <c r="M26">
        <v>4</v>
      </c>
      <c r="N26">
        <v>70.400000000000006</v>
      </c>
      <c r="O26">
        <v>0.23400000000000001</v>
      </c>
      <c r="P26" t="s">
        <v>158</v>
      </c>
      <c r="Q26">
        <v>18.100000000000001</v>
      </c>
      <c r="R26">
        <v>15</v>
      </c>
      <c r="S26" t="s">
        <v>41</v>
      </c>
      <c r="T26">
        <v>74.5</v>
      </c>
      <c r="U26">
        <v>0.19900000000000001</v>
      </c>
      <c r="V26">
        <v>12000</v>
      </c>
      <c r="W26">
        <v>8.5999999999999993E-2</v>
      </c>
      <c r="X26">
        <v>1.7100000000000001E-2</v>
      </c>
      <c r="Y26">
        <v>0.63900000000000001</v>
      </c>
    </row>
    <row r="27" spans="1:25" x14ac:dyDescent="0.3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>
        <v>3000</v>
      </c>
      <c r="G27" t="s">
        <v>30</v>
      </c>
      <c r="H27" t="s">
        <v>31</v>
      </c>
      <c r="I27" t="b">
        <v>1</v>
      </c>
      <c r="J27">
        <v>1</v>
      </c>
      <c r="K27">
        <v>0</v>
      </c>
      <c r="L27">
        <v>0</v>
      </c>
      <c r="M27">
        <v>1</v>
      </c>
      <c r="N27">
        <v>75</v>
      </c>
      <c r="O27">
        <v>0.2</v>
      </c>
      <c r="P27" t="s">
        <v>162</v>
      </c>
      <c r="Q27">
        <v>7.7</v>
      </c>
      <c r="R27">
        <v>24</v>
      </c>
      <c r="S27" t="s">
        <v>41</v>
      </c>
      <c r="T27">
        <v>76.5</v>
      </c>
      <c r="U27">
        <v>0.185</v>
      </c>
      <c r="V27">
        <v>10950</v>
      </c>
      <c r="W27">
        <v>9.0999999999999998E-2</v>
      </c>
      <c r="X27">
        <v>1.6899999999999998E-2</v>
      </c>
      <c r="Y27">
        <v>0.81399999999999995</v>
      </c>
    </row>
    <row r="28" spans="1:25" x14ac:dyDescent="0.3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G28" t="s">
        <v>39</v>
      </c>
      <c r="H28" t="s">
        <v>31</v>
      </c>
      <c r="I28" t="b">
        <v>1</v>
      </c>
      <c r="J28">
        <v>3</v>
      </c>
      <c r="K28">
        <v>0</v>
      </c>
      <c r="L28">
        <v>1</v>
      </c>
      <c r="M28">
        <v>2</v>
      </c>
      <c r="N28">
        <v>82.3</v>
      </c>
      <c r="O28">
        <v>0.113</v>
      </c>
      <c r="P28" t="s">
        <v>169</v>
      </c>
      <c r="Q28">
        <v>63.1</v>
      </c>
      <c r="R28">
        <v>6</v>
      </c>
      <c r="S28" t="s">
        <v>39</v>
      </c>
      <c r="T28">
        <v>54.9</v>
      </c>
      <c r="U28">
        <v>0.47499999999999998</v>
      </c>
      <c r="V28">
        <v>23000</v>
      </c>
      <c r="W28">
        <v>0.17699999999999999</v>
      </c>
      <c r="X28">
        <v>8.4000000000000005E-2</v>
      </c>
      <c r="Y28">
        <v>0.76700000000000002</v>
      </c>
    </row>
    <row r="29" spans="1:25" x14ac:dyDescent="0.3">
      <c r="A29" t="s">
        <v>170</v>
      </c>
      <c r="B29" t="s">
        <v>105</v>
      </c>
      <c r="C29" t="s">
        <v>171</v>
      </c>
      <c r="D29" t="s">
        <v>172</v>
      </c>
      <c r="E29" t="s">
        <v>38</v>
      </c>
      <c r="F29">
        <v>8000</v>
      </c>
      <c r="G29" t="s">
        <v>47</v>
      </c>
      <c r="H29" t="s">
        <v>31</v>
      </c>
      <c r="I29" t="b">
        <v>1</v>
      </c>
      <c r="J29">
        <v>3</v>
      </c>
      <c r="K29">
        <v>1</v>
      </c>
      <c r="L29">
        <v>0</v>
      </c>
      <c r="M29">
        <v>2</v>
      </c>
      <c r="N29">
        <v>53.1</v>
      </c>
      <c r="O29">
        <v>0.46300000000000002</v>
      </c>
      <c r="P29" t="s">
        <v>40</v>
      </c>
      <c r="Q29">
        <v>8.6999999999999993</v>
      </c>
      <c r="R29">
        <v>23</v>
      </c>
      <c r="S29" t="s">
        <v>41</v>
      </c>
      <c r="T29">
        <v>60.8</v>
      </c>
      <c r="U29">
        <v>0.36799999999999999</v>
      </c>
      <c r="V29">
        <v>20700</v>
      </c>
      <c r="W29">
        <v>4.9000000000000002E-2</v>
      </c>
      <c r="X29">
        <v>1.8100000000000002E-2</v>
      </c>
      <c r="Y29">
        <v>0.81100000000000005</v>
      </c>
    </row>
    <row r="30" spans="1:25" x14ac:dyDescent="0.3">
      <c r="A30" t="s">
        <v>173</v>
      </c>
      <c r="B30" t="s">
        <v>138</v>
      </c>
      <c r="C30" t="s">
        <v>174</v>
      </c>
      <c r="D30" t="s">
        <v>140</v>
      </c>
      <c r="E30" t="s">
        <v>141</v>
      </c>
      <c r="G30" t="s">
        <v>39</v>
      </c>
      <c r="H30" t="s">
        <v>73</v>
      </c>
      <c r="I30" t="b">
        <v>1</v>
      </c>
      <c r="J30">
        <v>2</v>
      </c>
      <c r="K30">
        <v>0</v>
      </c>
      <c r="L30">
        <v>0</v>
      </c>
      <c r="M30">
        <v>2</v>
      </c>
      <c r="N30">
        <v>74.5</v>
      </c>
      <c r="O30">
        <v>0.20899999999999999</v>
      </c>
      <c r="P30" t="s">
        <v>142</v>
      </c>
      <c r="Q30">
        <v>15.8</v>
      </c>
      <c r="R30">
        <v>17</v>
      </c>
      <c r="S30" t="s">
        <v>41</v>
      </c>
      <c r="T30">
        <v>78.2</v>
      </c>
      <c r="U30">
        <v>0.15</v>
      </c>
      <c r="V30">
        <v>22500</v>
      </c>
      <c r="W30">
        <v>0.10199999999999999</v>
      </c>
      <c r="X30">
        <v>1.5299999999999999E-2</v>
      </c>
      <c r="Y30">
        <v>0.64500000000000002</v>
      </c>
    </row>
    <row r="31" spans="1:25" x14ac:dyDescent="0.3">
      <c r="A31" t="s">
        <v>175</v>
      </c>
      <c r="B31" t="s">
        <v>101</v>
      </c>
      <c r="C31" t="s">
        <v>176</v>
      </c>
      <c r="D31" t="s">
        <v>177</v>
      </c>
      <c r="E31" t="s">
        <v>135</v>
      </c>
      <c r="G31" t="s">
        <v>47</v>
      </c>
      <c r="H31" t="s">
        <v>48</v>
      </c>
      <c r="I31" t="b">
        <v>1</v>
      </c>
      <c r="J31">
        <v>3</v>
      </c>
      <c r="K31">
        <v>1</v>
      </c>
      <c r="L31">
        <v>1</v>
      </c>
      <c r="M31">
        <v>1</v>
      </c>
      <c r="N31">
        <v>55.8</v>
      </c>
      <c r="O31">
        <v>0.47499999999999998</v>
      </c>
      <c r="P31" t="s">
        <v>136</v>
      </c>
      <c r="Q31">
        <v>30.2</v>
      </c>
      <c r="R31">
        <v>11</v>
      </c>
      <c r="S31" t="s">
        <v>41</v>
      </c>
      <c r="T31">
        <v>60.1</v>
      </c>
      <c r="U31">
        <v>0.38600000000000001</v>
      </c>
      <c r="V31">
        <v>67450</v>
      </c>
      <c r="W31">
        <v>0.13</v>
      </c>
      <c r="X31">
        <v>5.0099999999999999E-2</v>
      </c>
      <c r="Y31">
        <v>0.80400000000000005</v>
      </c>
    </row>
    <row r="32" spans="1:25" x14ac:dyDescent="0.3">
      <c r="A32" t="s">
        <v>178</v>
      </c>
      <c r="B32" t="s">
        <v>179</v>
      </c>
      <c r="C32" t="s">
        <v>180</v>
      </c>
      <c r="D32" t="s">
        <v>181</v>
      </c>
      <c r="E32" t="s">
        <v>78</v>
      </c>
      <c r="G32" t="s">
        <v>39</v>
      </c>
      <c r="H32" t="s">
        <v>73</v>
      </c>
      <c r="I32" t="b">
        <v>1</v>
      </c>
      <c r="J32">
        <v>3</v>
      </c>
      <c r="K32">
        <v>0</v>
      </c>
      <c r="L32">
        <v>1</v>
      </c>
      <c r="M32">
        <v>2</v>
      </c>
      <c r="N32">
        <v>81.7</v>
      </c>
      <c r="O32">
        <v>0.127</v>
      </c>
      <c r="P32" t="s">
        <v>79</v>
      </c>
      <c r="Q32">
        <v>13.4</v>
      </c>
      <c r="R32">
        <v>20</v>
      </c>
      <c r="S32" t="s">
        <v>41</v>
      </c>
      <c r="T32">
        <v>67.599999999999994</v>
      </c>
      <c r="U32">
        <v>0.28599999999999998</v>
      </c>
      <c r="V32">
        <v>9000</v>
      </c>
      <c r="W32">
        <v>5.6000000000000001E-2</v>
      </c>
      <c r="X32">
        <v>1.61E-2</v>
      </c>
      <c r="Y32">
        <v>0.69899999999999995</v>
      </c>
    </row>
    <row r="33" spans="1:25" x14ac:dyDescent="0.3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G33" t="s">
        <v>30</v>
      </c>
      <c r="H33" t="s">
        <v>73</v>
      </c>
      <c r="I33" t="b">
        <v>1</v>
      </c>
      <c r="J33">
        <v>3</v>
      </c>
      <c r="K33">
        <v>0</v>
      </c>
      <c r="L33">
        <v>0</v>
      </c>
      <c r="M33">
        <v>3</v>
      </c>
      <c r="N33">
        <v>55.4</v>
      </c>
      <c r="O33">
        <v>0.50600000000000001</v>
      </c>
      <c r="P33" t="s">
        <v>187</v>
      </c>
      <c r="Q33">
        <v>9.1</v>
      </c>
      <c r="R33">
        <v>22</v>
      </c>
      <c r="S33" t="s">
        <v>41</v>
      </c>
      <c r="T33">
        <v>55.4</v>
      </c>
      <c r="U33">
        <v>0.50600000000000001</v>
      </c>
      <c r="V33">
        <v>3500</v>
      </c>
      <c r="W33">
        <v>2.5000000000000001E-2</v>
      </c>
      <c r="X33">
        <v>1.2699999999999999E-2</v>
      </c>
      <c r="Y33">
        <v>0.72599999999999998</v>
      </c>
    </row>
    <row r="34" spans="1:25" x14ac:dyDescent="0.3">
      <c r="A34" t="s">
        <v>188</v>
      </c>
      <c r="B34" t="s">
        <v>105</v>
      </c>
      <c r="C34" t="s">
        <v>189</v>
      </c>
      <c r="D34" t="s">
        <v>190</v>
      </c>
      <c r="E34" t="s">
        <v>191</v>
      </c>
      <c r="F34">
        <v>4000</v>
      </c>
      <c r="G34" t="s">
        <v>30</v>
      </c>
      <c r="H34" t="s">
        <v>31</v>
      </c>
      <c r="I34" t="b">
        <v>1</v>
      </c>
      <c r="J34">
        <v>2</v>
      </c>
      <c r="K34">
        <v>0</v>
      </c>
      <c r="L34">
        <v>0</v>
      </c>
      <c r="M34">
        <v>2</v>
      </c>
      <c r="N34">
        <v>66.5</v>
      </c>
      <c r="O34">
        <v>0.27500000000000002</v>
      </c>
      <c r="P34" t="s">
        <v>190</v>
      </c>
      <c r="Q34">
        <v>40.299999999999997</v>
      </c>
      <c r="R34">
        <v>8</v>
      </c>
      <c r="S34" t="s">
        <v>39</v>
      </c>
      <c r="T34">
        <v>68.099999999999994</v>
      </c>
      <c r="U34">
        <v>0.254</v>
      </c>
      <c r="V34">
        <v>15750</v>
      </c>
      <c r="W34">
        <v>0.21</v>
      </c>
      <c r="X34">
        <v>5.33E-2</v>
      </c>
      <c r="Y34">
        <v>0.76</v>
      </c>
    </row>
    <row r="35" spans="1:25" x14ac:dyDescent="0.3">
      <c r="A35" t="s">
        <v>192</v>
      </c>
      <c r="B35" t="s">
        <v>128</v>
      </c>
      <c r="C35" t="s">
        <v>193</v>
      </c>
      <c r="D35" t="s">
        <v>194</v>
      </c>
      <c r="E35" t="s">
        <v>108</v>
      </c>
      <c r="G35" t="s">
        <v>39</v>
      </c>
      <c r="H35" t="s">
        <v>73</v>
      </c>
      <c r="I35" t="b">
        <v>1</v>
      </c>
      <c r="J35">
        <v>3</v>
      </c>
      <c r="K35">
        <v>0</v>
      </c>
      <c r="L35">
        <v>1</v>
      </c>
      <c r="M35">
        <v>2</v>
      </c>
      <c r="N35">
        <v>82.9</v>
      </c>
      <c r="O35">
        <v>0.1</v>
      </c>
      <c r="P35" t="s">
        <v>109</v>
      </c>
      <c r="Q35">
        <v>62.1</v>
      </c>
      <c r="R35">
        <v>7</v>
      </c>
      <c r="S35" t="s">
        <v>39</v>
      </c>
      <c r="T35">
        <v>73.599999999999994</v>
      </c>
      <c r="U35">
        <v>0.218</v>
      </c>
      <c r="V35">
        <v>26500</v>
      </c>
      <c r="W35">
        <v>0.24099999999999999</v>
      </c>
      <c r="X35">
        <v>5.2499999999999998E-2</v>
      </c>
      <c r="Y35">
        <v>0.63200000000000001</v>
      </c>
    </row>
    <row r="36" spans="1:25" x14ac:dyDescent="0.3">
      <c r="A36" t="s">
        <v>195</v>
      </c>
      <c r="B36" t="s">
        <v>51</v>
      </c>
      <c r="C36" t="s">
        <v>196</v>
      </c>
      <c r="D36" t="s">
        <v>197</v>
      </c>
      <c r="E36" t="s">
        <v>198</v>
      </c>
      <c r="G36" t="s">
        <v>47</v>
      </c>
      <c r="H36" t="s">
        <v>31</v>
      </c>
      <c r="I36" t="b">
        <v>1</v>
      </c>
      <c r="J36">
        <v>3</v>
      </c>
      <c r="K36">
        <v>1</v>
      </c>
      <c r="L36">
        <v>1</v>
      </c>
      <c r="M36">
        <v>1</v>
      </c>
      <c r="N36">
        <v>55</v>
      </c>
      <c r="O36">
        <v>0.49</v>
      </c>
      <c r="P36" t="s">
        <v>199</v>
      </c>
      <c r="Q36">
        <v>69.8</v>
      </c>
      <c r="R36">
        <v>5</v>
      </c>
      <c r="S36" t="s">
        <v>33</v>
      </c>
      <c r="T36">
        <v>55</v>
      </c>
      <c r="U36">
        <v>0.49</v>
      </c>
      <c r="V36">
        <v>7500</v>
      </c>
      <c r="W36">
        <v>9.4E-2</v>
      </c>
      <c r="X36">
        <v>4.5900000000000003E-2</v>
      </c>
      <c r="Y36">
        <v>0.53</v>
      </c>
    </row>
    <row r="37" spans="1:25" x14ac:dyDescent="0.3">
      <c r="A37" t="s">
        <v>200</v>
      </c>
      <c r="B37" t="s">
        <v>201</v>
      </c>
      <c r="C37" t="s">
        <v>202</v>
      </c>
      <c r="D37" t="s">
        <v>203</v>
      </c>
      <c r="E37" t="s">
        <v>135</v>
      </c>
      <c r="G37" t="s">
        <v>30</v>
      </c>
      <c r="H37" t="s">
        <v>73</v>
      </c>
      <c r="I37" t="b">
        <v>1</v>
      </c>
      <c r="J37">
        <v>2</v>
      </c>
      <c r="K37">
        <v>1</v>
      </c>
      <c r="L37">
        <v>0</v>
      </c>
      <c r="M37">
        <v>1</v>
      </c>
      <c r="N37">
        <v>45</v>
      </c>
      <c r="O37">
        <v>0.6</v>
      </c>
      <c r="P37" t="s">
        <v>136</v>
      </c>
      <c r="Q37">
        <v>30.2</v>
      </c>
      <c r="R37">
        <v>11</v>
      </c>
      <c r="S37" t="s">
        <v>41</v>
      </c>
      <c r="T37">
        <v>60.1</v>
      </c>
      <c r="U37">
        <v>0.38600000000000001</v>
      </c>
      <c r="V37">
        <v>67450</v>
      </c>
      <c r="W37">
        <v>0.13</v>
      </c>
      <c r="X37">
        <v>5.0099999999999999E-2</v>
      </c>
      <c r="Y37">
        <v>0.80400000000000005</v>
      </c>
    </row>
    <row r="38" spans="1:25" x14ac:dyDescent="0.3">
      <c r="A38" t="s">
        <v>204</v>
      </c>
      <c r="B38" t="s">
        <v>205</v>
      </c>
      <c r="C38" t="s">
        <v>206</v>
      </c>
      <c r="D38" t="s">
        <v>162</v>
      </c>
      <c r="E38" t="s">
        <v>163</v>
      </c>
      <c r="F38">
        <v>3000</v>
      </c>
      <c r="G38" t="s">
        <v>30</v>
      </c>
      <c r="H38" t="s">
        <v>31</v>
      </c>
      <c r="I38" t="b">
        <v>1</v>
      </c>
      <c r="J38">
        <v>2</v>
      </c>
      <c r="K38">
        <v>0</v>
      </c>
      <c r="L38">
        <v>1</v>
      </c>
      <c r="M38">
        <v>1</v>
      </c>
      <c r="N38">
        <v>85</v>
      </c>
      <c r="O38">
        <v>0.1</v>
      </c>
      <c r="P38" t="s">
        <v>162</v>
      </c>
      <c r="Q38">
        <v>7.7</v>
      </c>
      <c r="R38">
        <v>24</v>
      </c>
      <c r="S38" t="s">
        <v>41</v>
      </c>
      <c r="T38">
        <v>76.5</v>
      </c>
      <c r="U38">
        <v>0.185</v>
      </c>
      <c r="V38">
        <v>10950</v>
      </c>
      <c r="W38">
        <v>9.0999999999999998E-2</v>
      </c>
      <c r="X38">
        <v>1.6899999999999998E-2</v>
      </c>
      <c r="Y38">
        <v>0.81399999999999995</v>
      </c>
    </row>
    <row r="39" spans="1:25" x14ac:dyDescent="0.3">
      <c r="A39" t="s">
        <v>207</v>
      </c>
      <c r="B39" t="s">
        <v>208</v>
      </c>
      <c r="C39" t="s">
        <v>209</v>
      </c>
      <c r="D39" t="s">
        <v>210</v>
      </c>
      <c r="E39" t="s">
        <v>168</v>
      </c>
      <c r="F39">
        <v>7000</v>
      </c>
      <c r="G39" t="s">
        <v>47</v>
      </c>
      <c r="H39" t="s">
        <v>31</v>
      </c>
      <c r="I39" t="b">
        <v>1</v>
      </c>
      <c r="J39">
        <v>3</v>
      </c>
      <c r="K39">
        <v>1</v>
      </c>
      <c r="L39">
        <v>0</v>
      </c>
      <c r="M39">
        <v>2</v>
      </c>
      <c r="N39">
        <v>49.1</v>
      </c>
      <c r="O39">
        <v>0.54800000000000004</v>
      </c>
      <c r="P39" t="s">
        <v>169</v>
      </c>
      <c r="Q39">
        <v>63.1</v>
      </c>
      <c r="R39">
        <v>6</v>
      </c>
      <c r="S39" t="s">
        <v>39</v>
      </c>
      <c r="T39">
        <v>54.9</v>
      </c>
      <c r="U39">
        <v>0.47499999999999998</v>
      </c>
      <c r="V39">
        <v>23000</v>
      </c>
      <c r="W39">
        <v>0.17699999999999999</v>
      </c>
      <c r="X39">
        <v>8.4000000000000005E-2</v>
      </c>
      <c r="Y39">
        <v>0.76700000000000002</v>
      </c>
    </row>
    <row r="40" spans="1:25" x14ac:dyDescent="0.3">
      <c r="A40" t="s">
        <v>211</v>
      </c>
      <c r="B40" t="s">
        <v>51</v>
      </c>
      <c r="C40" t="s">
        <v>212</v>
      </c>
      <c r="D40" t="s">
        <v>213</v>
      </c>
      <c r="E40" t="s">
        <v>29</v>
      </c>
      <c r="F40">
        <v>8000</v>
      </c>
      <c r="G40" t="s">
        <v>47</v>
      </c>
      <c r="H40" t="s">
        <v>31</v>
      </c>
      <c r="I40" t="b">
        <v>1</v>
      </c>
      <c r="J40">
        <v>2</v>
      </c>
      <c r="K40">
        <v>0</v>
      </c>
      <c r="L40">
        <v>0</v>
      </c>
      <c r="M40">
        <v>2</v>
      </c>
      <c r="N40">
        <v>66.5</v>
      </c>
      <c r="O40">
        <v>0.27500000000000002</v>
      </c>
      <c r="P40" t="s">
        <v>32</v>
      </c>
      <c r="Q40">
        <v>100</v>
      </c>
      <c r="R40">
        <v>1</v>
      </c>
      <c r="S40" t="s">
        <v>33</v>
      </c>
      <c r="T40">
        <v>66.900000000000006</v>
      </c>
      <c r="U40">
        <v>0.27100000000000002</v>
      </c>
      <c r="V40">
        <v>30000</v>
      </c>
      <c r="W40">
        <v>0.27300000000000002</v>
      </c>
      <c r="X40">
        <v>7.3899999999999993E-2</v>
      </c>
      <c r="Y40">
        <v>0.58599999999999997</v>
      </c>
    </row>
    <row r="41" spans="1:25" x14ac:dyDescent="0.3">
      <c r="A41" t="s">
        <v>214</v>
      </c>
      <c r="B41" t="s">
        <v>122</v>
      </c>
      <c r="C41" t="s">
        <v>215</v>
      </c>
      <c r="D41" t="s">
        <v>216</v>
      </c>
      <c r="E41" t="s">
        <v>125</v>
      </c>
      <c r="G41" t="s">
        <v>39</v>
      </c>
      <c r="H41" t="s">
        <v>73</v>
      </c>
      <c r="I41" t="b">
        <v>1</v>
      </c>
      <c r="J41">
        <v>2</v>
      </c>
      <c r="K41">
        <v>0</v>
      </c>
      <c r="L41">
        <v>0</v>
      </c>
      <c r="M41">
        <v>2</v>
      </c>
      <c r="N41">
        <v>74.5</v>
      </c>
      <c r="O41">
        <v>0.20899999999999999</v>
      </c>
      <c r="P41" t="s">
        <v>126</v>
      </c>
      <c r="Q41">
        <v>92.3</v>
      </c>
      <c r="R41">
        <v>2</v>
      </c>
      <c r="S41" t="s">
        <v>33</v>
      </c>
      <c r="T41">
        <v>65</v>
      </c>
      <c r="U41">
        <v>0.31900000000000001</v>
      </c>
      <c r="V41">
        <v>18100</v>
      </c>
      <c r="W41">
        <v>0.191</v>
      </c>
      <c r="X41">
        <v>6.08E-2</v>
      </c>
      <c r="Y41">
        <v>0.53400000000000003</v>
      </c>
    </row>
    <row r="42" spans="1:25" x14ac:dyDescent="0.3">
      <c r="A42" t="s">
        <v>217</v>
      </c>
      <c r="B42" t="s">
        <v>205</v>
      </c>
      <c r="C42" t="s">
        <v>218</v>
      </c>
      <c r="D42" t="s">
        <v>162</v>
      </c>
      <c r="E42" t="s">
        <v>163</v>
      </c>
      <c r="F42">
        <v>3000</v>
      </c>
      <c r="G42" t="s">
        <v>30</v>
      </c>
      <c r="H42" t="s">
        <v>31</v>
      </c>
      <c r="I42" t="b">
        <v>1</v>
      </c>
      <c r="J42">
        <v>1</v>
      </c>
      <c r="K42">
        <v>0</v>
      </c>
      <c r="L42">
        <v>0</v>
      </c>
      <c r="M42">
        <v>1</v>
      </c>
      <c r="N42">
        <v>75</v>
      </c>
      <c r="O42">
        <v>0.2</v>
      </c>
      <c r="P42" t="s">
        <v>162</v>
      </c>
      <c r="Q42">
        <v>7.7</v>
      </c>
      <c r="R42">
        <v>24</v>
      </c>
      <c r="S42" t="s">
        <v>41</v>
      </c>
      <c r="T42">
        <v>76.5</v>
      </c>
      <c r="U42">
        <v>0.185</v>
      </c>
      <c r="V42">
        <v>10950</v>
      </c>
      <c r="W42">
        <v>9.0999999999999998E-2</v>
      </c>
      <c r="X42">
        <v>1.6899999999999998E-2</v>
      </c>
      <c r="Y42">
        <v>0.81399999999999995</v>
      </c>
    </row>
    <row r="43" spans="1:25" x14ac:dyDescent="0.3">
      <c r="A43" t="s">
        <v>219</v>
      </c>
      <c r="B43" t="s">
        <v>128</v>
      </c>
      <c r="C43" t="s">
        <v>220</v>
      </c>
      <c r="D43" t="s">
        <v>107</v>
      </c>
      <c r="E43" t="s">
        <v>108</v>
      </c>
      <c r="G43" t="s">
        <v>39</v>
      </c>
      <c r="H43" t="s">
        <v>73</v>
      </c>
      <c r="I43" t="b">
        <v>1</v>
      </c>
      <c r="J43">
        <v>2</v>
      </c>
      <c r="K43">
        <v>0</v>
      </c>
      <c r="L43">
        <v>0</v>
      </c>
      <c r="M43">
        <v>2</v>
      </c>
      <c r="N43">
        <v>77.5</v>
      </c>
      <c r="O43">
        <v>0.15</v>
      </c>
      <c r="P43" t="s">
        <v>109</v>
      </c>
      <c r="Q43">
        <v>62.1</v>
      </c>
      <c r="R43">
        <v>7</v>
      </c>
      <c r="S43" t="s">
        <v>39</v>
      </c>
      <c r="T43">
        <v>73.599999999999994</v>
      </c>
      <c r="U43">
        <v>0.218</v>
      </c>
      <c r="V43">
        <v>26500</v>
      </c>
      <c r="W43">
        <v>0.24099999999999999</v>
      </c>
      <c r="X43">
        <v>5.2499999999999998E-2</v>
      </c>
      <c r="Y43">
        <v>0.63200000000000001</v>
      </c>
    </row>
    <row r="44" spans="1:25" x14ac:dyDescent="0.3">
      <c r="A44" t="s">
        <v>221</v>
      </c>
      <c r="B44" t="s">
        <v>51</v>
      </c>
      <c r="C44" t="s">
        <v>222</v>
      </c>
      <c r="D44" t="s">
        <v>162</v>
      </c>
      <c r="E44" t="s">
        <v>163</v>
      </c>
      <c r="F44">
        <v>400</v>
      </c>
      <c r="G44" t="s">
        <v>67</v>
      </c>
      <c r="H44" t="s">
        <v>31</v>
      </c>
      <c r="I44" t="b">
        <v>1</v>
      </c>
      <c r="J44">
        <v>1</v>
      </c>
      <c r="K44">
        <v>0</v>
      </c>
      <c r="L44">
        <v>0</v>
      </c>
      <c r="M44">
        <v>1</v>
      </c>
      <c r="N44">
        <v>55</v>
      </c>
      <c r="O44">
        <v>0.4</v>
      </c>
      <c r="P44" t="s">
        <v>162</v>
      </c>
      <c r="Q44">
        <v>7.7</v>
      </c>
      <c r="R44">
        <v>24</v>
      </c>
      <c r="S44" t="s">
        <v>41</v>
      </c>
      <c r="T44">
        <v>76.5</v>
      </c>
      <c r="U44">
        <v>0.185</v>
      </c>
      <c r="V44">
        <v>10950</v>
      </c>
      <c r="W44">
        <v>9.0999999999999998E-2</v>
      </c>
      <c r="X44">
        <v>1.6899999999999998E-2</v>
      </c>
      <c r="Y44">
        <v>0.81399999999999995</v>
      </c>
    </row>
    <row r="45" spans="1:25" x14ac:dyDescent="0.3">
      <c r="A45" t="s">
        <v>223</v>
      </c>
      <c r="B45" t="s">
        <v>51</v>
      </c>
      <c r="C45" t="s">
        <v>224</v>
      </c>
      <c r="D45" t="s">
        <v>190</v>
      </c>
      <c r="E45" t="s">
        <v>191</v>
      </c>
      <c r="G45" t="s">
        <v>67</v>
      </c>
      <c r="H45" t="s">
        <v>31</v>
      </c>
      <c r="I45" t="b">
        <v>1</v>
      </c>
      <c r="J45">
        <v>1</v>
      </c>
      <c r="K45">
        <v>0</v>
      </c>
      <c r="L45">
        <v>0</v>
      </c>
      <c r="M45">
        <v>1</v>
      </c>
      <c r="N45">
        <v>55</v>
      </c>
      <c r="O45">
        <v>0.4</v>
      </c>
      <c r="P45" t="s">
        <v>190</v>
      </c>
      <c r="Q45">
        <v>40.299999999999997</v>
      </c>
      <c r="R45">
        <v>8</v>
      </c>
      <c r="S45" t="s">
        <v>39</v>
      </c>
      <c r="T45">
        <v>68.099999999999994</v>
      </c>
      <c r="U45">
        <v>0.254</v>
      </c>
      <c r="V45">
        <v>15750</v>
      </c>
      <c r="W45">
        <v>0.21</v>
      </c>
      <c r="X45">
        <v>5.33E-2</v>
      </c>
      <c r="Y45">
        <v>0.76</v>
      </c>
    </row>
    <row r="46" spans="1:25" x14ac:dyDescent="0.3">
      <c r="A46" t="s">
        <v>225</v>
      </c>
      <c r="B46" t="s">
        <v>147</v>
      </c>
      <c r="C46" t="s">
        <v>226</v>
      </c>
      <c r="D46" t="s">
        <v>118</v>
      </c>
      <c r="E46" t="s">
        <v>119</v>
      </c>
      <c r="F46">
        <v>3500</v>
      </c>
      <c r="G46" t="s">
        <v>30</v>
      </c>
      <c r="H46" t="s">
        <v>31</v>
      </c>
      <c r="I46" t="b">
        <v>1</v>
      </c>
      <c r="J46">
        <v>2</v>
      </c>
      <c r="K46">
        <v>0</v>
      </c>
      <c r="L46">
        <v>0</v>
      </c>
      <c r="M46">
        <v>2</v>
      </c>
      <c r="N46">
        <v>75.5</v>
      </c>
      <c r="O46">
        <v>0.191</v>
      </c>
      <c r="P46" t="s">
        <v>120</v>
      </c>
      <c r="Q46">
        <v>17.8</v>
      </c>
      <c r="R46">
        <v>16</v>
      </c>
      <c r="S46" t="s">
        <v>41</v>
      </c>
      <c r="T46">
        <v>77</v>
      </c>
      <c r="U46">
        <v>0.16400000000000001</v>
      </c>
      <c r="V46">
        <v>31300</v>
      </c>
      <c r="W46">
        <v>0.125</v>
      </c>
      <c r="X46">
        <v>2.0500000000000001E-2</v>
      </c>
      <c r="Y46">
        <v>0.70499999999999996</v>
      </c>
    </row>
    <row r="47" spans="1:25" x14ac:dyDescent="0.3">
      <c r="A47" t="s">
        <v>227</v>
      </c>
      <c r="B47" t="s">
        <v>228</v>
      </c>
      <c r="C47" t="s">
        <v>229</v>
      </c>
      <c r="D47" t="s">
        <v>230</v>
      </c>
      <c r="E47" t="s">
        <v>168</v>
      </c>
      <c r="G47" t="s">
        <v>67</v>
      </c>
      <c r="H47" t="s">
        <v>31</v>
      </c>
      <c r="I47" t="b">
        <v>1</v>
      </c>
      <c r="J47">
        <v>2</v>
      </c>
      <c r="K47">
        <v>1</v>
      </c>
      <c r="L47">
        <v>0</v>
      </c>
      <c r="M47">
        <v>1</v>
      </c>
      <c r="N47">
        <v>40.9</v>
      </c>
      <c r="O47">
        <v>0.65</v>
      </c>
      <c r="P47" t="s">
        <v>169</v>
      </c>
      <c r="Q47">
        <v>63.1</v>
      </c>
      <c r="R47">
        <v>6</v>
      </c>
      <c r="S47" t="s">
        <v>39</v>
      </c>
      <c r="T47">
        <v>54.9</v>
      </c>
      <c r="U47">
        <v>0.47499999999999998</v>
      </c>
      <c r="V47">
        <v>23000</v>
      </c>
      <c r="W47">
        <v>0.17699999999999999</v>
      </c>
      <c r="X47">
        <v>8.4000000000000005E-2</v>
      </c>
      <c r="Y47">
        <v>0.76700000000000002</v>
      </c>
    </row>
    <row r="48" spans="1:25" x14ac:dyDescent="0.3">
      <c r="A48" t="s">
        <v>231</v>
      </c>
      <c r="B48" t="s">
        <v>232</v>
      </c>
      <c r="C48" t="s">
        <v>233</v>
      </c>
      <c r="D48" t="s">
        <v>234</v>
      </c>
      <c r="E48" t="s">
        <v>235</v>
      </c>
      <c r="G48" t="s">
        <v>39</v>
      </c>
      <c r="H48" t="s">
        <v>73</v>
      </c>
      <c r="I48" t="b">
        <v>1</v>
      </c>
      <c r="J48">
        <v>4</v>
      </c>
      <c r="K48">
        <v>0</v>
      </c>
      <c r="L48">
        <v>1</v>
      </c>
      <c r="M48">
        <v>3</v>
      </c>
      <c r="N48">
        <v>81.2</v>
      </c>
      <c r="O48">
        <v>0.11899999999999999</v>
      </c>
      <c r="P48" t="s">
        <v>236</v>
      </c>
      <c r="Q48">
        <v>5</v>
      </c>
      <c r="R48">
        <v>25</v>
      </c>
      <c r="S48" t="s">
        <v>41</v>
      </c>
      <c r="T48">
        <v>82.4</v>
      </c>
      <c r="U48">
        <v>0.107</v>
      </c>
      <c r="V48">
        <v>5950</v>
      </c>
      <c r="W48">
        <v>7.0000000000000007E-2</v>
      </c>
      <c r="X48">
        <v>7.4999999999999997E-3</v>
      </c>
      <c r="Y48">
        <v>0.69899999999999995</v>
      </c>
    </row>
    <row r="49" spans="1:25" x14ac:dyDescent="0.3">
      <c r="A49" t="s">
        <v>237</v>
      </c>
      <c r="B49" t="s">
        <v>238</v>
      </c>
      <c r="C49" t="s">
        <v>239</v>
      </c>
      <c r="D49" t="s">
        <v>240</v>
      </c>
      <c r="E49" t="s">
        <v>141</v>
      </c>
      <c r="F49">
        <v>3000</v>
      </c>
      <c r="G49" t="s">
        <v>30</v>
      </c>
      <c r="H49" t="s">
        <v>31</v>
      </c>
      <c r="I49" t="b">
        <v>1</v>
      </c>
      <c r="J49">
        <v>3</v>
      </c>
      <c r="K49">
        <v>0</v>
      </c>
      <c r="L49">
        <v>1</v>
      </c>
      <c r="M49">
        <v>2</v>
      </c>
      <c r="N49">
        <v>82</v>
      </c>
      <c r="O49">
        <v>0.111</v>
      </c>
      <c r="P49" t="s">
        <v>142</v>
      </c>
      <c r="Q49">
        <v>15.8</v>
      </c>
      <c r="R49">
        <v>17</v>
      </c>
      <c r="S49" t="s">
        <v>41</v>
      </c>
      <c r="T49">
        <v>78.2</v>
      </c>
      <c r="U49">
        <v>0.15</v>
      </c>
      <c r="V49">
        <v>22500</v>
      </c>
      <c r="W49">
        <v>0.10199999999999999</v>
      </c>
      <c r="X49">
        <v>1.5299999999999999E-2</v>
      </c>
      <c r="Y49">
        <v>0.64500000000000002</v>
      </c>
    </row>
    <row r="50" spans="1:25" x14ac:dyDescent="0.3">
      <c r="A50" t="s">
        <v>241</v>
      </c>
      <c r="B50" t="s">
        <v>232</v>
      </c>
      <c r="C50" t="s">
        <v>242</v>
      </c>
      <c r="D50" t="s">
        <v>243</v>
      </c>
      <c r="E50" t="s">
        <v>235</v>
      </c>
      <c r="F50">
        <v>1200</v>
      </c>
      <c r="G50" t="s">
        <v>39</v>
      </c>
      <c r="H50" t="s">
        <v>31</v>
      </c>
      <c r="I50" t="b">
        <v>1</v>
      </c>
      <c r="J50">
        <v>3</v>
      </c>
      <c r="K50">
        <v>0</v>
      </c>
      <c r="L50">
        <v>1</v>
      </c>
      <c r="M50">
        <v>2</v>
      </c>
      <c r="N50">
        <v>82.9</v>
      </c>
      <c r="O50">
        <v>0.1</v>
      </c>
      <c r="P50" t="s">
        <v>236</v>
      </c>
      <c r="Q50">
        <v>5</v>
      </c>
      <c r="R50">
        <v>25</v>
      </c>
      <c r="S50" t="s">
        <v>41</v>
      </c>
      <c r="T50">
        <v>82.4</v>
      </c>
      <c r="U50">
        <v>0.107</v>
      </c>
      <c r="V50">
        <v>5950</v>
      </c>
      <c r="W50">
        <v>7.0000000000000007E-2</v>
      </c>
      <c r="X50">
        <v>7.4999999999999997E-3</v>
      </c>
      <c r="Y50">
        <v>0.69899999999999995</v>
      </c>
    </row>
    <row r="51" spans="1:25" x14ac:dyDescent="0.3">
      <c r="A51" t="s">
        <v>244</v>
      </c>
      <c r="B51" t="s">
        <v>75</v>
      </c>
      <c r="C51" t="s">
        <v>245</v>
      </c>
      <c r="D51" t="s">
        <v>246</v>
      </c>
      <c r="E51" t="s">
        <v>78</v>
      </c>
      <c r="F51">
        <v>3000</v>
      </c>
      <c r="G51" t="s">
        <v>30</v>
      </c>
      <c r="H51" t="s">
        <v>31</v>
      </c>
      <c r="I51" t="b">
        <v>1</v>
      </c>
      <c r="J51">
        <v>4</v>
      </c>
      <c r="K51">
        <v>0</v>
      </c>
      <c r="L51">
        <v>0</v>
      </c>
      <c r="M51">
        <v>4</v>
      </c>
      <c r="N51">
        <v>58.4</v>
      </c>
      <c r="O51">
        <v>0.42299999999999999</v>
      </c>
      <c r="P51" t="s">
        <v>79</v>
      </c>
      <c r="Q51">
        <v>13.4</v>
      </c>
      <c r="R51">
        <v>20</v>
      </c>
      <c r="S51" t="s">
        <v>41</v>
      </c>
      <c r="T51">
        <v>67.599999999999994</v>
      </c>
      <c r="U51">
        <v>0.28599999999999998</v>
      </c>
      <c r="V51">
        <v>9000</v>
      </c>
      <c r="W51">
        <v>5.6000000000000001E-2</v>
      </c>
      <c r="X51">
        <v>1.61E-2</v>
      </c>
      <c r="Y51">
        <v>0.69899999999999995</v>
      </c>
    </row>
    <row r="52" spans="1:25" x14ac:dyDescent="0.3">
      <c r="A52" t="s">
        <v>247</v>
      </c>
      <c r="B52" t="s">
        <v>165</v>
      </c>
      <c r="C52" t="s">
        <v>248</v>
      </c>
      <c r="D52" t="s">
        <v>249</v>
      </c>
      <c r="E52" t="s">
        <v>88</v>
      </c>
      <c r="F52">
        <v>1200</v>
      </c>
      <c r="G52" t="s">
        <v>39</v>
      </c>
      <c r="H52" t="s">
        <v>31</v>
      </c>
      <c r="I52" t="b">
        <v>1</v>
      </c>
      <c r="J52">
        <v>3</v>
      </c>
      <c r="K52">
        <v>0</v>
      </c>
      <c r="L52">
        <v>1</v>
      </c>
      <c r="M52">
        <v>2</v>
      </c>
      <c r="N52">
        <v>82.3</v>
      </c>
      <c r="O52">
        <v>0.113</v>
      </c>
      <c r="P52" t="s">
        <v>89</v>
      </c>
      <c r="Q52">
        <v>37.6</v>
      </c>
      <c r="R52">
        <v>9</v>
      </c>
      <c r="S52" t="s">
        <v>39</v>
      </c>
      <c r="T52">
        <v>73.3</v>
      </c>
      <c r="U52">
        <v>0.21299999999999999</v>
      </c>
      <c r="V52">
        <v>15950</v>
      </c>
      <c r="W52">
        <v>0.17699999999999999</v>
      </c>
      <c r="X52">
        <v>3.7699999999999997E-2</v>
      </c>
      <c r="Y52">
        <v>0.68300000000000005</v>
      </c>
    </row>
    <row r="53" spans="1:25" x14ac:dyDescent="0.3">
      <c r="A53" t="s">
        <v>250</v>
      </c>
      <c r="B53" t="s">
        <v>101</v>
      </c>
      <c r="C53" t="s">
        <v>102</v>
      </c>
      <c r="D53" t="s">
        <v>103</v>
      </c>
      <c r="E53" t="s">
        <v>251</v>
      </c>
      <c r="F53">
        <v>12000</v>
      </c>
      <c r="G53" t="s">
        <v>47</v>
      </c>
      <c r="H53" t="s">
        <v>31</v>
      </c>
      <c r="I53" t="b">
        <v>1</v>
      </c>
      <c r="J53">
        <v>3</v>
      </c>
      <c r="K53">
        <v>0</v>
      </c>
      <c r="L53">
        <v>0</v>
      </c>
      <c r="M53">
        <v>3</v>
      </c>
      <c r="N53">
        <v>70</v>
      </c>
      <c r="O53">
        <v>0.23</v>
      </c>
      <c r="P53" t="s">
        <v>103</v>
      </c>
      <c r="Q53">
        <v>24.5</v>
      </c>
      <c r="R53">
        <v>13</v>
      </c>
      <c r="S53" t="s">
        <v>41</v>
      </c>
      <c r="T53">
        <v>70</v>
      </c>
      <c r="U53">
        <v>0.23</v>
      </c>
      <c r="V53">
        <v>12000</v>
      </c>
      <c r="W53">
        <v>0.218</v>
      </c>
      <c r="X53">
        <v>5.0200000000000002E-2</v>
      </c>
      <c r="Y53">
        <v>0.83799999999999997</v>
      </c>
    </row>
    <row r="54" spans="1:25" x14ac:dyDescent="0.3">
      <c r="A54" t="s">
        <v>252</v>
      </c>
      <c r="B54" t="s">
        <v>101</v>
      </c>
      <c r="C54" t="s">
        <v>253</v>
      </c>
      <c r="D54" t="s">
        <v>254</v>
      </c>
      <c r="E54" t="s">
        <v>135</v>
      </c>
      <c r="F54">
        <v>10000</v>
      </c>
      <c r="G54" t="s">
        <v>47</v>
      </c>
      <c r="H54" t="s">
        <v>31</v>
      </c>
      <c r="I54" t="b">
        <v>1</v>
      </c>
      <c r="J54">
        <v>3</v>
      </c>
      <c r="K54">
        <v>1</v>
      </c>
      <c r="L54">
        <v>1</v>
      </c>
      <c r="M54">
        <v>1</v>
      </c>
      <c r="N54">
        <v>55.8</v>
      </c>
      <c r="O54">
        <v>0.47499999999999998</v>
      </c>
      <c r="P54" t="s">
        <v>136</v>
      </c>
      <c r="Q54">
        <v>30.2</v>
      </c>
      <c r="R54">
        <v>11</v>
      </c>
      <c r="S54" t="s">
        <v>41</v>
      </c>
      <c r="T54">
        <v>60.1</v>
      </c>
      <c r="U54">
        <v>0.38600000000000001</v>
      </c>
      <c r="V54">
        <v>67450</v>
      </c>
      <c r="W54">
        <v>0.13</v>
      </c>
      <c r="X54">
        <v>5.0099999999999999E-2</v>
      </c>
      <c r="Y54">
        <v>0.80400000000000005</v>
      </c>
    </row>
    <row r="55" spans="1:25" x14ac:dyDescent="0.3">
      <c r="A55" t="s">
        <v>255</v>
      </c>
      <c r="B55" t="s">
        <v>256</v>
      </c>
      <c r="C55" t="s">
        <v>257</v>
      </c>
      <c r="D55" t="s">
        <v>53</v>
      </c>
      <c r="E55" t="s">
        <v>54</v>
      </c>
      <c r="G55" t="s">
        <v>47</v>
      </c>
      <c r="H55" t="s">
        <v>31</v>
      </c>
      <c r="I55" t="b">
        <v>1</v>
      </c>
      <c r="J55">
        <v>2</v>
      </c>
      <c r="K55">
        <v>0</v>
      </c>
      <c r="L55">
        <v>0</v>
      </c>
      <c r="M55">
        <v>2</v>
      </c>
      <c r="N55">
        <v>75.5</v>
      </c>
      <c r="O55">
        <v>0.191</v>
      </c>
      <c r="P55" t="s">
        <v>55</v>
      </c>
      <c r="Q55">
        <v>88.3</v>
      </c>
      <c r="R55">
        <v>3</v>
      </c>
      <c r="S55" t="s">
        <v>33</v>
      </c>
      <c r="T55">
        <v>68.400000000000006</v>
      </c>
      <c r="U55">
        <v>0.25900000000000001</v>
      </c>
      <c r="V55">
        <v>142000</v>
      </c>
      <c r="W55">
        <v>0.6</v>
      </c>
      <c r="X55">
        <v>0.15540000000000001</v>
      </c>
      <c r="Y55">
        <v>0.82599999999999996</v>
      </c>
    </row>
    <row r="56" spans="1:25" x14ac:dyDescent="0.3">
      <c r="A56" t="s">
        <v>258</v>
      </c>
      <c r="B56" t="s">
        <v>85</v>
      </c>
      <c r="C56" t="s">
        <v>259</v>
      </c>
      <c r="D56" t="s">
        <v>260</v>
      </c>
      <c r="E56" t="s">
        <v>88</v>
      </c>
      <c r="G56" t="s">
        <v>30</v>
      </c>
      <c r="H56" t="s">
        <v>31</v>
      </c>
      <c r="I56" t="b">
        <v>1</v>
      </c>
      <c r="J56">
        <v>3</v>
      </c>
      <c r="K56">
        <v>0</v>
      </c>
      <c r="L56">
        <v>0</v>
      </c>
      <c r="M56">
        <v>3</v>
      </c>
      <c r="N56">
        <v>75.599999999999994</v>
      </c>
      <c r="O56">
        <v>0.185</v>
      </c>
      <c r="P56" t="s">
        <v>89</v>
      </c>
      <c r="Q56">
        <v>37.6</v>
      </c>
      <c r="R56">
        <v>9</v>
      </c>
      <c r="S56" t="s">
        <v>39</v>
      </c>
      <c r="T56">
        <v>73.3</v>
      </c>
      <c r="U56">
        <v>0.21299999999999999</v>
      </c>
      <c r="V56">
        <v>15950</v>
      </c>
      <c r="W56">
        <v>0.17699999999999999</v>
      </c>
      <c r="X56">
        <v>3.7699999999999997E-2</v>
      </c>
      <c r="Y56">
        <v>0.68300000000000005</v>
      </c>
    </row>
    <row r="57" spans="1:25" x14ac:dyDescent="0.3">
      <c r="A57" t="s">
        <v>261</v>
      </c>
      <c r="B57" t="s">
        <v>35</v>
      </c>
      <c r="C57" t="s">
        <v>262</v>
      </c>
      <c r="D57" t="s">
        <v>263</v>
      </c>
      <c r="E57" t="s">
        <v>38</v>
      </c>
      <c r="G57" t="s">
        <v>47</v>
      </c>
      <c r="H57" t="s">
        <v>48</v>
      </c>
      <c r="I57" t="b">
        <v>1</v>
      </c>
      <c r="J57">
        <v>3</v>
      </c>
      <c r="K57">
        <v>0</v>
      </c>
      <c r="L57">
        <v>0</v>
      </c>
      <c r="M57">
        <v>3</v>
      </c>
      <c r="N57">
        <v>67.900000000000006</v>
      </c>
      <c r="O57">
        <v>0.26900000000000002</v>
      </c>
      <c r="P57" t="s">
        <v>40</v>
      </c>
      <c r="Q57">
        <v>8.6999999999999993</v>
      </c>
      <c r="R57">
        <v>23</v>
      </c>
      <c r="S57" t="s">
        <v>41</v>
      </c>
      <c r="T57">
        <v>60.8</v>
      </c>
      <c r="U57">
        <v>0.36799999999999999</v>
      </c>
      <c r="V57">
        <v>20700</v>
      </c>
      <c r="W57">
        <v>4.9000000000000002E-2</v>
      </c>
      <c r="X57">
        <v>1.8100000000000002E-2</v>
      </c>
      <c r="Y57">
        <v>0.81100000000000005</v>
      </c>
    </row>
    <row r="58" spans="1:25" x14ac:dyDescent="0.3">
      <c r="A58" t="s">
        <v>264</v>
      </c>
      <c r="B58" t="s">
        <v>96</v>
      </c>
      <c r="C58" t="s">
        <v>265</v>
      </c>
      <c r="D58" t="s">
        <v>98</v>
      </c>
      <c r="E58" t="s">
        <v>99</v>
      </c>
      <c r="G58" t="s">
        <v>47</v>
      </c>
      <c r="H58" t="s">
        <v>31</v>
      </c>
      <c r="I58" t="b">
        <v>1</v>
      </c>
      <c r="J58">
        <v>3</v>
      </c>
      <c r="K58">
        <v>0</v>
      </c>
      <c r="L58">
        <v>0</v>
      </c>
      <c r="M58">
        <v>3</v>
      </c>
      <c r="N58">
        <v>70</v>
      </c>
      <c r="O58">
        <v>0.23</v>
      </c>
      <c r="P58" t="s">
        <v>98</v>
      </c>
      <c r="Q58">
        <v>13.8</v>
      </c>
      <c r="R58">
        <v>18</v>
      </c>
      <c r="S58" t="s">
        <v>41</v>
      </c>
      <c r="T58">
        <v>70.5</v>
      </c>
      <c r="U58">
        <v>0.22700000000000001</v>
      </c>
      <c r="V58">
        <v>15000</v>
      </c>
      <c r="W58">
        <v>8.3000000000000004E-2</v>
      </c>
      <c r="X58">
        <v>1.89E-2</v>
      </c>
      <c r="Y58">
        <v>0.74</v>
      </c>
    </row>
    <row r="59" spans="1:25" x14ac:dyDescent="0.3">
      <c r="A59" t="s">
        <v>266</v>
      </c>
      <c r="B59" t="s">
        <v>267</v>
      </c>
      <c r="C59" t="s">
        <v>268</v>
      </c>
      <c r="D59" t="s">
        <v>269</v>
      </c>
      <c r="E59" t="s">
        <v>168</v>
      </c>
      <c r="G59" t="s">
        <v>30</v>
      </c>
      <c r="H59" t="s">
        <v>73</v>
      </c>
      <c r="I59" t="b">
        <v>1</v>
      </c>
      <c r="J59">
        <v>2</v>
      </c>
      <c r="K59">
        <v>1</v>
      </c>
      <c r="L59">
        <v>0</v>
      </c>
      <c r="M59">
        <v>1</v>
      </c>
      <c r="N59">
        <v>39.700000000000003</v>
      </c>
      <c r="O59">
        <v>0.67100000000000004</v>
      </c>
      <c r="P59" t="s">
        <v>169</v>
      </c>
      <c r="Q59">
        <v>63.1</v>
      </c>
      <c r="R59">
        <v>6</v>
      </c>
      <c r="S59" t="s">
        <v>39</v>
      </c>
      <c r="T59">
        <v>54.9</v>
      </c>
      <c r="U59">
        <v>0.47499999999999998</v>
      </c>
      <c r="V59">
        <v>23000</v>
      </c>
      <c r="W59">
        <v>0.17699999999999999</v>
      </c>
      <c r="X59">
        <v>8.4000000000000005E-2</v>
      </c>
      <c r="Y59">
        <v>0.76700000000000002</v>
      </c>
    </row>
    <row r="60" spans="1:25" x14ac:dyDescent="0.3">
      <c r="A60" t="s">
        <v>270</v>
      </c>
      <c r="B60" t="s">
        <v>271</v>
      </c>
      <c r="C60" t="s">
        <v>272</v>
      </c>
      <c r="D60" t="s">
        <v>273</v>
      </c>
      <c r="E60" t="s">
        <v>125</v>
      </c>
      <c r="F60">
        <v>1200</v>
      </c>
      <c r="G60" t="s">
        <v>39</v>
      </c>
      <c r="H60" t="s">
        <v>31</v>
      </c>
      <c r="I60" t="b">
        <v>1</v>
      </c>
      <c r="J60">
        <v>3</v>
      </c>
      <c r="K60">
        <v>0</v>
      </c>
      <c r="L60">
        <v>0</v>
      </c>
      <c r="M60">
        <v>3</v>
      </c>
      <c r="N60">
        <v>65.400000000000006</v>
      </c>
      <c r="O60">
        <v>0.35</v>
      </c>
      <c r="P60" t="s">
        <v>126</v>
      </c>
      <c r="Q60">
        <v>92.3</v>
      </c>
      <c r="R60">
        <v>2</v>
      </c>
      <c r="S60" t="s">
        <v>33</v>
      </c>
      <c r="T60">
        <v>65</v>
      </c>
      <c r="U60">
        <v>0.31900000000000001</v>
      </c>
      <c r="V60">
        <v>18100</v>
      </c>
      <c r="W60">
        <v>0.191</v>
      </c>
      <c r="X60">
        <v>6.08E-2</v>
      </c>
      <c r="Y60">
        <v>0.53400000000000003</v>
      </c>
    </row>
    <row r="61" spans="1:25" x14ac:dyDescent="0.3">
      <c r="A61" t="s">
        <v>274</v>
      </c>
      <c r="B61" t="s">
        <v>228</v>
      </c>
      <c r="C61" t="s">
        <v>275</v>
      </c>
      <c r="D61" t="s">
        <v>276</v>
      </c>
      <c r="E61" t="s">
        <v>168</v>
      </c>
      <c r="G61" t="s">
        <v>39</v>
      </c>
      <c r="H61" t="s">
        <v>73</v>
      </c>
      <c r="I61" t="b">
        <v>1</v>
      </c>
      <c r="J61">
        <v>3</v>
      </c>
      <c r="K61">
        <v>1</v>
      </c>
      <c r="L61">
        <v>0</v>
      </c>
      <c r="M61">
        <v>2</v>
      </c>
      <c r="N61">
        <v>52.3</v>
      </c>
      <c r="O61">
        <v>0.49</v>
      </c>
      <c r="P61" t="s">
        <v>169</v>
      </c>
      <c r="Q61">
        <v>63.1</v>
      </c>
      <c r="R61">
        <v>6</v>
      </c>
      <c r="S61" t="s">
        <v>39</v>
      </c>
      <c r="T61">
        <v>54.9</v>
      </c>
      <c r="U61">
        <v>0.47499999999999998</v>
      </c>
      <c r="V61">
        <v>23000</v>
      </c>
      <c r="W61">
        <v>0.17699999999999999</v>
      </c>
      <c r="X61">
        <v>8.4000000000000005E-2</v>
      </c>
      <c r="Y61">
        <v>0.76700000000000002</v>
      </c>
    </row>
    <row r="62" spans="1:25" x14ac:dyDescent="0.3">
      <c r="A62" t="s">
        <v>277</v>
      </c>
      <c r="B62" t="s">
        <v>105</v>
      </c>
      <c r="C62" t="s">
        <v>278</v>
      </c>
      <c r="D62" t="s">
        <v>260</v>
      </c>
      <c r="E62" t="s">
        <v>88</v>
      </c>
      <c r="G62" t="s">
        <v>47</v>
      </c>
      <c r="H62" t="s">
        <v>48</v>
      </c>
      <c r="I62" t="b">
        <v>1</v>
      </c>
      <c r="J62">
        <v>3</v>
      </c>
      <c r="K62">
        <v>0</v>
      </c>
      <c r="L62">
        <v>0</v>
      </c>
      <c r="M62">
        <v>3</v>
      </c>
      <c r="N62">
        <v>67.900000000000006</v>
      </c>
      <c r="O62">
        <v>0.26900000000000002</v>
      </c>
      <c r="P62" t="s">
        <v>89</v>
      </c>
      <c r="Q62">
        <v>37.6</v>
      </c>
      <c r="R62">
        <v>9</v>
      </c>
      <c r="S62" t="s">
        <v>39</v>
      </c>
      <c r="T62">
        <v>73.3</v>
      </c>
      <c r="U62">
        <v>0.21299999999999999</v>
      </c>
      <c r="V62">
        <v>15950</v>
      </c>
      <c r="W62">
        <v>0.17699999999999999</v>
      </c>
      <c r="X62">
        <v>3.7699999999999997E-2</v>
      </c>
      <c r="Y62">
        <v>0.68300000000000005</v>
      </c>
    </row>
    <row r="63" spans="1:25" x14ac:dyDescent="0.3">
      <c r="A63" t="s">
        <v>279</v>
      </c>
      <c r="B63" t="s">
        <v>280</v>
      </c>
      <c r="C63" t="s">
        <v>281</v>
      </c>
      <c r="D63" t="s">
        <v>282</v>
      </c>
      <c r="E63" t="s">
        <v>38</v>
      </c>
      <c r="G63" t="s">
        <v>39</v>
      </c>
      <c r="H63" t="s">
        <v>73</v>
      </c>
      <c r="I63" t="b">
        <v>1</v>
      </c>
      <c r="J63">
        <v>3</v>
      </c>
      <c r="K63">
        <v>0</v>
      </c>
      <c r="L63">
        <v>0</v>
      </c>
      <c r="M63">
        <v>3</v>
      </c>
      <c r="N63">
        <v>77.7</v>
      </c>
      <c r="O63">
        <v>0.15</v>
      </c>
      <c r="P63" t="s">
        <v>40</v>
      </c>
      <c r="Q63">
        <v>8.6999999999999993</v>
      </c>
      <c r="R63">
        <v>23</v>
      </c>
      <c r="S63" t="s">
        <v>41</v>
      </c>
      <c r="T63">
        <v>60.8</v>
      </c>
      <c r="U63">
        <v>0.36799999999999999</v>
      </c>
      <c r="V63">
        <v>20700</v>
      </c>
      <c r="W63">
        <v>4.9000000000000002E-2</v>
      </c>
      <c r="X63">
        <v>1.8100000000000002E-2</v>
      </c>
      <c r="Y63">
        <v>0.81100000000000005</v>
      </c>
    </row>
    <row r="64" spans="1:25" x14ac:dyDescent="0.3">
      <c r="A64" t="s">
        <v>283</v>
      </c>
      <c r="B64" t="s">
        <v>208</v>
      </c>
      <c r="C64" t="s">
        <v>284</v>
      </c>
      <c r="D64" t="s">
        <v>285</v>
      </c>
      <c r="E64" t="s">
        <v>168</v>
      </c>
      <c r="G64" t="s">
        <v>30</v>
      </c>
      <c r="H64" t="s">
        <v>31</v>
      </c>
      <c r="I64" t="b">
        <v>1</v>
      </c>
      <c r="J64">
        <v>2</v>
      </c>
      <c r="K64">
        <v>0</v>
      </c>
      <c r="L64">
        <v>0</v>
      </c>
      <c r="M64">
        <v>2</v>
      </c>
      <c r="N64">
        <v>73.5</v>
      </c>
      <c r="O64">
        <v>0.22500000000000001</v>
      </c>
      <c r="P64" t="s">
        <v>169</v>
      </c>
      <c r="Q64">
        <v>63.1</v>
      </c>
      <c r="R64">
        <v>6</v>
      </c>
      <c r="S64" t="s">
        <v>39</v>
      </c>
      <c r="T64">
        <v>54.9</v>
      </c>
      <c r="U64">
        <v>0.47499999999999998</v>
      </c>
      <c r="V64">
        <v>23000</v>
      </c>
      <c r="W64">
        <v>0.17699999999999999</v>
      </c>
      <c r="X64">
        <v>8.4000000000000005E-2</v>
      </c>
      <c r="Y64">
        <v>0.76700000000000002</v>
      </c>
    </row>
    <row r="65" spans="1:25" x14ac:dyDescent="0.3">
      <c r="A65" t="s">
        <v>286</v>
      </c>
      <c r="B65" t="s">
        <v>267</v>
      </c>
      <c r="C65" t="s">
        <v>287</v>
      </c>
      <c r="D65" t="s">
        <v>269</v>
      </c>
      <c r="E65" t="s">
        <v>168</v>
      </c>
      <c r="G65" t="s">
        <v>30</v>
      </c>
      <c r="H65" t="s">
        <v>73</v>
      </c>
      <c r="I65" t="b">
        <v>1</v>
      </c>
      <c r="J65">
        <v>3</v>
      </c>
      <c r="K65">
        <v>0</v>
      </c>
      <c r="L65">
        <v>0</v>
      </c>
      <c r="M65">
        <v>3</v>
      </c>
      <c r="N65">
        <v>60</v>
      </c>
      <c r="O65">
        <v>0.433</v>
      </c>
      <c r="P65" t="s">
        <v>169</v>
      </c>
      <c r="Q65">
        <v>63.1</v>
      </c>
      <c r="R65">
        <v>6</v>
      </c>
      <c r="S65" t="s">
        <v>39</v>
      </c>
      <c r="T65">
        <v>54.9</v>
      </c>
      <c r="U65">
        <v>0.47499999999999998</v>
      </c>
      <c r="V65">
        <v>23000</v>
      </c>
      <c r="W65">
        <v>0.17699999999999999</v>
      </c>
      <c r="X65">
        <v>8.4000000000000005E-2</v>
      </c>
      <c r="Y65">
        <v>0.76700000000000002</v>
      </c>
    </row>
    <row r="66" spans="1:25" x14ac:dyDescent="0.3">
      <c r="A66" t="s">
        <v>288</v>
      </c>
      <c r="B66" t="s">
        <v>289</v>
      </c>
      <c r="C66" t="s">
        <v>290</v>
      </c>
      <c r="D66" t="s">
        <v>291</v>
      </c>
      <c r="E66" t="s">
        <v>135</v>
      </c>
      <c r="F66">
        <v>6000</v>
      </c>
      <c r="G66" t="s">
        <v>47</v>
      </c>
      <c r="H66" t="s">
        <v>31</v>
      </c>
      <c r="I66" t="b">
        <v>1</v>
      </c>
      <c r="J66">
        <v>4</v>
      </c>
      <c r="K66">
        <v>1</v>
      </c>
      <c r="L66">
        <v>1</v>
      </c>
      <c r="M66">
        <v>2</v>
      </c>
      <c r="N66">
        <v>61.8</v>
      </c>
      <c r="O66">
        <v>0.36799999999999999</v>
      </c>
      <c r="P66" t="s">
        <v>136</v>
      </c>
      <c r="Q66">
        <v>30.2</v>
      </c>
      <c r="R66">
        <v>11</v>
      </c>
      <c r="S66" t="s">
        <v>41</v>
      </c>
      <c r="T66">
        <v>60.1</v>
      </c>
      <c r="U66">
        <v>0.38600000000000001</v>
      </c>
      <c r="V66">
        <v>67450</v>
      </c>
      <c r="W66">
        <v>0.13</v>
      </c>
      <c r="X66">
        <v>5.0099999999999999E-2</v>
      </c>
      <c r="Y66">
        <v>0.80400000000000005</v>
      </c>
    </row>
    <row r="67" spans="1:25" x14ac:dyDescent="0.3">
      <c r="A67" t="s">
        <v>292</v>
      </c>
      <c r="B67" t="s">
        <v>132</v>
      </c>
      <c r="C67" t="s">
        <v>293</v>
      </c>
      <c r="D67" t="s">
        <v>294</v>
      </c>
      <c r="E67" t="s">
        <v>135</v>
      </c>
      <c r="G67" t="s">
        <v>39</v>
      </c>
      <c r="H67" t="s">
        <v>73</v>
      </c>
      <c r="I67" t="b">
        <v>1</v>
      </c>
      <c r="J67">
        <v>2</v>
      </c>
      <c r="K67">
        <v>1</v>
      </c>
      <c r="L67">
        <v>0</v>
      </c>
      <c r="M67">
        <v>1</v>
      </c>
      <c r="N67">
        <v>47.5</v>
      </c>
      <c r="O67">
        <v>0.55000000000000004</v>
      </c>
      <c r="P67" t="s">
        <v>136</v>
      </c>
      <c r="Q67">
        <v>30.2</v>
      </c>
      <c r="R67">
        <v>11</v>
      </c>
      <c r="S67" t="s">
        <v>41</v>
      </c>
      <c r="T67">
        <v>60.1</v>
      </c>
      <c r="U67">
        <v>0.38600000000000001</v>
      </c>
      <c r="V67">
        <v>67450</v>
      </c>
      <c r="W67">
        <v>0.13</v>
      </c>
      <c r="X67">
        <v>5.0099999999999999E-2</v>
      </c>
      <c r="Y67">
        <v>0.80400000000000005</v>
      </c>
    </row>
    <row r="68" spans="1:25" x14ac:dyDescent="0.3">
      <c r="A68" t="s">
        <v>295</v>
      </c>
      <c r="B68" t="s">
        <v>132</v>
      </c>
      <c r="C68" t="s">
        <v>296</v>
      </c>
      <c r="D68" t="s">
        <v>134</v>
      </c>
      <c r="E68" t="s">
        <v>135</v>
      </c>
      <c r="G68" t="s">
        <v>39</v>
      </c>
      <c r="H68" t="s">
        <v>73</v>
      </c>
      <c r="I68" t="b">
        <v>1</v>
      </c>
      <c r="J68">
        <v>3</v>
      </c>
      <c r="K68">
        <v>1</v>
      </c>
      <c r="L68">
        <v>0</v>
      </c>
      <c r="M68">
        <v>2</v>
      </c>
      <c r="N68">
        <v>60.5</v>
      </c>
      <c r="O68">
        <v>0.377</v>
      </c>
      <c r="P68" t="s">
        <v>136</v>
      </c>
      <c r="Q68">
        <v>30.2</v>
      </c>
      <c r="R68">
        <v>11</v>
      </c>
      <c r="S68" t="s">
        <v>41</v>
      </c>
      <c r="T68">
        <v>60.1</v>
      </c>
      <c r="U68">
        <v>0.38600000000000001</v>
      </c>
      <c r="V68">
        <v>67450</v>
      </c>
      <c r="W68">
        <v>0.13</v>
      </c>
      <c r="X68">
        <v>5.0099999999999999E-2</v>
      </c>
      <c r="Y68">
        <v>0.80400000000000005</v>
      </c>
    </row>
    <row r="69" spans="1:25" x14ac:dyDescent="0.3">
      <c r="A69" t="s">
        <v>297</v>
      </c>
      <c r="B69" t="s">
        <v>298</v>
      </c>
      <c r="C69" t="s">
        <v>299</v>
      </c>
      <c r="D69" t="s">
        <v>300</v>
      </c>
      <c r="E69" t="s">
        <v>157</v>
      </c>
      <c r="G69" t="s">
        <v>39</v>
      </c>
      <c r="H69" t="s">
        <v>73</v>
      </c>
      <c r="I69" t="b">
        <v>1</v>
      </c>
      <c r="J69">
        <v>3</v>
      </c>
      <c r="K69">
        <v>0</v>
      </c>
      <c r="L69">
        <v>0</v>
      </c>
      <c r="M69">
        <v>3</v>
      </c>
      <c r="N69">
        <v>69.8</v>
      </c>
      <c r="O69">
        <v>0.252</v>
      </c>
      <c r="P69" t="s">
        <v>158</v>
      </c>
      <c r="Q69">
        <v>18.100000000000001</v>
      </c>
      <c r="R69">
        <v>15</v>
      </c>
      <c r="S69" t="s">
        <v>41</v>
      </c>
      <c r="T69">
        <v>74.5</v>
      </c>
      <c r="U69">
        <v>0.19900000000000001</v>
      </c>
      <c r="V69">
        <v>12000</v>
      </c>
      <c r="W69">
        <v>8.5999999999999993E-2</v>
      </c>
      <c r="X69">
        <v>1.7100000000000001E-2</v>
      </c>
      <c r="Y69">
        <v>0.63900000000000001</v>
      </c>
    </row>
    <row r="70" spans="1:25" x14ac:dyDescent="0.3">
      <c r="A70" t="s">
        <v>301</v>
      </c>
      <c r="B70" t="s">
        <v>128</v>
      </c>
      <c r="C70" t="s">
        <v>302</v>
      </c>
      <c r="D70" t="s">
        <v>130</v>
      </c>
      <c r="E70" t="s">
        <v>108</v>
      </c>
      <c r="G70" t="s">
        <v>39</v>
      </c>
      <c r="H70" t="s">
        <v>73</v>
      </c>
      <c r="I70" t="b">
        <v>1</v>
      </c>
      <c r="J70">
        <v>3</v>
      </c>
      <c r="K70">
        <v>0</v>
      </c>
      <c r="L70">
        <v>1</v>
      </c>
      <c r="M70">
        <v>2</v>
      </c>
      <c r="N70">
        <v>82</v>
      </c>
      <c r="O70">
        <v>0.111</v>
      </c>
      <c r="P70" t="s">
        <v>109</v>
      </c>
      <c r="Q70">
        <v>62.1</v>
      </c>
      <c r="R70">
        <v>7</v>
      </c>
      <c r="S70" t="s">
        <v>39</v>
      </c>
      <c r="T70">
        <v>73.599999999999994</v>
      </c>
      <c r="U70">
        <v>0.218</v>
      </c>
      <c r="V70">
        <v>26500</v>
      </c>
      <c r="W70">
        <v>0.24099999999999999</v>
      </c>
      <c r="X70">
        <v>5.2499999999999998E-2</v>
      </c>
      <c r="Y70">
        <v>0.63200000000000001</v>
      </c>
    </row>
    <row r="71" spans="1:25" x14ac:dyDescent="0.3">
      <c r="A71" t="s">
        <v>303</v>
      </c>
      <c r="B71" t="s">
        <v>165</v>
      </c>
      <c r="C71" t="s">
        <v>304</v>
      </c>
      <c r="D71" t="s">
        <v>305</v>
      </c>
      <c r="E71" t="s">
        <v>88</v>
      </c>
      <c r="G71" t="s">
        <v>39</v>
      </c>
      <c r="H71" t="s">
        <v>73</v>
      </c>
      <c r="I71" t="b">
        <v>1</v>
      </c>
      <c r="J71">
        <v>2</v>
      </c>
      <c r="K71">
        <v>0</v>
      </c>
      <c r="L71">
        <v>1</v>
      </c>
      <c r="M71">
        <v>1</v>
      </c>
      <c r="N71">
        <v>83.2</v>
      </c>
      <c r="O71">
        <v>0.11799999999999999</v>
      </c>
      <c r="P71" t="s">
        <v>89</v>
      </c>
      <c r="Q71">
        <v>37.6</v>
      </c>
      <c r="R71">
        <v>9</v>
      </c>
      <c r="S71" t="s">
        <v>39</v>
      </c>
      <c r="T71">
        <v>73.3</v>
      </c>
      <c r="U71">
        <v>0.21299999999999999</v>
      </c>
      <c r="V71">
        <v>15950</v>
      </c>
      <c r="W71">
        <v>0.17699999999999999</v>
      </c>
      <c r="X71">
        <v>3.7699999999999997E-2</v>
      </c>
      <c r="Y71">
        <v>0.68300000000000005</v>
      </c>
    </row>
    <row r="72" spans="1:25" x14ac:dyDescent="0.3">
      <c r="A72" t="s">
        <v>306</v>
      </c>
      <c r="B72" t="s">
        <v>307</v>
      </c>
      <c r="C72" t="s">
        <v>308</v>
      </c>
      <c r="D72" t="s">
        <v>309</v>
      </c>
      <c r="E72" t="s">
        <v>157</v>
      </c>
      <c r="G72" t="s">
        <v>30</v>
      </c>
      <c r="H72" t="s">
        <v>31</v>
      </c>
      <c r="I72" t="b">
        <v>1</v>
      </c>
      <c r="J72">
        <v>2</v>
      </c>
      <c r="K72">
        <v>0</v>
      </c>
      <c r="L72">
        <v>1</v>
      </c>
      <c r="M72">
        <v>1</v>
      </c>
      <c r="N72">
        <v>83.2</v>
      </c>
      <c r="O72">
        <v>0.11799999999999999</v>
      </c>
      <c r="P72" t="s">
        <v>158</v>
      </c>
      <c r="Q72">
        <v>18.100000000000001</v>
      </c>
      <c r="R72">
        <v>15</v>
      </c>
      <c r="S72" t="s">
        <v>41</v>
      </c>
      <c r="T72">
        <v>74.5</v>
      </c>
      <c r="U72">
        <v>0.19900000000000001</v>
      </c>
      <c r="V72">
        <v>12000</v>
      </c>
      <c r="W72">
        <v>8.5999999999999993E-2</v>
      </c>
      <c r="X72">
        <v>1.7100000000000001E-2</v>
      </c>
      <c r="Y72">
        <v>0.63900000000000001</v>
      </c>
    </row>
    <row r="73" spans="1:25" x14ac:dyDescent="0.3">
      <c r="A73" t="s">
        <v>310</v>
      </c>
      <c r="B73" t="s">
        <v>51</v>
      </c>
      <c r="C73" t="s">
        <v>311</v>
      </c>
      <c r="D73" t="s">
        <v>190</v>
      </c>
      <c r="E73" t="s">
        <v>191</v>
      </c>
      <c r="F73">
        <v>8000</v>
      </c>
      <c r="G73" t="s">
        <v>47</v>
      </c>
      <c r="H73" t="s">
        <v>31</v>
      </c>
      <c r="I73" t="b">
        <v>1</v>
      </c>
      <c r="J73">
        <v>3</v>
      </c>
      <c r="K73">
        <v>0</v>
      </c>
      <c r="L73">
        <v>0</v>
      </c>
      <c r="M73">
        <v>3</v>
      </c>
      <c r="N73">
        <v>70</v>
      </c>
      <c r="O73">
        <v>0.23</v>
      </c>
      <c r="P73" t="s">
        <v>190</v>
      </c>
      <c r="Q73">
        <v>40.299999999999997</v>
      </c>
      <c r="R73">
        <v>8</v>
      </c>
      <c r="S73" t="s">
        <v>39</v>
      </c>
      <c r="T73">
        <v>68.099999999999994</v>
      </c>
      <c r="U73">
        <v>0.254</v>
      </c>
      <c r="V73">
        <v>15750</v>
      </c>
      <c r="W73">
        <v>0.21</v>
      </c>
      <c r="X73">
        <v>5.33E-2</v>
      </c>
      <c r="Y73">
        <v>0.76</v>
      </c>
    </row>
    <row r="74" spans="1:25" x14ac:dyDescent="0.3">
      <c r="A74" t="s">
        <v>312</v>
      </c>
      <c r="B74" t="s">
        <v>101</v>
      </c>
      <c r="C74" t="s">
        <v>313</v>
      </c>
      <c r="D74" t="s">
        <v>314</v>
      </c>
      <c r="E74" t="s">
        <v>135</v>
      </c>
      <c r="F74">
        <v>1200</v>
      </c>
      <c r="G74" t="s">
        <v>39</v>
      </c>
      <c r="H74" t="s">
        <v>31</v>
      </c>
      <c r="I74" t="b">
        <v>1</v>
      </c>
      <c r="J74">
        <v>1</v>
      </c>
      <c r="K74">
        <v>1</v>
      </c>
      <c r="L74">
        <v>0</v>
      </c>
      <c r="M74">
        <v>0</v>
      </c>
      <c r="N74">
        <v>15</v>
      </c>
      <c r="O74">
        <v>1</v>
      </c>
      <c r="P74" t="s">
        <v>136</v>
      </c>
      <c r="Q74">
        <v>30.2</v>
      </c>
      <c r="R74">
        <v>11</v>
      </c>
      <c r="S74" t="s">
        <v>41</v>
      </c>
      <c r="T74">
        <v>60.1</v>
      </c>
      <c r="U74">
        <v>0.38600000000000001</v>
      </c>
      <c r="V74">
        <v>67450</v>
      </c>
      <c r="W74">
        <v>0.13</v>
      </c>
      <c r="X74">
        <v>5.0099999999999999E-2</v>
      </c>
      <c r="Y74">
        <v>0.80400000000000005</v>
      </c>
    </row>
    <row r="75" spans="1:25" x14ac:dyDescent="0.3">
      <c r="A75" t="s">
        <v>315</v>
      </c>
      <c r="B75" t="s">
        <v>316</v>
      </c>
      <c r="C75" t="s">
        <v>317</v>
      </c>
      <c r="D75" t="s">
        <v>318</v>
      </c>
      <c r="E75" t="s">
        <v>319</v>
      </c>
      <c r="F75">
        <v>12000</v>
      </c>
      <c r="G75" t="s">
        <v>47</v>
      </c>
      <c r="H75" t="s">
        <v>31</v>
      </c>
      <c r="I75" t="b">
        <v>1</v>
      </c>
      <c r="J75">
        <v>4</v>
      </c>
      <c r="K75">
        <v>0</v>
      </c>
      <c r="L75">
        <v>2</v>
      </c>
      <c r="M75">
        <v>2</v>
      </c>
      <c r="N75">
        <v>78.2</v>
      </c>
      <c r="O75">
        <v>0.16200000000000001</v>
      </c>
      <c r="P75" t="s">
        <v>320</v>
      </c>
      <c r="Q75">
        <v>33.200000000000003</v>
      </c>
      <c r="R75">
        <v>10</v>
      </c>
      <c r="S75" t="s">
        <v>39</v>
      </c>
      <c r="T75">
        <v>78.2</v>
      </c>
      <c r="U75">
        <v>0.16200000000000001</v>
      </c>
      <c r="V75">
        <v>12000</v>
      </c>
      <c r="W75">
        <v>0.185</v>
      </c>
      <c r="X75">
        <v>2.9899999999999999E-2</v>
      </c>
      <c r="Y75">
        <v>0.64100000000000001</v>
      </c>
    </row>
    <row r="76" spans="1:25" x14ac:dyDescent="0.3">
      <c r="A76" t="s">
        <v>321</v>
      </c>
      <c r="B76" t="s">
        <v>298</v>
      </c>
      <c r="C76" t="s">
        <v>322</v>
      </c>
      <c r="D76" t="s">
        <v>323</v>
      </c>
      <c r="E76" t="s">
        <v>157</v>
      </c>
      <c r="G76" t="s">
        <v>39</v>
      </c>
      <c r="H76" t="s">
        <v>73</v>
      </c>
      <c r="I76" t="b">
        <v>1</v>
      </c>
      <c r="J76">
        <v>2</v>
      </c>
      <c r="K76">
        <v>0</v>
      </c>
      <c r="L76">
        <v>0</v>
      </c>
      <c r="M76">
        <v>2</v>
      </c>
      <c r="N76">
        <v>75</v>
      </c>
      <c r="O76">
        <v>0.2</v>
      </c>
      <c r="P76" t="s">
        <v>158</v>
      </c>
      <c r="Q76">
        <v>18.100000000000001</v>
      </c>
      <c r="R76">
        <v>15</v>
      </c>
      <c r="S76" t="s">
        <v>41</v>
      </c>
      <c r="T76">
        <v>74.5</v>
      </c>
      <c r="U76">
        <v>0.19900000000000001</v>
      </c>
      <c r="V76">
        <v>12000</v>
      </c>
      <c r="W76">
        <v>8.5999999999999993E-2</v>
      </c>
      <c r="X76">
        <v>1.7100000000000001E-2</v>
      </c>
      <c r="Y76">
        <v>0.63900000000000001</v>
      </c>
    </row>
    <row r="77" spans="1:25" x14ac:dyDescent="0.3">
      <c r="A77" t="s">
        <v>324</v>
      </c>
      <c r="B77" t="s">
        <v>280</v>
      </c>
      <c r="C77" t="s">
        <v>325</v>
      </c>
      <c r="D77" t="s">
        <v>326</v>
      </c>
      <c r="E77" t="s">
        <v>38</v>
      </c>
      <c r="G77" t="s">
        <v>67</v>
      </c>
      <c r="H77" t="s">
        <v>73</v>
      </c>
      <c r="I77" t="b">
        <v>1</v>
      </c>
      <c r="J77">
        <v>3</v>
      </c>
      <c r="K77">
        <v>0</v>
      </c>
      <c r="L77">
        <v>0</v>
      </c>
      <c r="M77">
        <v>3</v>
      </c>
      <c r="N77">
        <v>77.7</v>
      </c>
      <c r="O77">
        <v>0.15</v>
      </c>
      <c r="P77" t="s">
        <v>40</v>
      </c>
      <c r="Q77">
        <v>8.6999999999999993</v>
      </c>
      <c r="R77">
        <v>23</v>
      </c>
      <c r="S77" t="s">
        <v>41</v>
      </c>
      <c r="T77">
        <v>60.8</v>
      </c>
      <c r="U77">
        <v>0.36799999999999999</v>
      </c>
      <c r="V77">
        <v>20700</v>
      </c>
      <c r="W77">
        <v>4.9000000000000002E-2</v>
      </c>
      <c r="X77">
        <v>1.8100000000000002E-2</v>
      </c>
      <c r="Y77">
        <v>0.81100000000000005</v>
      </c>
    </row>
    <row r="78" spans="1:25" x14ac:dyDescent="0.3">
      <c r="A78" t="s">
        <v>327</v>
      </c>
      <c r="B78" t="s">
        <v>101</v>
      </c>
      <c r="C78" t="s">
        <v>328</v>
      </c>
      <c r="D78" t="s">
        <v>314</v>
      </c>
      <c r="E78" t="s">
        <v>135</v>
      </c>
      <c r="F78">
        <v>1500</v>
      </c>
      <c r="G78" t="s">
        <v>39</v>
      </c>
      <c r="H78" t="s">
        <v>31</v>
      </c>
      <c r="I78" t="b">
        <v>1</v>
      </c>
      <c r="J78">
        <v>1</v>
      </c>
      <c r="K78">
        <v>1</v>
      </c>
      <c r="L78">
        <v>0</v>
      </c>
      <c r="M78">
        <v>0</v>
      </c>
      <c r="N78">
        <v>15</v>
      </c>
      <c r="O78">
        <v>1</v>
      </c>
      <c r="P78" t="s">
        <v>136</v>
      </c>
      <c r="Q78">
        <v>30.2</v>
      </c>
      <c r="R78">
        <v>11</v>
      </c>
      <c r="S78" t="s">
        <v>41</v>
      </c>
      <c r="T78">
        <v>60.1</v>
      </c>
      <c r="U78">
        <v>0.38600000000000001</v>
      </c>
      <c r="V78">
        <v>67450</v>
      </c>
      <c r="W78">
        <v>0.13</v>
      </c>
      <c r="X78">
        <v>5.0099999999999999E-2</v>
      </c>
      <c r="Y78">
        <v>0.80400000000000005</v>
      </c>
    </row>
    <row r="79" spans="1:25" x14ac:dyDescent="0.3">
      <c r="A79" t="s">
        <v>329</v>
      </c>
      <c r="B79" t="s">
        <v>51</v>
      </c>
      <c r="C79" t="s">
        <v>330</v>
      </c>
      <c r="D79" t="s">
        <v>94</v>
      </c>
      <c r="E79" t="s">
        <v>54</v>
      </c>
      <c r="F79">
        <v>60000</v>
      </c>
      <c r="G79" t="s">
        <v>47</v>
      </c>
      <c r="H79" t="s">
        <v>48</v>
      </c>
      <c r="I79" t="b">
        <v>1</v>
      </c>
      <c r="J79">
        <v>4</v>
      </c>
      <c r="K79">
        <v>0</v>
      </c>
      <c r="L79">
        <v>0</v>
      </c>
      <c r="M79">
        <v>4</v>
      </c>
      <c r="N79">
        <v>71</v>
      </c>
      <c r="O79">
        <v>0.224</v>
      </c>
      <c r="P79" t="s">
        <v>55</v>
      </c>
      <c r="Q79">
        <v>88.3</v>
      </c>
      <c r="R79">
        <v>3</v>
      </c>
      <c r="S79" t="s">
        <v>33</v>
      </c>
      <c r="T79">
        <v>68.400000000000006</v>
      </c>
      <c r="U79">
        <v>0.25900000000000001</v>
      </c>
      <c r="V79">
        <v>142000</v>
      </c>
      <c r="W79">
        <v>0.6</v>
      </c>
      <c r="X79">
        <v>0.15540000000000001</v>
      </c>
      <c r="Y79">
        <v>0.82599999999999996</v>
      </c>
    </row>
    <row r="80" spans="1:25" x14ac:dyDescent="0.3">
      <c r="A80" t="s">
        <v>331</v>
      </c>
      <c r="B80" t="s">
        <v>256</v>
      </c>
      <c r="C80" t="s">
        <v>332</v>
      </c>
      <c r="D80" t="s">
        <v>53</v>
      </c>
      <c r="E80" t="s">
        <v>54</v>
      </c>
      <c r="G80" t="s">
        <v>47</v>
      </c>
      <c r="H80" t="s">
        <v>31</v>
      </c>
      <c r="I80" t="b">
        <v>1</v>
      </c>
      <c r="J80">
        <v>1</v>
      </c>
      <c r="K80">
        <v>0</v>
      </c>
      <c r="L80">
        <v>0</v>
      </c>
      <c r="M80">
        <v>1</v>
      </c>
      <c r="N80">
        <v>78</v>
      </c>
      <c r="O80">
        <v>0.15</v>
      </c>
      <c r="P80" t="s">
        <v>55</v>
      </c>
      <c r="Q80">
        <v>88.3</v>
      </c>
      <c r="R80">
        <v>3</v>
      </c>
      <c r="S80" t="s">
        <v>33</v>
      </c>
      <c r="T80">
        <v>68.400000000000006</v>
      </c>
      <c r="U80">
        <v>0.25900000000000001</v>
      </c>
      <c r="V80">
        <v>142000</v>
      </c>
      <c r="W80">
        <v>0.6</v>
      </c>
      <c r="X80">
        <v>0.15540000000000001</v>
      </c>
      <c r="Y80">
        <v>0.82599999999999996</v>
      </c>
    </row>
    <row r="81" spans="1:25" x14ac:dyDescent="0.3">
      <c r="A81" t="s">
        <v>333</v>
      </c>
      <c r="B81" t="s">
        <v>111</v>
      </c>
      <c r="C81" t="s">
        <v>334</v>
      </c>
      <c r="D81" t="s">
        <v>113</v>
      </c>
      <c r="E81" t="s">
        <v>114</v>
      </c>
      <c r="F81">
        <v>4500</v>
      </c>
      <c r="G81" t="s">
        <v>30</v>
      </c>
      <c r="H81" t="s">
        <v>31</v>
      </c>
      <c r="I81" t="b">
        <v>1</v>
      </c>
      <c r="J81">
        <v>2</v>
      </c>
      <c r="K81">
        <v>0</v>
      </c>
      <c r="L81">
        <v>0</v>
      </c>
      <c r="M81">
        <v>2</v>
      </c>
      <c r="N81">
        <v>64.5</v>
      </c>
      <c r="O81">
        <v>0.29699999999999999</v>
      </c>
      <c r="P81" t="s">
        <v>113</v>
      </c>
      <c r="Q81">
        <v>25.5</v>
      </c>
      <c r="R81">
        <v>12</v>
      </c>
      <c r="S81" t="s">
        <v>41</v>
      </c>
      <c r="T81">
        <v>50.1</v>
      </c>
      <c r="U81">
        <v>0.502</v>
      </c>
      <c r="V81">
        <v>12000</v>
      </c>
      <c r="W81">
        <v>0.04</v>
      </c>
      <c r="X81">
        <v>2.01E-2</v>
      </c>
      <c r="Y81">
        <v>0.58299999999999996</v>
      </c>
    </row>
    <row r="82" spans="1:25" x14ac:dyDescent="0.3">
      <c r="A82" t="s">
        <v>335</v>
      </c>
      <c r="B82" t="s">
        <v>336</v>
      </c>
      <c r="C82" t="s">
        <v>337</v>
      </c>
      <c r="D82" t="s">
        <v>338</v>
      </c>
      <c r="E82" t="s">
        <v>141</v>
      </c>
      <c r="G82" t="s">
        <v>47</v>
      </c>
      <c r="H82" t="s">
        <v>31</v>
      </c>
      <c r="I82" t="b">
        <v>1</v>
      </c>
      <c r="J82">
        <v>3</v>
      </c>
      <c r="K82">
        <v>0</v>
      </c>
      <c r="L82">
        <v>0</v>
      </c>
      <c r="M82">
        <v>3</v>
      </c>
      <c r="N82">
        <v>77.3</v>
      </c>
      <c r="O82">
        <v>0.156</v>
      </c>
      <c r="P82" t="s">
        <v>142</v>
      </c>
      <c r="Q82">
        <v>15.8</v>
      </c>
      <c r="R82">
        <v>17</v>
      </c>
      <c r="S82" t="s">
        <v>41</v>
      </c>
      <c r="T82">
        <v>78.2</v>
      </c>
      <c r="U82">
        <v>0.15</v>
      </c>
      <c r="V82">
        <v>22500</v>
      </c>
      <c r="W82">
        <v>0.10199999999999999</v>
      </c>
      <c r="X82">
        <v>1.5299999999999999E-2</v>
      </c>
      <c r="Y82">
        <v>0.64500000000000002</v>
      </c>
    </row>
    <row r="83" spans="1:25" x14ac:dyDescent="0.3">
      <c r="A83" t="s">
        <v>339</v>
      </c>
      <c r="B83" t="s">
        <v>81</v>
      </c>
      <c r="C83" t="s">
        <v>340</v>
      </c>
      <c r="D83" t="s">
        <v>341</v>
      </c>
      <c r="E83" t="s">
        <v>60</v>
      </c>
      <c r="G83" t="s">
        <v>39</v>
      </c>
      <c r="H83" t="s">
        <v>73</v>
      </c>
      <c r="I83" t="b">
        <v>1</v>
      </c>
      <c r="J83">
        <v>2</v>
      </c>
      <c r="K83">
        <v>0</v>
      </c>
      <c r="L83">
        <v>0</v>
      </c>
      <c r="M83">
        <v>2</v>
      </c>
      <c r="N83">
        <v>74.5</v>
      </c>
      <c r="O83">
        <v>0.20899999999999999</v>
      </c>
      <c r="P83" t="s">
        <v>61</v>
      </c>
      <c r="Q83">
        <v>13.4</v>
      </c>
      <c r="R83">
        <v>19</v>
      </c>
      <c r="S83" t="s">
        <v>41</v>
      </c>
      <c r="T83">
        <v>64.599999999999994</v>
      </c>
      <c r="U83">
        <v>0.315</v>
      </c>
      <c r="V83">
        <v>16750</v>
      </c>
      <c r="W83">
        <v>9.2999999999999999E-2</v>
      </c>
      <c r="X83">
        <v>2.93E-2</v>
      </c>
      <c r="Y83">
        <v>0.83499999999999996</v>
      </c>
    </row>
    <row r="84" spans="1:25" x14ac:dyDescent="0.3">
      <c r="A84" t="s">
        <v>342</v>
      </c>
      <c r="B84" t="s">
        <v>81</v>
      </c>
      <c r="C84" t="s">
        <v>343</v>
      </c>
      <c r="D84" t="s">
        <v>83</v>
      </c>
      <c r="E84" t="s">
        <v>60</v>
      </c>
      <c r="F84">
        <v>6000</v>
      </c>
      <c r="G84" t="s">
        <v>47</v>
      </c>
      <c r="H84" t="s">
        <v>31</v>
      </c>
      <c r="I84" t="b">
        <v>1</v>
      </c>
      <c r="J84">
        <v>4</v>
      </c>
      <c r="K84">
        <v>0</v>
      </c>
      <c r="L84">
        <v>0</v>
      </c>
      <c r="M84">
        <v>4</v>
      </c>
      <c r="N84">
        <v>69.400000000000006</v>
      </c>
      <c r="O84">
        <v>0.24099999999999999</v>
      </c>
      <c r="P84" t="s">
        <v>61</v>
      </c>
      <c r="Q84">
        <v>13.4</v>
      </c>
      <c r="R84">
        <v>19</v>
      </c>
      <c r="S84" t="s">
        <v>41</v>
      </c>
      <c r="T84">
        <v>64.599999999999994</v>
      </c>
      <c r="U84">
        <v>0.315</v>
      </c>
      <c r="V84">
        <v>16750</v>
      </c>
      <c r="W84">
        <v>9.2999999999999999E-2</v>
      </c>
      <c r="X84">
        <v>2.93E-2</v>
      </c>
      <c r="Y84">
        <v>0.83499999999999996</v>
      </c>
    </row>
    <row r="85" spans="1:25" x14ac:dyDescent="0.3">
      <c r="A85" t="s">
        <v>344</v>
      </c>
      <c r="B85" t="s">
        <v>51</v>
      </c>
      <c r="C85" t="s">
        <v>26</v>
      </c>
      <c r="D85" t="s">
        <v>28</v>
      </c>
      <c r="E85" t="s">
        <v>29</v>
      </c>
      <c r="F85">
        <v>3300</v>
      </c>
      <c r="G85" t="s">
        <v>30</v>
      </c>
      <c r="H85" t="s">
        <v>31</v>
      </c>
      <c r="I85" t="b">
        <v>1</v>
      </c>
      <c r="J85">
        <v>3</v>
      </c>
      <c r="K85">
        <v>0</v>
      </c>
      <c r="L85">
        <v>0</v>
      </c>
      <c r="M85">
        <v>3</v>
      </c>
      <c r="N85">
        <v>70</v>
      </c>
      <c r="O85">
        <v>0.23</v>
      </c>
      <c r="P85" t="s">
        <v>32</v>
      </c>
      <c r="Q85">
        <v>100</v>
      </c>
      <c r="R85">
        <v>1</v>
      </c>
      <c r="S85" t="s">
        <v>33</v>
      </c>
      <c r="T85">
        <v>66.900000000000006</v>
      </c>
      <c r="U85">
        <v>0.27100000000000002</v>
      </c>
      <c r="V85">
        <v>30000</v>
      </c>
      <c r="W85">
        <v>0.27300000000000002</v>
      </c>
      <c r="X85">
        <v>7.3899999999999993E-2</v>
      </c>
      <c r="Y85">
        <v>0.58599999999999997</v>
      </c>
    </row>
    <row r="86" spans="1:25" x14ac:dyDescent="0.3">
      <c r="A86" t="s">
        <v>345</v>
      </c>
      <c r="B86" t="s">
        <v>147</v>
      </c>
      <c r="C86" t="s">
        <v>346</v>
      </c>
      <c r="D86" t="s">
        <v>118</v>
      </c>
      <c r="E86" t="s">
        <v>119</v>
      </c>
      <c r="G86" t="s">
        <v>47</v>
      </c>
      <c r="H86" t="s">
        <v>48</v>
      </c>
      <c r="I86" t="b">
        <v>1</v>
      </c>
      <c r="J86">
        <v>1</v>
      </c>
      <c r="K86">
        <v>0</v>
      </c>
      <c r="L86">
        <v>0</v>
      </c>
      <c r="M86">
        <v>1</v>
      </c>
      <c r="N86">
        <v>78</v>
      </c>
      <c r="O86">
        <v>0.15</v>
      </c>
      <c r="P86" t="s">
        <v>120</v>
      </c>
      <c r="Q86">
        <v>17.8</v>
      </c>
      <c r="R86">
        <v>16</v>
      </c>
      <c r="S86" t="s">
        <v>41</v>
      </c>
      <c r="T86">
        <v>77</v>
      </c>
      <c r="U86">
        <v>0.16400000000000001</v>
      </c>
      <c r="V86">
        <v>31300</v>
      </c>
      <c r="W86">
        <v>0.125</v>
      </c>
      <c r="X86">
        <v>2.0500000000000001E-2</v>
      </c>
      <c r="Y86">
        <v>0.70499999999999996</v>
      </c>
    </row>
    <row r="87" spans="1:25" x14ac:dyDescent="0.3">
      <c r="A87" t="s">
        <v>347</v>
      </c>
      <c r="B87" t="s">
        <v>228</v>
      </c>
      <c r="C87" t="s">
        <v>348</v>
      </c>
      <c r="D87" t="s">
        <v>349</v>
      </c>
      <c r="E87" t="s">
        <v>168</v>
      </c>
      <c r="G87" t="s">
        <v>39</v>
      </c>
      <c r="H87" t="s">
        <v>73</v>
      </c>
      <c r="I87" t="b">
        <v>1</v>
      </c>
      <c r="J87">
        <v>1</v>
      </c>
      <c r="K87">
        <v>1</v>
      </c>
      <c r="L87">
        <v>0</v>
      </c>
      <c r="M87">
        <v>0</v>
      </c>
      <c r="N87">
        <v>15</v>
      </c>
      <c r="O87">
        <v>1</v>
      </c>
      <c r="P87" t="s">
        <v>169</v>
      </c>
      <c r="Q87">
        <v>63.1</v>
      </c>
      <c r="R87">
        <v>6</v>
      </c>
      <c r="S87" t="s">
        <v>39</v>
      </c>
      <c r="T87">
        <v>54.9</v>
      </c>
      <c r="U87">
        <v>0.47499999999999998</v>
      </c>
      <c r="V87">
        <v>23000</v>
      </c>
      <c r="W87">
        <v>0.17699999999999999</v>
      </c>
      <c r="X87">
        <v>8.4000000000000005E-2</v>
      </c>
      <c r="Y87">
        <v>0.76700000000000002</v>
      </c>
    </row>
    <row r="88" spans="1:25" x14ac:dyDescent="0.3">
      <c r="A88" t="s">
        <v>350</v>
      </c>
      <c r="B88" t="s">
        <v>238</v>
      </c>
      <c r="C88" t="s">
        <v>351</v>
      </c>
      <c r="D88" t="s">
        <v>240</v>
      </c>
      <c r="E88" t="s">
        <v>141</v>
      </c>
      <c r="F88">
        <v>3000</v>
      </c>
      <c r="G88" t="s">
        <v>30</v>
      </c>
      <c r="H88" t="s">
        <v>31</v>
      </c>
      <c r="I88" t="b">
        <v>1</v>
      </c>
      <c r="J88">
        <v>3</v>
      </c>
      <c r="K88">
        <v>0</v>
      </c>
      <c r="L88">
        <v>1</v>
      </c>
      <c r="M88">
        <v>2</v>
      </c>
      <c r="N88">
        <v>80.5</v>
      </c>
      <c r="O88">
        <v>0.129</v>
      </c>
      <c r="P88" t="s">
        <v>142</v>
      </c>
      <c r="Q88">
        <v>15.8</v>
      </c>
      <c r="R88">
        <v>17</v>
      </c>
      <c r="S88" t="s">
        <v>41</v>
      </c>
      <c r="T88">
        <v>78.2</v>
      </c>
      <c r="U88">
        <v>0.15</v>
      </c>
      <c r="V88">
        <v>22500</v>
      </c>
      <c r="W88">
        <v>0.10199999999999999</v>
      </c>
      <c r="X88">
        <v>1.5299999999999999E-2</v>
      </c>
      <c r="Y88">
        <v>0.64500000000000002</v>
      </c>
    </row>
    <row r="89" spans="1:25" x14ac:dyDescent="0.3">
      <c r="A89" t="s">
        <v>352</v>
      </c>
      <c r="B89" t="s">
        <v>165</v>
      </c>
      <c r="C89" t="s">
        <v>353</v>
      </c>
      <c r="D89" t="s">
        <v>354</v>
      </c>
      <c r="E89" t="s">
        <v>168</v>
      </c>
      <c r="G89" t="s">
        <v>39</v>
      </c>
      <c r="H89" t="s">
        <v>73</v>
      </c>
      <c r="I89" t="b">
        <v>1</v>
      </c>
      <c r="J89">
        <v>2</v>
      </c>
      <c r="K89">
        <v>0</v>
      </c>
      <c r="L89">
        <v>1</v>
      </c>
      <c r="M89">
        <v>1</v>
      </c>
      <c r="N89">
        <v>83.2</v>
      </c>
      <c r="O89">
        <v>0.11799999999999999</v>
      </c>
      <c r="P89" t="s">
        <v>169</v>
      </c>
      <c r="Q89">
        <v>63.1</v>
      </c>
      <c r="R89">
        <v>6</v>
      </c>
      <c r="S89" t="s">
        <v>39</v>
      </c>
      <c r="T89">
        <v>54.9</v>
      </c>
      <c r="U89">
        <v>0.47499999999999998</v>
      </c>
      <c r="V89">
        <v>23000</v>
      </c>
      <c r="W89">
        <v>0.17699999999999999</v>
      </c>
      <c r="X89">
        <v>8.4000000000000005E-2</v>
      </c>
      <c r="Y89">
        <v>0.76700000000000002</v>
      </c>
    </row>
    <row r="90" spans="1:25" x14ac:dyDescent="0.3">
      <c r="A90" t="s">
        <v>355</v>
      </c>
      <c r="B90" t="s">
        <v>116</v>
      </c>
      <c r="C90" t="s">
        <v>356</v>
      </c>
      <c r="D90" t="s">
        <v>118</v>
      </c>
      <c r="E90" t="s">
        <v>119</v>
      </c>
      <c r="F90">
        <v>10000</v>
      </c>
      <c r="G90" t="s">
        <v>47</v>
      </c>
      <c r="H90" t="s">
        <v>31</v>
      </c>
      <c r="I90" t="b">
        <v>1</v>
      </c>
      <c r="J90">
        <v>1</v>
      </c>
      <c r="K90">
        <v>0</v>
      </c>
      <c r="L90">
        <v>0</v>
      </c>
      <c r="M90">
        <v>1</v>
      </c>
      <c r="N90">
        <v>78</v>
      </c>
      <c r="O90">
        <v>0.15</v>
      </c>
      <c r="P90" t="s">
        <v>120</v>
      </c>
      <c r="Q90">
        <v>17.8</v>
      </c>
      <c r="R90">
        <v>16</v>
      </c>
      <c r="S90" t="s">
        <v>41</v>
      </c>
      <c r="T90">
        <v>77</v>
      </c>
      <c r="U90">
        <v>0.16400000000000001</v>
      </c>
      <c r="V90">
        <v>31300</v>
      </c>
      <c r="W90">
        <v>0.125</v>
      </c>
      <c r="X90">
        <v>2.0500000000000001E-2</v>
      </c>
      <c r="Y90">
        <v>0.70499999999999996</v>
      </c>
    </row>
    <row r="91" spans="1:25" x14ac:dyDescent="0.3">
      <c r="A91" t="s">
        <v>357</v>
      </c>
      <c r="B91" t="s">
        <v>358</v>
      </c>
      <c r="C91" t="s">
        <v>359</v>
      </c>
      <c r="D91" t="s">
        <v>360</v>
      </c>
      <c r="E91" t="s">
        <v>361</v>
      </c>
      <c r="F91">
        <v>6000</v>
      </c>
      <c r="G91" t="s">
        <v>47</v>
      </c>
      <c r="H91" t="s">
        <v>31</v>
      </c>
      <c r="I91" t="b">
        <v>1</v>
      </c>
      <c r="J91">
        <v>3</v>
      </c>
      <c r="K91">
        <v>0</v>
      </c>
      <c r="L91">
        <v>0</v>
      </c>
      <c r="M91">
        <v>3</v>
      </c>
      <c r="N91">
        <v>69</v>
      </c>
      <c r="O91">
        <v>0.24</v>
      </c>
      <c r="P91" t="s">
        <v>362</v>
      </c>
      <c r="Q91">
        <v>0</v>
      </c>
      <c r="R91">
        <v>26</v>
      </c>
      <c r="S91" t="s">
        <v>41</v>
      </c>
      <c r="T91">
        <v>69</v>
      </c>
      <c r="U91">
        <v>0.24</v>
      </c>
      <c r="V91">
        <v>6000</v>
      </c>
      <c r="W91">
        <v>2.1000000000000001E-2</v>
      </c>
      <c r="X91">
        <v>5.1000000000000004E-3</v>
      </c>
      <c r="Y91">
        <v>0.84899999999999998</v>
      </c>
    </row>
    <row r="92" spans="1:25" x14ac:dyDescent="0.3">
      <c r="A92" t="s">
        <v>363</v>
      </c>
      <c r="B92" t="s">
        <v>364</v>
      </c>
      <c r="C92" t="s">
        <v>365</v>
      </c>
      <c r="D92" t="s">
        <v>366</v>
      </c>
      <c r="E92" t="s">
        <v>66</v>
      </c>
      <c r="F92">
        <v>1200</v>
      </c>
      <c r="G92" t="s">
        <v>39</v>
      </c>
      <c r="H92" t="s">
        <v>31</v>
      </c>
      <c r="I92" t="b">
        <v>1</v>
      </c>
      <c r="J92">
        <v>3</v>
      </c>
      <c r="K92">
        <v>1</v>
      </c>
      <c r="L92">
        <v>1</v>
      </c>
      <c r="M92">
        <v>1</v>
      </c>
      <c r="N92">
        <v>63.3</v>
      </c>
      <c r="O92">
        <v>0.375</v>
      </c>
      <c r="P92" t="s">
        <v>68</v>
      </c>
      <c r="Q92">
        <v>12.1</v>
      </c>
      <c r="R92">
        <v>21</v>
      </c>
      <c r="S92" t="s">
        <v>41</v>
      </c>
      <c r="T92">
        <v>55</v>
      </c>
      <c r="U92">
        <v>0.44500000000000001</v>
      </c>
      <c r="V92">
        <v>2650</v>
      </c>
      <c r="W92">
        <v>2.4E-2</v>
      </c>
      <c r="X92">
        <v>1.0699999999999999E-2</v>
      </c>
      <c r="Y92">
        <v>0.59299999999999997</v>
      </c>
    </row>
    <row r="93" spans="1:25" x14ac:dyDescent="0.3">
      <c r="A93" t="s">
        <v>367</v>
      </c>
      <c r="B93" t="s">
        <v>51</v>
      </c>
      <c r="C93" t="s">
        <v>368</v>
      </c>
      <c r="D93" t="s">
        <v>162</v>
      </c>
      <c r="E93" t="s">
        <v>163</v>
      </c>
      <c r="F93">
        <v>300</v>
      </c>
      <c r="G93" t="s">
        <v>67</v>
      </c>
      <c r="H93" t="s">
        <v>31</v>
      </c>
      <c r="I93" t="b">
        <v>1</v>
      </c>
      <c r="J93">
        <v>1</v>
      </c>
      <c r="K93">
        <v>0</v>
      </c>
      <c r="L93">
        <v>0</v>
      </c>
      <c r="M93">
        <v>1</v>
      </c>
      <c r="N93">
        <v>55</v>
      </c>
      <c r="O93">
        <v>0.4</v>
      </c>
      <c r="P93" t="s">
        <v>162</v>
      </c>
      <c r="Q93">
        <v>7.7</v>
      </c>
      <c r="R93">
        <v>24</v>
      </c>
      <c r="S93" t="s">
        <v>41</v>
      </c>
      <c r="T93">
        <v>76.5</v>
      </c>
      <c r="U93">
        <v>0.185</v>
      </c>
      <c r="V93">
        <v>10950</v>
      </c>
      <c r="W93">
        <v>9.0999999999999998E-2</v>
      </c>
      <c r="X93">
        <v>1.6899999999999998E-2</v>
      </c>
      <c r="Y93">
        <v>0.81399999999999995</v>
      </c>
    </row>
    <row r="94" spans="1:25" x14ac:dyDescent="0.3">
      <c r="A94" t="s">
        <v>369</v>
      </c>
      <c r="B94" t="s">
        <v>271</v>
      </c>
      <c r="C94" t="s">
        <v>370</v>
      </c>
      <c r="D94" t="s">
        <v>371</v>
      </c>
      <c r="E94" t="s">
        <v>125</v>
      </c>
      <c r="G94" t="s">
        <v>30</v>
      </c>
      <c r="H94" t="s">
        <v>31</v>
      </c>
      <c r="I94" t="b">
        <v>1</v>
      </c>
      <c r="J94">
        <v>3</v>
      </c>
      <c r="K94">
        <v>0</v>
      </c>
      <c r="L94">
        <v>0</v>
      </c>
      <c r="M94">
        <v>3</v>
      </c>
      <c r="N94">
        <v>61</v>
      </c>
      <c r="O94">
        <v>0.41899999999999998</v>
      </c>
      <c r="P94" t="s">
        <v>126</v>
      </c>
      <c r="Q94">
        <v>92.3</v>
      </c>
      <c r="R94">
        <v>2</v>
      </c>
      <c r="S94" t="s">
        <v>33</v>
      </c>
      <c r="T94">
        <v>65</v>
      </c>
      <c r="U94">
        <v>0.31900000000000001</v>
      </c>
      <c r="V94">
        <v>18100</v>
      </c>
      <c r="W94">
        <v>0.191</v>
      </c>
      <c r="X94">
        <v>6.08E-2</v>
      </c>
      <c r="Y94">
        <v>0.53400000000000003</v>
      </c>
    </row>
    <row r="95" spans="1:25" x14ac:dyDescent="0.3">
      <c r="A95" t="s">
        <v>372</v>
      </c>
      <c r="B95" t="s">
        <v>165</v>
      </c>
      <c r="C95" t="s">
        <v>373</v>
      </c>
      <c r="D95" t="s">
        <v>260</v>
      </c>
      <c r="E95" t="s">
        <v>88</v>
      </c>
      <c r="G95" t="s">
        <v>39</v>
      </c>
      <c r="H95" t="s">
        <v>73</v>
      </c>
      <c r="I95" t="b">
        <v>1</v>
      </c>
      <c r="J95">
        <v>3</v>
      </c>
      <c r="K95">
        <v>0</v>
      </c>
      <c r="L95">
        <v>1</v>
      </c>
      <c r="M95">
        <v>2</v>
      </c>
      <c r="N95">
        <v>82.3</v>
      </c>
      <c r="O95">
        <v>0.113</v>
      </c>
      <c r="P95" t="s">
        <v>89</v>
      </c>
      <c r="Q95">
        <v>37.6</v>
      </c>
      <c r="R95">
        <v>9</v>
      </c>
      <c r="S95" t="s">
        <v>39</v>
      </c>
      <c r="T95">
        <v>73.3</v>
      </c>
      <c r="U95">
        <v>0.21299999999999999</v>
      </c>
      <c r="V95">
        <v>15950</v>
      </c>
      <c r="W95">
        <v>0.17699999999999999</v>
      </c>
      <c r="X95">
        <v>3.7699999999999997E-2</v>
      </c>
      <c r="Y95">
        <v>0.68300000000000005</v>
      </c>
    </row>
    <row r="96" spans="1:25" x14ac:dyDescent="0.3">
      <c r="A96" t="s">
        <v>374</v>
      </c>
      <c r="B96" t="s">
        <v>105</v>
      </c>
      <c r="C96" t="s">
        <v>375</v>
      </c>
      <c r="D96" t="s">
        <v>376</v>
      </c>
      <c r="E96" t="s">
        <v>108</v>
      </c>
      <c r="G96" t="s">
        <v>30</v>
      </c>
      <c r="H96" t="s">
        <v>31</v>
      </c>
      <c r="I96" t="b">
        <v>1</v>
      </c>
      <c r="J96">
        <v>3</v>
      </c>
      <c r="K96">
        <v>0</v>
      </c>
      <c r="L96">
        <v>0</v>
      </c>
      <c r="M96">
        <v>3</v>
      </c>
      <c r="N96">
        <v>62.3</v>
      </c>
      <c r="O96">
        <v>0.39800000000000002</v>
      </c>
      <c r="P96" t="s">
        <v>109</v>
      </c>
      <c r="Q96">
        <v>62.1</v>
      </c>
      <c r="R96">
        <v>7</v>
      </c>
      <c r="S96" t="s">
        <v>39</v>
      </c>
      <c r="T96">
        <v>73.599999999999994</v>
      </c>
      <c r="U96">
        <v>0.218</v>
      </c>
      <c r="V96">
        <v>26500</v>
      </c>
      <c r="W96">
        <v>0.24099999999999999</v>
      </c>
      <c r="X96">
        <v>5.2499999999999998E-2</v>
      </c>
      <c r="Y96">
        <v>0.63200000000000001</v>
      </c>
    </row>
    <row r="97" spans="1:25" x14ac:dyDescent="0.3">
      <c r="A97" t="s">
        <v>377</v>
      </c>
      <c r="B97" t="s">
        <v>111</v>
      </c>
      <c r="C97" t="s">
        <v>378</v>
      </c>
      <c r="D97" t="s">
        <v>113</v>
      </c>
      <c r="E97" t="s">
        <v>114</v>
      </c>
      <c r="F97">
        <v>4000</v>
      </c>
      <c r="G97" t="s">
        <v>30</v>
      </c>
      <c r="H97" t="s">
        <v>31</v>
      </c>
      <c r="I97" t="b">
        <v>1</v>
      </c>
      <c r="J97">
        <v>2</v>
      </c>
      <c r="K97">
        <v>0</v>
      </c>
      <c r="L97">
        <v>0</v>
      </c>
      <c r="M97">
        <v>2</v>
      </c>
      <c r="N97">
        <v>64.5</v>
      </c>
      <c r="O97">
        <v>0.29699999999999999</v>
      </c>
      <c r="P97" t="s">
        <v>113</v>
      </c>
      <c r="Q97">
        <v>25.5</v>
      </c>
      <c r="R97">
        <v>12</v>
      </c>
      <c r="S97" t="s">
        <v>41</v>
      </c>
      <c r="T97">
        <v>50.1</v>
      </c>
      <c r="U97">
        <v>0.502</v>
      </c>
      <c r="V97">
        <v>12000</v>
      </c>
      <c r="W97">
        <v>0.04</v>
      </c>
      <c r="X97">
        <v>2.01E-2</v>
      </c>
      <c r="Y97">
        <v>0.58299999999999996</v>
      </c>
    </row>
    <row r="98" spans="1:25" x14ac:dyDescent="0.3">
      <c r="A98" t="s">
        <v>379</v>
      </c>
      <c r="B98" t="s">
        <v>75</v>
      </c>
      <c r="C98" t="s">
        <v>380</v>
      </c>
      <c r="D98" t="s">
        <v>246</v>
      </c>
      <c r="E98" t="s">
        <v>78</v>
      </c>
      <c r="G98" t="s">
        <v>30</v>
      </c>
      <c r="H98" t="s">
        <v>73</v>
      </c>
      <c r="I98" t="b">
        <v>1</v>
      </c>
      <c r="J98">
        <v>4</v>
      </c>
      <c r="K98">
        <v>0</v>
      </c>
      <c r="L98">
        <v>0</v>
      </c>
      <c r="M98">
        <v>4</v>
      </c>
      <c r="N98">
        <v>69.7</v>
      </c>
      <c r="O98">
        <v>0.24199999999999999</v>
      </c>
      <c r="P98" t="s">
        <v>79</v>
      </c>
      <c r="Q98">
        <v>13.4</v>
      </c>
      <c r="R98">
        <v>20</v>
      </c>
      <c r="S98" t="s">
        <v>41</v>
      </c>
      <c r="T98">
        <v>67.599999999999994</v>
      </c>
      <c r="U98">
        <v>0.28599999999999998</v>
      </c>
      <c r="V98">
        <v>9000</v>
      </c>
      <c r="W98">
        <v>5.6000000000000001E-2</v>
      </c>
      <c r="X98">
        <v>1.61E-2</v>
      </c>
      <c r="Y98">
        <v>0.69899999999999995</v>
      </c>
    </row>
    <row r="99" spans="1:25" x14ac:dyDescent="0.3">
      <c r="A99" t="s">
        <v>381</v>
      </c>
      <c r="B99" t="s">
        <v>232</v>
      </c>
      <c r="C99" t="s">
        <v>382</v>
      </c>
      <c r="D99" t="s">
        <v>383</v>
      </c>
      <c r="E99" t="s">
        <v>235</v>
      </c>
      <c r="F99">
        <v>3500</v>
      </c>
      <c r="G99" t="s">
        <v>30</v>
      </c>
      <c r="H99" t="s">
        <v>31</v>
      </c>
      <c r="I99" t="b">
        <v>1</v>
      </c>
      <c r="J99">
        <v>4</v>
      </c>
      <c r="K99">
        <v>0</v>
      </c>
      <c r="L99">
        <v>1</v>
      </c>
      <c r="M99">
        <v>3</v>
      </c>
      <c r="N99">
        <v>82.6</v>
      </c>
      <c r="O99">
        <v>0.105</v>
      </c>
      <c r="P99" t="s">
        <v>236</v>
      </c>
      <c r="Q99">
        <v>5</v>
      </c>
      <c r="R99">
        <v>25</v>
      </c>
      <c r="S99" t="s">
        <v>41</v>
      </c>
      <c r="T99">
        <v>82.4</v>
      </c>
      <c r="U99">
        <v>0.107</v>
      </c>
      <c r="V99">
        <v>5950</v>
      </c>
      <c r="W99">
        <v>7.0000000000000007E-2</v>
      </c>
      <c r="X99">
        <v>7.4999999999999997E-3</v>
      </c>
      <c r="Y99">
        <v>0.69899999999999995</v>
      </c>
    </row>
    <row r="100" spans="1:25" x14ac:dyDescent="0.3">
      <c r="A100" t="s">
        <v>384</v>
      </c>
      <c r="B100" t="s">
        <v>385</v>
      </c>
      <c r="C100" t="s">
        <v>386</v>
      </c>
      <c r="D100" t="s">
        <v>387</v>
      </c>
      <c r="E100" t="s">
        <v>168</v>
      </c>
      <c r="G100" t="s">
        <v>67</v>
      </c>
      <c r="H100" t="s">
        <v>73</v>
      </c>
      <c r="I100" t="b">
        <v>1</v>
      </c>
      <c r="J100">
        <v>3</v>
      </c>
      <c r="K100">
        <v>1</v>
      </c>
      <c r="L100">
        <v>0</v>
      </c>
      <c r="M100">
        <v>2</v>
      </c>
      <c r="N100">
        <v>50</v>
      </c>
      <c r="O100">
        <v>0.53300000000000003</v>
      </c>
      <c r="P100" t="s">
        <v>169</v>
      </c>
      <c r="Q100">
        <v>63.1</v>
      </c>
      <c r="R100">
        <v>6</v>
      </c>
      <c r="S100" t="s">
        <v>39</v>
      </c>
      <c r="T100">
        <v>54.9</v>
      </c>
      <c r="U100">
        <v>0.47499999999999998</v>
      </c>
      <c r="V100">
        <v>23000</v>
      </c>
      <c r="W100">
        <v>0.17699999999999999</v>
      </c>
      <c r="X100">
        <v>8.4000000000000005E-2</v>
      </c>
      <c r="Y100">
        <v>0.76700000000000002</v>
      </c>
    </row>
    <row r="101" spans="1:25" x14ac:dyDescent="0.3">
      <c r="A101" t="s">
        <v>388</v>
      </c>
      <c r="B101" t="s">
        <v>101</v>
      </c>
      <c r="C101" t="s">
        <v>389</v>
      </c>
      <c r="D101" t="s">
        <v>390</v>
      </c>
      <c r="E101" t="s">
        <v>135</v>
      </c>
      <c r="F101">
        <v>30000</v>
      </c>
      <c r="G101" t="s">
        <v>47</v>
      </c>
      <c r="H101" t="s">
        <v>31</v>
      </c>
      <c r="I101" t="b">
        <v>1</v>
      </c>
      <c r="J101">
        <v>3</v>
      </c>
      <c r="K101">
        <v>0</v>
      </c>
      <c r="L101">
        <v>0</v>
      </c>
      <c r="M101">
        <v>3</v>
      </c>
      <c r="N101">
        <v>71</v>
      </c>
      <c r="O101">
        <v>0.217</v>
      </c>
      <c r="P101" t="s">
        <v>136</v>
      </c>
      <c r="Q101">
        <v>30.2</v>
      </c>
      <c r="R101">
        <v>11</v>
      </c>
      <c r="S101" t="s">
        <v>41</v>
      </c>
      <c r="T101">
        <v>60.1</v>
      </c>
      <c r="U101">
        <v>0.38600000000000001</v>
      </c>
      <c r="V101">
        <v>67450</v>
      </c>
      <c r="W101">
        <v>0.13</v>
      </c>
      <c r="X101">
        <v>5.0099999999999999E-2</v>
      </c>
      <c r="Y101">
        <v>0.80400000000000005</v>
      </c>
    </row>
    <row r="102" spans="1:25" x14ac:dyDescent="0.3">
      <c r="A102" t="s">
        <v>391</v>
      </c>
      <c r="B102" t="s">
        <v>289</v>
      </c>
      <c r="C102" t="s">
        <v>392</v>
      </c>
      <c r="D102" t="s">
        <v>136</v>
      </c>
      <c r="E102" t="s">
        <v>135</v>
      </c>
      <c r="G102" t="s">
        <v>39</v>
      </c>
      <c r="H102" t="s">
        <v>73</v>
      </c>
      <c r="I102" t="b">
        <v>1</v>
      </c>
      <c r="J102">
        <v>1</v>
      </c>
      <c r="K102">
        <v>1</v>
      </c>
      <c r="L102">
        <v>0</v>
      </c>
      <c r="M102">
        <v>0</v>
      </c>
      <c r="N102">
        <v>15</v>
      </c>
      <c r="O102">
        <v>1</v>
      </c>
      <c r="P102" t="s">
        <v>136</v>
      </c>
      <c r="Q102">
        <v>30.2</v>
      </c>
      <c r="R102">
        <v>11</v>
      </c>
      <c r="S102" t="s">
        <v>41</v>
      </c>
      <c r="T102">
        <v>60.1</v>
      </c>
      <c r="U102">
        <v>0.38600000000000001</v>
      </c>
      <c r="V102">
        <v>67450</v>
      </c>
      <c r="W102">
        <v>0.13</v>
      </c>
      <c r="X102">
        <v>5.0099999999999999E-2</v>
      </c>
      <c r="Y102">
        <v>0.80400000000000005</v>
      </c>
    </row>
    <row r="103" spans="1:25" x14ac:dyDescent="0.3">
      <c r="A103" t="s">
        <v>393</v>
      </c>
      <c r="B103" t="s">
        <v>111</v>
      </c>
      <c r="C103" t="s">
        <v>394</v>
      </c>
      <c r="D103" t="s">
        <v>145</v>
      </c>
      <c r="E103" t="s">
        <v>125</v>
      </c>
      <c r="F103">
        <v>5300</v>
      </c>
      <c r="G103" t="s">
        <v>47</v>
      </c>
      <c r="H103" t="s">
        <v>31</v>
      </c>
      <c r="I103" t="b">
        <v>1</v>
      </c>
      <c r="J103">
        <v>2</v>
      </c>
      <c r="K103">
        <v>0</v>
      </c>
      <c r="L103">
        <v>0</v>
      </c>
      <c r="M103">
        <v>2</v>
      </c>
      <c r="N103">
        <v>66.5</v>
      </c>
      <c r="O103">
        <v>0.27500000000000002</v>
      </c>
      <c r="P103" t="s">
        <v>126</v>
      </c>
      <c r="Q103">
        <v>92.3</v>
      </c>
      <c r="R103">
        <v>2</v>
      </c>
      <c r="S103" t="s">
        <v>33</v>
      </c>
      <c r="T103">
        <v>65</v>
      </c>
      <c r="U103">
        <v>0.31900000000000001</v>
      </c>
      <c r="V103">
        <v>18100</v>
      </c>
      <c r="W103">
        <v>0.191</v>
      </c>
      <c r="X103">
        <v>6.08E-2</v>
      </c>
      <c r="Y103">
        <v>0.53400000000000003</v>
      </c>
    </row>
    <row r="104" spans="1:25" x14ac:dyDescent="0.3">
      <c r="A104" t="s">
        <v>395</v>
      </c>
      <c r="B104" t="s">
        <v>201</v>
      </c>
      <c r="C104" t="s">
        <v>396</v>
      </c>
      <c r="D104" t="s">
        <v>136</v>
      </c>
      <c r="E104" t="s">
        <v>135</v>
      </c>
      <c r="G104" t="s">
        <v>39</v>
      </c>
      <c r="H104" t="s">
        <v>73</v>
      </c>
      <c r="I104" t="b">
        <v>1</v>
      </c>
      <c r="J104">
        <v>3</v>
      </c>
      <c r="K104">
        <v>1</v>
      </c>
      <c r="L104">
        <v>1</v>
      </c>
      <c r="M104">
        <v>1</v>
      </c>
      <c r="N104">
        <v>58.8</v>
      </c>
      <c r="O104">
        <v>0.42899999999999999</v>
      </c>
      <c r="P104" t="s">
        <v>136</v>
      </c>
      <c r="Q104">
        <v>30.2</v>
      </c>
      <c r="R104">
        <v>11</v>
      </c>
      <c r="S104" t="s">
        <v>41</v>
      </c>
      <c r="T104">
        <v>60.1</v>
      </c>
      <c r="U104">
        <v>0.38600000000000001</v>
      </c>
      <c r="V104">
        <v>67450</v>
      </c>
      <c r="W104">
        <v>0.13</v>
      </c>
      <c r="X104">
        <v>5.0099999999999999E-2</v>
      </c>
      <c r="Y104">
        <v>0.80400000000000005</v>
      </c>
    </row>
    <row r="105" spans="1:25" x14ac:dyDescent="0.3">
      <c r="A105" t="s">
        <v>397</v>
      </c>
      <c r="B105" t="s">
        <v>132</v>
      </c>
      <c r="C105" t="s">
        <v>398</v>
      </c>
      <c r="D105" t="s">
        <v>294</v>
      </c>
      <c r="E105" t="s">
        <v>135</v>
      </c>
      <c r="G105" t="s">
        <v>67</v>
      </c>
      <c r="H105" t="s">
        <v>73</v>
      </c>
      <c r="I105" t="b">
        <v>1</v>
      </c>
      <c r="J105">
        <v>3</v>
      </c>
      <c r="K105">
        <v>1</v>
      </c>
      <c r="L105">
        <v>0</v>
      </c>
      <c r="M105">
        <v>2</v>
      </c>
      <c r="N105">
        <v>55.4</v>
      </c>
      <c r="O105">
        <v>0.44600000000000001</v>
      </c>
      <c r="P105" t="s">
        <v>136</v>
      </c>
      <c r="Q105">
        <v>30.2</v>
      </c>
      <c r="R105">
        <v>11</v>
      </c>
      <c r="S105" t="s">
        <v>41</v>
      </c>
      <c r="T105">
        <v>60.1</v>
      </c>
      <c r="U105">
        <v>0.38600000000000001</v>
      </c>
      <c r="V105">
        <v>67450</v>
      </c>
      <c r="W105">
        <v>0.13</v>
      </c>
      <c r="X105">
        <v>5.0099999999999999E-2</v>
      </c>
      <c r="Y105">
        <v>0.80400000000000005</v>
      </c>
    </row>
    <row r="106" spans="1:25" x14ac:dyDescent="0.3">
      <c r="A106" t="s">
        <v>399</v>
      </c>
      <c r="B106" t="s">
        <v>400</v>
      </c>
      <c r="C106" t="s">
        <v>401</v>
      </c>
      <c r="D106" t="s">
        <v>402</v>
      </c>
      <c r="E106" t="s">
        <v>66</v>
      </c>
      <c r="F106">
        <v>1200</v>
      </c>
      <c r="G106" t="s">
        <v>39</v>
      </c>
      <c r="H106" t="s">
        <v>31</v>
      </c>
      <c r="I106" t="b">
        <v>1</v>
      </c>
      <c r="J106">
        <v>1</v>
      </c>
      <c r="K106">
        <v>0</v>
      </c>
      <c r="L106">
        <v>0</v>
      </c>
      <c r="M106">
        <v>1</v>
      </c>
      <c r="N106">
        <v>55</v>
      </c>
      <c r="O106">
        <v>0.4</v>
      </c>
      <c r="P106" t="s">
        <v>68</v>
      </c>
      <c r="Q106">
        <v>12.1</v>
      </c>
      <c r="R106">
        <v>21</v>
      </c>
      <c r="S106" t="s">
        <v>41</v>
      </c>
      <c r="T106">
        <v>55</v>
      </c>
      <c r="U106">
        <v>0.44500000000000001</v>
      </c>
      <c r="V106">
        <v>2650</v>
      </c>
      <c r="W106">
        <v>2.4E-2</v>
      </c>
      <c r="X106">
        <v>1.0699999999999999E-2</v>
      </c>
      <c r="Y106">
        <v>0.59299999999999997</v>
      </c>
    </row>
    <row r="107" spans="1:25" x14ac:dyDescent="0.3">
      <c r="A107" t="s">
        <v>403</v>
      </c>
      <c r="B107" t="s">
        <v>280</v>
      </c>
      <c r="C107" t="s">
        <v>404</v>
      </c>
      <c r="D107" t="s">
        <v>405</v>
      </c>
      <c r="E107" t="s">
        <v>38</v>
      </c>
      <c r="G107" t="s">
        <v>39</v>
      </c>
      <c r="H107" t="s">
        <v>31</v>
      </c>
      <c r="I107" t="b">
        <v>1</v>
      </c>
      <c r="J107">
        <v>3</v>
      </c>
      <c r="K107">
        <v>0</v>
      </c>
      <c r="L107">
        <v>0</v>
      </c>
      <c r="M107">
        <v>3</v>
      </c>
      <c r="N107">
        <v>77.7</v>
      </c>
      <c r="O107">
        <v>0.15</v>
      </c>
      <c r="P107" t="s">
        <v>40</v>
      </c>
      <c r="Q107">
        <v>8.6999999999999993</v>
      </c>
      <c r="R107">
        <v>23</v>
      </c>
      <c r="S107" t="s">
        <v>41</v>
      </c>
      <c r="T107">
        <v>60.8</v>
      </c>
      <c r="U107">
        <v>0.36799999999999999</v>
      </c>
      <c r="V107">
        <v>20700</v>
      </c>
      <c r="W107">
        <v>4.9000000000000002E-2</v>
      </c>
      <c r="X107">
        <v>1.8100000000000002E-2</v>
      </c>
      <c r="Y107">
        <v>0.81100000000000005</v>
      </c>
    </row>
    <row r="108" spans="1:25" x14ac:dyDescent="0.3">
      <c r="A108" t="s">
        <v>406</v>
      </c>
      <c r="B108" t="s">
        <v>183</v>
      </c>
      <c r="C108" t="s">
        <v>407</v>
      </c>
      <c r="D108" t="s">
        <v>408</v>
      </c>
      <c r="E108" t="s">
        <v>409</v>
      </c>
      <c r="G108" t="s">
        <v>47</v>
      </c>
      <c r="H108" t="s">
        <v>31</v>
      </c>
      <c r="I108" t="b">
        <v>1</v>
      </c>
      <c r="J108">
        <v>2</v>
      </c>
      <c r="K108">
        <v>0</v>
      </c>
      <c r="L108">
        <v>0</v>
      </c>
      <c r="M108">
        <v>2</v>
      </c>
      <c r="N108">
        <v>47.3</v>
      </c>
      <c r="O108">
        <v>0.63200000000000001</v>
      </c>
      <c r="P108" t="s">
        <v>410</v>
      </c>
      <c r="Q108">
        <v>77.5</v>
      </c>
      <c r="R108">
        <v>4</v>
      </c>
      <c r="S108" t="s">
        <v>33</v>
      </c>
      <c r="T108">
        <v>47.3</v>
      </c>
      <c r="U108">
        <v>0.63200000000000001</v>
      </c>
      <c r="V108">
        <v>7500</v>
      </c>
      <c r="W108">
        <v>7.9000000000000001E-2</v>
      </c>
      <c r="X108">
        <v>4.99E-2</v>
      </c>
      <c r="Y108">
        <v>0.52200000000000002</v>
      </c>
    </row>
    <row r="109" spans="1:25" x14ac:dyDescent="0.3">
      <c r="A109" t="s">
        <v>411</v>
      </c>
      <c r="B109" t="s">
        <v>160</v>
      </c>
      <c r="C109" t="s">
        <v>412</v>
      </c>
      <c r="D109" t="s">
        <v>162</v>
      </c>
      <c r="E109" t="s">
        <v>163</v>
      </c>
      <c r="G109" t="s">
        <v>39</v>
      </c>
      <c r="H109" t="s">
        <v>73</v>
      </c>
      <c r="I109" t="b">
        <v>1</v>
      </c>
      <c r="J109">
        <v>1</v>
      </c>
      <c r="K109">
        <v>0</v>
      </c>
      <c r="L109">
        <v>0</v>
      </c>
      <c r="M109">
        <v>1</v>
      </c>
      <c r="N109">
        <v>75</v>
      </c>
      <c r="O109">
        <v>0.2</v>
      </c>
      <c r="P109" t="s">
        <v>162</v>
      </c>
      <c r="Q109">
        <v>7.7</v>
      </c>
      <c r="R109">
        <v>24</v>
      </c>
      <c r="S109" t="s">
        <v>41</v>
      </c>
      <c r="T109">
        <v>76.5</v>
      </c>
      <c r="U109">
        <v>0.185</v>
      </c>
      <c r="V109">
        <v>10950</v>
      </c>
      <c r="W109">
        <v>9.0999999999999998E-2</v>
      </c>
      <c r="X109">
        <v>1.6899999999999998E-2</v>
      </c>
      <c r="Y109">
        <v>0.81399999999999995</v>
      </c>
    </row>
    <row r="110" spans="1:25" x14ac:dyDescent="0.3">
      <c r="A110" t="s">
        <v>413</v>
      </c>
      <c r="B110" t="s">
        <v>414</v>
      </c>
      <c r="C110" t="s">
        <v>415</v>
      </c>
      <c r="D110" t="s">
        <v>416</v>
      </c>
      <c r="E110" t="s">
        <v>29</v>
      </c>
      <c r="G110" t="s">
        <v>30</v>
      </c>
      <c r="H110" t="s">
        <v>31</v>
      </c>
      <c r="I110" t="b">
        <v>1</v>
      </c>
      <c r="J110">
        <v>3</v>
      </c>
      <c r="K110">
        <v>0</v>
      </c>
      <c r="L110">
        <v>0</v>
      </c>
      <c r="M110">
        <v>3</v>
      </c>
      <c r="N110">
        <v>68.3</v>
      </c>
      <c r="O110">
        <v>0.26700000000000002</v>
      </c>
      <c r="P110" t="s">
        <v>32</v>
      </c>
      <c r="Q110">
        <v>100</v>
      </c>
      <c r="R110">
        <v>1</v>
      </c>
      <c r="S110" t="s">
        <v>33</v>
      </c>
      <c r="T110">
        <v>66.900000000000006</v>
      </c>
      <c r="U110">
        <v>0.27100000000000002</v>
      </c>
      <c r="V110">
        <v>30000</v>
      </c>
      <c r="W110">
        <v>0.27300000000000002</v>
      </c>
      <c r="X110">
        <v>7.3899999999999993E-2</v>
      </c>
      <c r="Y110">
        <v>0.58599999999999997</v>
      </c>
    </row>
    <row r="111" spans="1:25" x14ac:dyDescent="0.3">
      <c r="A111" t="s">
        <v>417</v>
      </c>
      <c r="B111" t="s">
        <v>51</v>
      </c>
      <c r="C111" t="s">
        <v>418</v>
      </c>
      <c r="D111" t="s">
        <v>190</v>
      </c>
      <c r="E111" t="s">
        <v>191</v>
      </c>
      <c r="F111">
        <v>3500</v>
      </c>
      <c r="G111" t="s">
        <v>30</v>
      </c>
      <c r="H111" t="s">
        <v>31</v>
      </c>
      <c r="I111" t="b">
        <v>1</v>
      </c>
      <c r="J111">
        <v>2</v>
      </c>
      <c r="K111">
        <v>0</v>
      </c>
      <c r="L111">
        <v>0</v>
      </c>
      <c r="M111">
        <v>2</v>
      </c>
      <c r="N111">
        <v>66.5</v>
      </c>
      <c r="O111">
        <v>0.27500000000000002</v>
      </c>
      <c r="P111" t="s">
        <v>190</v>
      </c>
      <c r="Q111">
        <v>40.299999999999997</v>
      </c>
      <c r="R111">
        <v>8</v>
      </c>
      <c r="S111" t="s">
        <v>39</v>
      </c>
      <c r="T111">
        <v>68.099999999999994</v>
      </c>
      <c r="U111">
        <v>0.254</v>
      </c>
      <c r="V111">
        <v>15750</v>
      </c>
      <c r="W111">
        <v>0.21</v>
      </c>
      <c r="X111">
        <v>5.33E-2</v>
      </c>
      <c r="Y111">
        <v>0.76</v>
      </c>
    </row>
    <row r="112" spans="1:25" x14ac:dyDescent="0.3">
      <c r="A112" t="s">
        <v>419</v>
      </c>
      <c r="B112" t="s">
        <v>147</v>
      </c>
      <c r="C112" t="s">
        <v>420</v>
      </c>
      <c r="D112" t="s">
        <v>421</v>
      </c>
      <c r="E112" t="s">
        <v>119</v>
      </c>
      <c r="F112">
        <v>300</v>
      </c>
      <c r="G112" t="s">
        <v>67</v>
      </c>
      <c r="H112" t="s">
        <v>31</v>
      </c>
      <c r="I112" t="b">
        <v>1</v>
      </c>
      <c r="J112">
        <v>4</v>
      </c>
      <c r="K112">
        <v>0</v>
      </c>
      <c r="L112">
        <v>1</v>
      </c>
      <c r="M112">
        <v>3</v>
      </c>
      <c r="N112">
        <v>81.5</v>
      </c>
      <c r="O112">
        <v>0.115</v>
      </c>
      <c r="P112" t="s">
        <v>120</v>
      </c>
      <c r="Q112">
        <v>17.8</v>
      </c>
      <c r="R112">
        <v>16</v>
      </c>
      <c r="S112" t="s">
        <v>41</v>
      </c>
      <c r="T112">
        <v>77</v>
      </c>
      <c r="U112">
        <v>0.16400000000000001</v>
      </c>
      <c r="V112">
        <v>31300</v>
      </c>
      <c r="W112">
        <v>0.125</v>
      </c>
      <c r="X112">
        <v>2.0500000000000001E-2</v>
      </c>
      <c r="Y112">
        <v>0.70499999999999996</v>
      </c>
    </row>
    <row r="113" spans="1:25" x14ac:dyDescent="0.3">
      <c r="A113" t="s">
        <v>422</v>
      </c>
      <c r="B113" t="s">
        <v>423</v>
      </c>
      <c r="C113" t="s">
        <v>424</v>
      </c>
      <c r="D113" t="s">
        <v>425</v>
      </c>
      <c r="E113" t="s">
        <v>119</v>
      </c>
      <c r="G113" t="s">
        <v>39</v>
      </c>
      <c r="H113" t="s">
        <v>73</v>
      </c>
      <c r="I113" t="b">
        <v>1</v>
      </c>
      <c r="J113">
        <v>3</v>
      </c>
      <c r="K113">
        <v>0</v>
      </c>
      <c r="L113">
        <v>0</v>
      </c>
      <c r="M113">
        <v>3</v>
      </c>
      <c r="N113">
        <v>77.7</v>
      </c>
      <c r="O113">
        <v>0.15</v>
      </c>
      <c r="P113" t="s">
        <v>120</v>
      </c>
      <c r="Q113">
        <v>17.8</v>
      </c>
      <c r="R113">
        <v>16</v>
      </c>
      <c r="S113" t="s">
        <v>41</v>
      </c>
      <c r="T113">
        <v>77</v>
      </c>
      <c r="U113">
        <v>0.16400000000000001</v>
      </c>
      <c r="V113">
        <v>31300</v>
      </c>
      <c r="W113">
        <v>0.125</v>
      </c>
      <c r="X113">
        <v>2.0500000000000001E-2</v>
      </c>
      <c r="Y113">
        <v>0.70499999999999996</v>
      </c>
    </row>
    <row r="114" spans="1:25" x14ac:dyDescent="0.3">
      <c r="A114" t="s">
        <v>426</v>
      </c>
      <c r="B114" t="s">
        <v>336</v>
      </c>
      <c r="C114" t="s">
        <v>427</v>
      </c>
      <c r="D114" t="s">
        <v>338</v>
      </c>
      <c r="E114" t="s">
        <v>141</v>
      </c>
      <c r="G114" t="s">
        <v>47</v>
      </c>
      <c r="H114" t="s">
        <v>31</v>
      </c>
      <c r="I114" t="b">
        <v>1</v>
      </c>
      <c r="J114">
        <v>3</v>
      </c>
      <c r="K114">
        <v>0</v>
      </c>
      <c r="L114">
        <v>0</v>
      </c>
      <c r="M114">
        <v>3</v>
      </c>
      <c r="N114">
        <v>77.400000000000006</v>
      </c>
      <c r="O114">
        <v>0.156</v>
      </c>
      <c r="P114" t="s">
        <v>142</v>
      </c>
      <c r="Q114">
        <v>15.8</v>
      </c>
      <c r="R114">
        <v>17</v>
      </c>
      <c r="S114" t="s">
        <v>41</v>
      </c>
      <c r="T114">
        <v>78.2</v>
      </c>
      <c r="U114">
        <v>0.15</v>
      </c>
      <c r="V114">
        <v>22500</v>
      </c>
      <c r="W114">
        <v>0.10199999999999999</v>
      </c>
      <c r="X114">
        <v>1.5299999999999999E-2</v>
      </c>
      <c r="Y114">
        <v>0.64500000000000002</v>
      </c>
    </row>
    <row r="115" spans="1:25" x14ac:dyDescent="0.3">
      <c r="A115" t="s">
        <v>25</v>
      </c>
      <c r="B115" t="s">
        <v>26</v>
      </c>
      <c r="C115" t="s">
        <v>27</v>
      </c>
      <c r="D115" t="s">
        <v>28</v>
      </c>
      <c r="E115" t="s">
        <v>29</v>
      </c>
      <c r="F115">
        <v>3200</v>
      </c>
      <c r="G115" t="s">
        <v>30</v>
      </c>
      <c r="H115" t="s">
        <v>31</v>
      </c>
      <c r="I115" t="b">
        <v>1</v>
      </c>
      <c r="J115">
        <v>2</v>
      </c>
    </row>
    <row r="116" spans="1:25" x14ac:dyDescent="0.3">
      <c r="A116" t="s">
        <v>34</v>
      </c>
      <c r="B116" t="s">
        <v>35</v>
      </c>
      <c r="C116" t="s">
        <v>36</v>
      </c>
      <c r="D116" t="s">
        <v>37</v>
      </c>
      <c r="E116" t="s">
        <v>38</v>
      </c>
      <c r="F116">
        <v>1200</v>
      </c>
      <c r="G116" t="s">
        <v>39</v>
      </c>
      <c r="H116" t="s">
        <v>31</v>
      </c>
      <c r="I116" t="b">
        <v>1</v>
      </c>
      <c r="J116">
        <v>1</v>
      </c>
      <c r="P116" t="s">
        <v>40</v>
      </c>
      <c r="Q116">
        <v>22.8</v>
      </c>
      <c r="R116">
        <v>7</v>
      </c>
      <c r="S116" t="s">
        <v>41</v>
      </c>
      <c r="T116">
        <v>68.5</v>
      </c>
      <c r="U116">
        <v>0.26200000000000001</v>
      </c>
      <c r="V116">
        <v>49000</v>
      </c>
      <c r="W116">
        <v>0.11700000000000001</v>
      </c>
      <c r="X116">
        <v>3.0599999999999999E-2</v>
      </c>
      <c r="Y116">
        <v>0.85799999999999998</v>
      </c>
    </row>
    <row r="117" spans="1:25" x14ac:dyDescent="0.3">
      <c r="A117" t="s">
        <v>42</v>
      </c>
      <c r="B117" t="s">
        <v>43</v>
      </c>
      <c r="C117" t="s">
        <v>44</v>
      </c>
      <c r="D117" t="s">
        <v>45</v>
      </c>
      <c r="E117" t="s">
        <v>46</v>
      </c>
      <c r="F117">
        <v>8000</v>
      </c>
      <c r="G117" t="s">
        <v>47</v>
      </c>
      <c r="H117" t="s">
        <v>48</v>
      </c>
      <c r="I117" t="b">
        <v>1</v>
      </c>
      <c r="J117">
        <v>4</v>
      </c>
    </row>
    <row r="118" spans="1:25" x14ac:dyDescent="0.3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G118" t="s">
        <v>30</v>
      </c>
      <c r="H118" t="s">
        <v>31</v>
      </c>
      <c r="I118" t="b">
        <v>1</v>
      </c>
      <c r="J118">
        <v>1</v>
      </c>
      <c r="K118">
        <v>1</v>
      </c>
      <c r="L118">
        <v>0</v>
      </c>
      <c r="M118">
        <v>0</v>
      </c>
      <c r="N118">
        <v>15</v>
      </c>
      <c r="O118">
        <v>1</v>
      </c>
      <c r="P118" t="s">
        <v>55</v>
      </c>
      <c r="Q118">
        <v>92</v>
      </c>
      <c r="R118">
        <v>2</v>
      </c>
      <c r="S118" t="s">
        <v>33</v>
      </c>
      <c r="T118">
        <v>69</v>
      </c>
      <c r="U118">
        <v>0.254</v>
      </c>
      <c r="V118">
        <v>71000</v>
      </c>
      <c r="W118">
        <v>0.35499999999999998</v>
      </c>
      <c r="X118">
        <v>9.0200000000000002E-2</v>
      </c>
      <c r="Y118">
        <v>0.82799999999999996</v>
      </c>
    </row>
    <row r="119" spans="1:25" x14ac:dyDescent="0.3">
      <c r="A119" t="s">
        <v>56</v>
      </c>
      <c r="B119" t="s">
        <v>57</v>
      </c>
      <c r="C119" t="s">
        <v>58</v>
      </c>
      <c r="D119" t="s">
        <v>59</v>
      </c>
      <c r="E119" t="s">
        <v>60</v>
      </c>
      <c r="G119" t="s">
        <v>30</v>
      </c>
      <c r="H119" t="s">
        <v>31</v>
      </c>
      <c r="I119" t="b">
        <v>1</v>
      </c>
      <c r="J119">
        <v>2</v>
      </c>
      <c r="K119">
        <v>1</v>
      </c>
      <c r="L119">
        <v>0</v>
      </c>
      <c r="M119">
        <v>1</v>
      </c>
      <c r="N119">
        <v>43.5</v>
      </c>
      <c r="O119">
        <v>0.625</v>
      </c>
      <c r="P119" t="s">
        <v>61</v>
      </c>
      <c r="Q119">
        <v>11.7</v>
      </c>
      <c r="R119">
        <v>10</v>
      </c>
      <c r="S119" t="s">
        <v>41</v>
      </c>
      <c r="T119">
        <v>68</v>
      </c>
      <c r="U119">
        <v>0.27500000000000002</v>
      </c>
      <c r="V119">
        <v>11050</v>
      </c>
      <c r="W119">
        <v>6.0999999999999999E-2</v>
      </c>
      <c r="X119">
        <v>1.6899999999999998E-2</v>
      </c>
      <c r="Y119">
        <v>0.85399999999999998</v>
      </c>
    </row>
    <row r="120" spans="1:25" x14ac:dyDescent="0.3">
      <c r="A120" t="s">
        <v>62</v>
      </c>
      <c r="B120" t="s">
        <v>63</v>
      </c>
      <c r="C120" t="s">
        <v>64</v>
      </c>
      <c r="D120" t="s">
        <v>65</v>
      </c>
      <c r="E120" t="s">
        <v>66</v>
      </c>
      <c r="G120" t="s">
        <v>67</v>
      </c>
      <c r="H120" t="s">
        <v>31</v>
      </c>
      <c r="I120" t="b">
        <v>1</v>
      </c>
      <c r="J120">
        <v>1</v>
      </c>
    </row>
    <row r="121" spans="1:25" x14ac:dyDescent="0.3">
      <c r="A121" t="s">
        <v>69</v>
      </c>
      <c r="B121" t="s">
        <v>70</v>
      </c>
      <c r="C121" t="s">
        <v>71</v>
      </c>
      <c r="D121" t="s">
        <v>72</v>
      </c>
      <c r="E121" t="s">
        <v>38</v>
      </c>
      <c r="G121" t="s">
        <v>39</v>
      </c>
      <c r="H121" t="s">
        <v>73</v>
      </c>
      <c r="I121" t="b">
        <v>1</v>
      </c>
      <c r="J121">
        <v>2</v>
      </c>
      <c r="K121">
        <v>0</v>
      </c>
      <c r="L121">
        <v>0</v>
      </c>
      <c r="M121">
        <v>2</v>
      </c>
      <c r="N121">
        <v>73.5</v>
      </c>
      <c r="O121">
        <v>0.22500000000000001</v>
      </c>
      <c r="P121" t="s">
        <v>40</v>
      </c>
      <c r="Q121">
        <v>22.8</v>
      </c>
      <c r="R121">
        <v>7</v>
      </c>
      <c r="S121" t="s">
        <v>41</v>
      </c>
      <c r="T121">
        <v>68.5</v>
      </c>
      <c r="U121">
        <v>0.26200000000000001</v>
      </c>
      <c r="V121">
        <v>49000</v>
      </c>
      <c r="W121">
        <v>0.11700000000000001</v>
      </c>
      <c r="X121">
        <v>3.0599999999999999E-2</v>
      </c>
      <c r="Y121">
        <v>0.85799999999999998</v>
      </c>
    </row>
    <row r="122" spans="1:25" x14ac:dyDescent="0.3">
      <c r="A122" t="s">
        <v>74</v>
      </c>
      <c r="B122" t="s">
        <v>75</v>
      </c>
      <c r="C122" t="s">
        <v>76</v>
      </c>
      <c r="D122" t="s">
        <v>77</v>
      </c>
      <c r="E122" t="s">
        <v>78</v>
      </c>
      <c r="G122" t="s">
        <v>39</v>
      </c>
      <c r="H122" t="s">
        <v>73</v>
      </c>
      <c r="I122" t="b">
        <v>1</v>
      </c>
      <c r="J122">
        <v>4</v>
      </c>
      <c r="P122" t="s">
        <v>79</v>
      </c>
      <c r="Q122">
        <v>16.7</v>
      </c>
      <c r="R122">
        <v>9</v>
      </c>
      <c r="S122" t="s">
        <v>41</v>
      </c>
      <c r="T122">
        <v>58.4</v>
      </c>
      <c r="U122">
        <v>0.42299999999999999</v>
      </c>
      <c r="V122">
        <v>3500</v>
      </c>
      <c r="W122">
        <v>2.1999999999999999E-2</v>
      </c>
      <c r="X122">
        <v>9.2999999999999992E-3</v>
      </c>
      <c r="Y122">
        <v>0.64</v>
      </c>
    </row>
    <row r="123" spans="1:25" x14ac:dyDescent="0.3">
      <c r="A123" t="s">
        <v>80</v>
      </c>
      <c r="B123" t="s">
        <v>81</v>
      </c>
      <c r="C123" t="s">
        <v>82</v>
      </c>
      <c r="D123" t="s">
        <v>83</v>
      </c>
      <c r="E123" t="s">
        <v>60</v>
      </c>
      <c r="F123">
        <v>6000</v>
      </c>
      <c r="G123" t="s">
        <v>47</v>
      </c>
      <c r="H123" t="s">
        <v>31</v>
      </c>
      <c r="I123" t="b">
        <v>1</v>
      </c>
      <c r="J123">
        <v>3</v>
      </c>
      <c r="P123" t="s">
        <v>61</v>
      </c>
      <c r="Q123">
        <v>11.7</v>
      </c>
      <c r="R123">
        <v>10</v>
      </c>
      <c r="S123" t="s">
        <v>41</v>
      </c>
      <c r="T123">
        <v>68</v>
      </c>
      <c r="U123">
        <v>0.27500000000000002</v>
      </c>
      <c r="V123">
        <v>11050</v>
      </c>
      <c r="W123">
        <v>6.0999999999999999E-2</v>
      </c>
      <c r="X123">
        <v>1.6899999999999998E-2</v>
      </c>
      <c r="Y123">
        <v>0.85399999999999998</v>
      </c>
    </row>
    <row r="124" spans="1:25" x14ac:dyDescent="0.3">
      <c r="A124" t="s">
        <v>84</v>
      </c>
      <c r="B124" t="s">
        <v>85</v>
      </c>
      <c r="C124" t="s">
        <v>86</v>
      </c>
      <c r="D124" t="s">
        <v>87</v>
      </c>
      <c r="E124" t="s">
        <v>88</v>
      </c>
      <c r="G124" t="s">
        <v>39</v>
      </c>
      <c r="H124" t="s">
        <v>31</v>
      </c>
      <c r="I124" t="b">
        <v>1</v>
      </c>
      <c r="J124">
        <v>1</v>
      </c>
    </row>
    <row r="125" spans="1:25" x14ac:dyDescent="0.3">
      <c r="A125" t="s">
        <v>90</v>
      </c>
      <c r="B125" t="s">
        <v>51</v>
      </c>
      <c r="C125" t="s">
        <v>91</v>
      </c>
      <c r="D125" t="s">
        <v>53</v>
      </c>
      <c r="E125" t="s">
        <v>54</v>
      </c>
      <c r="G125" t="s">
        <v>30</v>
      </c>
      <c r="H125" t="s">
        <v>31</v>
      </c>
      <c r="I125" t="b">
        <v>1</v>
      </c>
      <c r="J125">
        <v>1</v>
      </c>
      <c r="P125" t="s">
        <v>55</v>
      </c>
      <c r="Q125">
        <v>92</v>
      </c>
      <c r="R125">
        <v>2</v>
      </c>
      <c r="S125" t="s">
        <v>33</v>
      </c>
      <c r="T125">
        <v>69</v>
      </c>
      <c r="U125">
        <v>0.254</v>
      </c>
      <c r="V125">
        <v>71000</v>
      </c>
      <c r="W125">
        <v>0.35499999999999998</v>
      </c>
      <c r="X125">
        <v>9.0200000000000002E-2</v>
      </c>
      <c r="Y125">
        <v>0.82799999999999996</v>
      </c>
    </row>
    <row r="126" spans="1:25" x14ac:dyDescent="0.3">
      <c r="A126" t="s">
        <v>92</v>
      </c>
      <c r="B126" t="s">
        <v>51</v>
      </c>
      <c r="C126" t="s">
        <v>93</v>
      </c>
      <c r="D126" t="s">
        <v>94</v>
      </c>
      <c r="E126" t="s">
        <v>54</v>
      </c>
      <c r="F126">
        <v>60000</v>
      </c>
      <c r="G126" t="s">
        <v>47</v>
      </c>
      <c r="H126" t="s">
        <v>48</v>
      </c>
      <c r="I126" t="b">
        <v>1</v>
      </c>
      <c r="J126">
        <v>3</v>
      </c>
      <c r="P126" t="s">
        <v>55</v>
      </c>
      <c r="Q126">
        <v>92</v>
      </c>
      <c r="R126">
        <v>2</v>
      </c>
      <c r="S126" t="s">
        <v>33</v>
      </c>
      <c r="T126">
        <v>69</v>
      </c>
      <c r="U126">
        <v>0.254</v>
      </c>
      <c r="V126">
        <v>71000</v>
      </c>
      <c r="W126">
        <v>0.35499999999999998</v>
      </c>
      <c r="X126">
        <v>9.0200000000000002E-2</v>
      </c>
      <c r="Y126">
        <v>0.82799999999999996</v>
      </c>
    </row>
    <row r="127" spans="1:25" x14ac:dyDescent="0.3">
      <c r="A127" t="s">
        <v>95</v>
      </c>
      <c r="B127" t="s">
        <v>96</v>
      </c>
      <c r="C127" t="s">
        <v>97</v>
      </c>
      <c r="D127" t="s">
        <v>98</v>
      </c>
      <c r="E127" t="s">
        <v>99</v>
      </c>
      <c r="G127" t="s">
        <v>47</v>
      </c>
      <c r="H127" t="s">
        <v>31</v>
      </c>
      <c r="I127" t="b">
        <v>1</v>
      </c>
      <c r="J127">
        <v>4</v>
      </c>
      <c r="K127">
        <v>0</v>
      </c>
      <c r="L127">
        <v>0</v>
      </c>
      <c r="M127">
        <v>4</v>
      </c>
      <c r="N127">
        <v>71</v>
      </c>
      <c r="O127">
        <v>0.224</v>
      </c>
      <c r="P127" t="s">
        <v>98</v>
      </c>
      <c r="Q127">
        <v>11.1</v>
      </c>
      <c r="R127">
        <v>12</v>
      </c>
      <c r="S127" t="s">
        <v>41</v>
      </c>
      <c r="T127">
        <v>71</v>
      </c>
      <c r="U127">
        <v>0.224</v>
      </c>
      <c r="V127">
        <v>7500</v>
      </c>
      <c r="W127">
        <v>4.2000000000000003E-2</v>
      </c>
      <c r="X127">
        <v>9.2999999999999992E-3</v>
      </c>
      <c r="Y127">
        <v>0.74099999999999999</v>
      </c>
    </row>
    <row r="128" spans="1:25" x14ac:dyDescent="0.3">
      <c r="A128" t="s">
        <v>100</v>
      </c>
      <c r="B128" t="s">
        <v>101</v>
      </c>
      <c r="C128" t="s">
        <v>102</v>
      </c>
      <c r="D128" t="s">
        <v>103</v>
      </c>
      <c r="E128" t="s">
        <v>29</v>
      </c>
      <c r="F128">
        <v>12000</v>
      </c>
      <c r="G128" t="s">
        <v>47</v>
      </c>
      <c r="H128" t="s">
        <v>31</v>
      </c>
      <c r="I128" t="b">
        <v>1</v>
      </c>
      <c r="J128">
        <v>2</v>
      </c>
    </row>
    <row r="129" spans="1:25" x14ac:dyDescent="0.3">
      <c r="A129" t="s">
        <v>104</v>
      </c>
      <c r="B129" t="s">
        <v>105</v>
      </c>
      <c r="C129" t="s">
        <v>106</v>
      </c>
      <c r="D129" t="s">
        <v>107</v>
      </c>
      <c r="E129" t="s">
        <v>108</v>
      </c>
      <c r="F129">
        <v>18000</v>
      </c>
      <c r="G129" t="s">
        <v>47</v>
      </c>
      <c r="H129" t="s">
        <v>48</v>
      </c>
      <c r="I129" t="b">
        <v>1</v>
      </c>
      <c r="J129">
        <v>4</v>
      </c>
      <c r="K129">
        <v>0</v>
      </c>
      <c r="L129">
        <v>0</v>
      </c>
      <c r="M129">
        <v>4</v>
      </c>
      <c r="N129">
        <v>71.2</v>
      </c>
      <c r="O129">
        <v>0.223</v>
      </c>
      <c r="P129" t="s">
        <v>109</v>
      </c>
      <c r="Q129">
        <v>100</v>
      </c>
      <c r="R129">
        <v>1</v>
      </c>
      <c r="S129" t="s">
        <v>33</v>
      </c>
      <c r="T129">
        <v>73.3</v>
      </c>
      <c r="U129">
        <v>0.20300000000000001</v>
      </c>
      <c r="V129">
        <v>25000</v>
      </c>
      <c r="W129">
        <v>0.22700000000000001</v>
      </c>
      <c r="X129">
        <v>4.6100000000000002E-2</v>
      </c>
      <c r="Y129">
        <v>0.63600000000000001</v>
      </c>
    </row>
    <row r="130" spans="1:25" x14ac:dyDescent="0.3">
      <c r="A130" t="s">
        <v>110</v>
      </c>
      <c r="B130" t="s">
        <v>111</v>
      </c>
      <c r="C130" t="s">
        <v>112</v>
      </c>
      <c r="D130" t="s">
        <v>113</v>
      </c>
      <c r="E130" t="s">
        <v>114</v>
      </c>
      <c r="F130">
        <v>3500</v>
      </c>
      <c r="G130" t="s">
        <v>30</v>
      </c>
      <c r="H130" t="s">
        <v>31</v>
      </c>
      <c r="I130" t="b">
        <v>1</v>
      </c>
      <c r="J130">
        <v>1</v>
      </c>
      <c r="P130" t="s">
        <v>113</v>
      </c>
      <c r="Q130">
        <v>4.3</v>
      </c>
      <c r="R130">
        <v>14</v>
      </c>
      <c r="S130" t="s">
        <v>41</v>
      </c>
      <c r="T130">
        <v>64.5</v>
      </c>
      <c r="U130">
        <v>0.29699999999999999</v>
      </c>
      <c r="V130">
        <v>4000</v>
      </c>
      <c r="W130">
        <v>1.2999999999999999E-2</v>
      </c>
      <c r="X130">
        <v>4.0000000000000001E-3</v>
      </c>
      <c r="Y130">
        <v>0.67300000000000004</v>
      </c>
    </row>
    <row r="131" spans="1:25" x14ac:dyDescent="0.3">
      <c r="A131" t="s">
        <v>115</v>
      </c>
      <c r="B131" t="s">
        <v>116</v>
      </c>
      <c r="C131" t="s">
        <v>117</v>
      </c>
      <c r="D131" t="s">
        <v>118</v>
      </c>
      <c r="E131" t="s">
        <v>119</v>
      </c>
      <c r="G131" t="s">
        <v>47</v>
      </c>
      <c r="H131" t="s">
        <v>31</v>
      </c>
      <c r="I131" t="b">
        <v>1</v>
      </c>
      <c r="J131">
        <v>1</v>
      </c>
      <c r="K131">
        <v>0</v>
      </c>
      <c r="L131">
        <v>0</v>
      </c>
      <c r="M131">
        <v>1</v>
      </c>
      <c r="N131">
        <v>78</v>
      </c>
      <c r="O131">
        <v>0.15</v>
      </c>
      <c r="P131" t="s">
        <v>120</v>
      </c>
      <c r="Q131">
        <v>27.8</v>
      </c>
      <c r="R131">
        <v>5</v>
      </c>
      <c r="S131" t="s">
        <v>41</v>
      </c>
      <c r="T131">
        <v>73.900000000000006</v>
      </c>
      <c r="U131">
        <v>0.20599999999999999</v>
      </c>
      <c r="V131">
        <v>19750</v>
      </c>
      <c r="W131">
        <v>7.9000000000000001E-2</v>
      </c>
      <c r="X131">
        <v>1.6299999999999999E-2</v>
      </c>
      <c r="Y131">
        <v>0.68600000000000005</v>
      </c>
    </row>
    <row r="132" spans="1:25" x14ac:dyDescent="0.3">
      <c r="A132" t="s">
        <v>121</v>
      </c>
      <c r="B132" t="s">
        <v>122</v>
      </c>
      <c r="C132" t="s">
        <v>123</v>
      </c>
      <c r="D132" t="s">
        <v>124</v>
      </c>
      <c r="E132" t="s">
        <v>125</v>
      </c>
      <c r="G132" t="s">
        <v>39</v>
      </c>
      <c r="H132" t="s">
        <v>31</v>
      </c>
      <c r="I132" t="b">
        <v>1</v>
      </c>
      <c r="J132">
        <v>3</v>
      </c>
      <c r="K132">
        <v>0</v>
      </c>
      <c r="L132">
        <v>0</v>
      </c>
      <c r="M132">
        <v>3</v>
      </c>
      <c r="N132">
        <v>61.5</v>
      </c>
      <c r="O132">
        <v>0.41</v>
      </c>
      <c r="P132" t="s">
        <v>126</v>
      </c>
      <c r="Q132">
        <v>69.8</v>
      </c>
      <c r="R132">
        <v>3</v>
      </c>
      <c r="S132" t="s">
        <v>33</v>
      </c>
      <c r="T132">
        <v>64.8</v>
      </c>
      <c r="U132">
        <v>0.32200000000000001</v>
      </c>
      <c r="V132">
        <v>7500</v>
      </c>
      <c r="W132">
        <v>7.9000000000000001E-2</v>
      </c>
      <c r="X132">
        <v>2.5399999999999999E-2</v>
      </c>
      <c r="Y132">
        <v>0.53300000000000003</v>
      </c>
    </row>
    <row r="133" spans="1:25" x14ac:dyDescent="0.3">
      <c r="A133" t="s">
        <v>127</v>
      </c>
      <c r="B133" t="s">
        <v>128</v>
      </c>
      <c r="C133" t="s">
        <v>129</v>
      </c>
      <c r="D133" t="s">
        <v>130</v>
      </c>
      <c r="E133" t="s">
        <v>108</v>
      </c>
      <c r="G133" t="s">
        <v>39</v>
      </c>
      <c r="H133" t="s">
        <v>73</v>
      </c>
      <c r="I133" t="b">
        <v>1</v>
      </c>
      <c r="J133">
        <v>3</v>
      </c>
      <c r="P133" t="s">
        <v>109</v>
      </c>
      <c r="Q133">
        <v>100</v>
      </c>
      <c r="R133">
        <v>1</v>
      </c>
      <c r="S133" t="s">
        <v>33</v>
      </c>
      <c r="T133">
        <v>73.3</v>
      </c>
      <c r="U133">
        <v>0.20300000000000001</v>
      </c>
      <c r="V133">
        <v>25000</v>
      </c>
      <c r="W133">
        <v>0.22700000000000001</v>
      </c>
      <c r="X133">
        <v>4.6100000000000002E-2</v>
      </c>
      <c r="Y133">
        <v>0.63600000000000001</v>
      </c>
    </row>
    <row r="134" spans="1:25" x14ac:dyDescent="0.3">
      <c r="A134" t="s">
        <v>131</v>
      </c>
      <c r="B134" t="s">
        <v>132</v>
      </c>
      <c r="C134" t="s">
        <v>133</v>
      </c>
      <c r="D134" t="s">
        <v>134</v>
      </c>
      <c r="E134" t="s">
        <v>135</v>
      </c>
      <c r="G134" t="s">
        <v>39</v>
      </c>
      <c r="H134" t="s">
        <v>73</v>
      </c>
      <c r="I134" t="b">
        <v>1</v>
      </c>
      <c r="J134">
        <v>3</v>
      </c>
      <c r="P134" t="s">
        <v>136</v>
      </c>
      <c r="Q134">
        <v>25.3</v>
      </c>
      <c r="R134">
        <v>6</v>
      </c>
      <c r="S134" t="s">
        <v>41</v>
      </c>
      <c r="T134">
        <v>64.5</v>
      </c>
      <c r="U134">
        <v>0.317</v>
      </c>
      <c r="V134">
        <v>45950</v>
      </c>
      <c r="W134">
        <v>8.7999999999999995E-2</v>
      </c>
      <c r="X134">
        <v>2.8000000000000001E-2</v>
      </c>
      <c r="Y134">
        <v>0.83399999999999996</v>
      </c>
    </row>
    <row r="135" spans="1:25" x14ac:dyDescent="0.3">
      <c r="A135" t="s">
        <v>137</v>
      </c>
      <c r="B135" t="s">
        <v>138</v>
      </c>
      <c r="C135" t="s">
        <v>139</v>
      </c>
      <c r="D135" t="s">
        <v>140</v>
      </c>
      <c r="E135" t="s">
        <v>141</v>
      </c>
      <c r="G135" t="s">
        <v>67</v>
      </c>
      <c r="H135" t="s">
        <v>73</v>
      </c>
      <c r="I135" t="b">
        <v>1</v>
      </c>
      <c r="J135">
        <v>2</v>
      </c>
      <c r="P135" t="s">
        <v>142</v>
      </c>
      <c r="Q135">
        <v>11.7</v>
      </c>
      <c r="R135">
        <v>11</v>
      </c>
      <c r="S135" t="s">
        <v>41</v>
      </c>
      <c r="T135">
        <v>78.3</v>
      </c>
      <c r="U135">
        <v>0.14899999999999999</v>
      </c>
      <c r="V135">
        <v>10250</v>
      </c>
      <c r="W135">
        <v>4.7E-2</v>
      </c>
      <c r="X135">
        <v>6.8999999999999999E-3</v>
      </c>
      <c r="Y135">
        <v>0.64500000000000002</v>
      </c>
    </row>
    <row r="136" spans="1:25" x14ac:dyDescent="0.3">
      <c r="A136" t="s">
        <v>143</v>
      </c>
      <c r="B136" t="s">
        <v>111</v>
      </c>
      <c r="C136" t="s">
        <v>144</v>
      </c>
      <c r="D136" t="s">
        <v>145</v>
      </c>
      <c r="E136" t="s">
        <v>125</v>
      </c>
      <c r="F136">
        <v>5600</v>
      </c>
      <c r="G136" t="s">
        <v>47</v>
      </c>
      <c r="H136" t="s">
        <v>31</v>
      </c>
      <c r="I136" t="b">
        <v>1</v>
      </c>
      <c r="J136">
        <v>2</v>
      </c>
      <c r="P136" t="s">
        <v>126</v>
      </c>
      <c r="Q136">
        <v>69.8</v>
      </c>
      <c r="R136">
        <v>3</v>
      </c>
      <c r="S136" t="s">
        <v>33</v>
      </c>
      <c r="T136">
        <v>64.8</v>
      </c>
      <c r="U136">
        <v>0.32200000000000001</v>
      </c>
      <c r="V136">
        <v>7500</v>
      </c>
      <c r="W136">
        <v>7.9000000000000001E-2</v>
      </c>
      <c r="X136">
        <v>2.5399999999999999E-2</v>
      </c>
      <c r="Y136">
        <v>0.53300000000000003</v>
      </c>
    </row>
    <row r="137" spans="1:25" x14ac:dyDescent="0.3">
      <c r="A137" t="s">
        <v>146</v>
      </c>
      <c r="B137" t="s">
        <v>147</v>
      </c>
      <c r="C137" t="s">
        <v>148</v>
      </c>
      <c r="D137" t="s">
        <v>149</v>
      </c>
      <c r="E137" t="s">
        <v>119</v>
      </c>
      <c r="G137" t="s">
        <v>39</v>
      </c>
      <c r="H137" t="s">
        <v>31</v>
      </c>
      <c r="I137" t="b">
        <v>1</v>
      </c>
      <c r="J137">
        <v>3</v>
      </c>
      <c r="K137">
        <v>1</v>
      </c>
      <c r="L137">
        <v>0</v>
      </c>
      <c r="M137">
        <v>2</v>
      </c>
      <c r="N137">
        <v>60.2</v>
      </c>
      <c r="O137">
        <v>0.38300000000000001</v>
      </c>
      <c r="P137" t="s">
        <v>120</v>
      </c>
      <c r="Q137">
        <v>27.8</v>
      </c>
      <c r="R137">
        <v>5</v>
      </c>
      <c r="S137" t="s">
        <v>41</v>
      </c>
      <c r="T137">
        <v>73.900000000000006</v>
      </c>
      <c r="U137">
        <v>0.20599999999999999</v>
      </c>
      <c r="V137">
        <v>19750</v>
      </c>
      <c r="W137">
        <v>7.9000000000000001E-2</v>
      </c>
      <c r="X137">
        <v>1.6299999999999999E-2</v>
      </c>
      <c r="Y137">
        <v>0.68600000000000005</v>
      </c>
    </row>
    <row r="138" spans="1:25" x14ac:dyDescent="0.3">
      <c r="A138" t="s">
        <v>150</v>
      </c>
      <c r="B138" t="s">
        <v>132</v>
      </c>
      <c r="C138" t="s">
        <v>151</v>
      </c>
      <c r="D138" t="s">
        <v>152</v>
      </c>
      <c r="E138" t="s">
        <v>135</v>
      </c>
      <c r="G138" t="s">
        <v>39</v>
      </c>
      <c r="H138" t="s">
        <v>73</v>
      </c>
      <c r="I138" t="b">
        <v>1</v>
      </c>
      <c r="J138">
        <v>3</v>
      </c>
      <c r="K138">
        <v>1</v>
      </c>
      <c r="L138">
        <v>0</v>
      </c>
      <c r="M138">
        <v>2</v>
      </c>
      <c r="N138">
        <v>54.3</v>
      </c>
      <c r="O138">
        <v>0.46100000000000002</v>
      </c>
      <c r="P138" t="s">
        <v>136</v>
      </c>
      <c r="Q138">
        <v>25.3</v>
      </c>
      <c r="R138">
        <v>6</v>
      </c>
      <c r="S138" t="s">
        <v>41</v>
      </c>
      <c r="T138">
        <v>64.5</v>
      </c>
      <c r="U138">
        <v>0.317</v>
      </c>
      <c r="V138">
        <v>45950</v>
      </c>
      <c r="W138">
        <v>8.7999999999999995E-2</v>
      </c>
      <c r="X138">
        <v>2.8000000000000001E-2</v>
      </c>
      <c r="Y138">
        <v>0.83399999999999996</v>
      </c>
    </row>
    <row r="139" spans="1:25" x14ac:dyDescent="0.3">
      <c r="A139" t="s">
        <v>153</v>
      </c>
      <c r="B139" t="s">
        <v>154</v>
      </c>
      <c r="C139" t="s">
        <v>155</v>
      </c>
      <c r="D139" t="s">
        <v>156</v>
      </c>
      <c r="E139" t="s">
        <v>157</v>
      </c>
      <c r="F139">
        <v>6000</v>
      </c>
      <c r="G139" t="s">
        <v>47</v>
      </c>
      <c r="H139" t="s">
        <v>31</v>
      </c>
      <c r="I139" t="b">
        <v>1</v>
      </c>
      <c r="J139">
        <v>4</v>
      </c>
    </row>
    <row r="140" spans="1:25" x14ac:dyDescent="0.3">
      <c r="A140" t="s">
        <v>159</v>
      </c>
      <c r="B140" t="s">
        <v>160</v>
      </c>
      <c r="C140" t="s">
        <v>161</v>
      </c>
      <c r="D140" t="s">
        <v>162</v>
      </c>
      <c r="E140" t="s">
        <v>163</v>
      </c>
      <c r="F140">
        <v>3000</v>
      </c>
      <c r="G140" t="s">
        <v>30</v>
      </c>
      <c r="H140" t="s">
        <v>31</v>
      </c>
      <c r="I140" t="b">
        <v>1</v>
      </c>
      <c r="J140">
        <v>1</v>
      </c>
      <c r="P140" t="s">
        <v>162</v>
      </c>
      <c r="Q140">
        <v>7.4</v>
      </c>
      <c r="R140">
        <v>13</v>
      </c>
      <c r="S140" t="s">
        <v>41</v>
      </c>
      <c r="T140">
        <v>73.8</v>
      </c>
      <c r="U140">
        <v>0.21199999999999999</v>
      </c>
      <c r="V140">
        <v>5050</v>
      </c>
      <c r="W140">
        <v>4.2000000000000003E-2</v>
      </c>
      <c r="X140">
        <v>8.8999999999999999E-3</v>
      </c>
      <c r="Y140">
        <v>0.80100000000000005</v>
      </c>
    </row>
    <row r="141" spans="1:25" x14ac:dyDescent="0.3">
      <c r="A141" t="s">
        <v>164</v>
      </c>
      <c r="B141" t="s">
        <v>165</v>
      </c>
      <c r="C141" t="s">
        <v>166</v>
      </c>
      <c r="D141" t="s">
        <v>167</v>
      </c>
      <c r="E141" t="s">
        <v>168</v>
      </c>
      <c r="G141" t="s">
        <v>39</v>
      </c>
      <c r="H141" t="s">
        <v>31</v>
      </c>
      <c r="I141" t="b">
        <v>1</v>
      </c>
      <c r="J141">
        <v>3</v>
      </c>
      <c r="K141">
        <v>0</v>
      </c>
      <c r="L141">
        <v>1</v>
      </c>
      <c r="M141">
        <v>2</v>
      </c>
      <c r="N141">
        <v>82.3</v>
      </c>
      <c r="O141">
        <v>0.113</v>
      </c>
      <c r="P141" t="s">
        <v>169</v>
      </c>
      <c r="Q141">
        <v>67.900000000000006</v>
      </c>
      <c r="R141">
        <v>4</v>
      </c>
      <c r="S141" t="s">
        <v>33</v>
      </c>
      <c r="T141">
        <v>59.1</v>
      </c>
      <c r="U141">
        <v>0.42099999999999999</v>
      </c>
      <c r="V141">
        <v>17250</v>
      </c>
      <c r="W141">
        <v>0.13300000000000001</v>
      </c>
      <c r="X141">
        <v>5.5899999999999998E-2</v>
      </c>
      <c r="Y141">
        <v>0.79200000000000004</v>
      </c>
    </row>
    <row r="142" spans="1:25" x14ac:dyDescent="0.3">
      <c r="A142" t="s">
        <v>170</v>
      </c>
      <c r="B142" t="s">
        <v>105</v>
      </c>
      <c r="C142" t="s">
        <v>171</v>
      </c>
      <c r="D142" t="s">
        <v>172</v>
      </c>
      <c r="E142" t="s">
        <v>38</v>
      </c>
      <c r="F142">
        <v>8000</v>
      </c>
      <c r="G142" t="s">
        <v>47</v>
      </c>
      <c r="H142" t="s">
        <v>31</v>
      </c>
      <c r="I142" t="b">
        <v>1</v>
      </c>
      <c r="J142">
        <v>4</v>
      </c>
      <c r="K142">
        <v>0</v>
      </c>
      <c r="L142">
        <v>0</v>
      </c>
      <c r="M142">
        <v>4</v>
      </c>
      <c r="N142">
        <v>70.400000000000006</v>
      </c>
      <c r="O142">
        <v>0.23400000000000001</v>
      </c>
      <c r="P142" t="s">
        <v>40</v>
      </c>
      <c r="Q142">
        <v>22.8</v>
      </c>
      <c r="R142">
        <v>7</v>
      </c>
      <c r="S142" t="s">
        <v>41</v>
      </c>
      <c r="T142">
        <v>68.5</v>
      </c>
      <c r="U142">
        <v>0.26200000000000001</v>
      </c>
      <c r="V142">
        <v>49000</v>
      </c>
      <c r="W142">
        <v>0.11700000000000001</v>
      </c>
      <c r="X142">
        <v>3.0599999999999999E-2</v>
      </c>
      <c r="Y142">
        <v>0.85799999999999998</v>
      </c>
    </row>
    <row r="143" spans="1:25" x14ac:dyDescent="0.3">
      <c r="A143" t="s">
        <v>173</v>
      </c>
      <c r="B143" t="s">
        <v>138</v>
      </c>
      <c r="C143" t="s">
        <v>174</v>
      </c>
      <c r="D143" t="s">
        <v>140</v>
      </c>
      <c r="E143" t="s">
        <v>141</v>
      </c>
      <c r="G143" t="s">
        <v>39</v>
      </c>
      <c r="H143" t="s">
        <v>73</v>
      </c>
      <c r="I143" t="b">
        <v>1</v>
      </c>
      <c r="J143">
        <v>2</v>
      </c>
      <c r="K143">
        <v>0</v>
      </c>
      <c r="L143">
        <v>0</v>
      </c>
      <c r="M143">
        <v>2</v>
      </c>
      <c r="N143">
        <v>74.5</v>
      </c>
      <c r="O143">
        <v>0.20899999999999999</v>
      </c>
      <c r="P143" t="s">
        <v>142</v>
      </c>
      <c r="Q143">
        <v>11.7</v>
      </c>
      <c r="R143">
        <v>11</v>
      </c>
      <c r="S143" t="s">
        <v>41</v>
      </c>
      <c r="T143">
        <v>78.3</v>
      </c>
      <c r="U143">
        <v>0.14899999999999999</v>
      </c>
      <c r="V143">
        <v>10250</v>
      </c>
      <c r="W143">
        <v>4.7E-2</v>
      </c>
      <c r="X143">
        <v>6.8999999999999999E-3</v>
      </c>
      <c r="Y143">
        <v>0.64500000000000002</v>
      </c>
    </row>
    <row r="144" spans="1:25" x14ac:dyDescent="0.3">
      <c r="A144" t="s">
        <v>175</v>
      </c>
      <c r="B144" t="s">
        <v>101</v>
      </c>
      <c r="C144" t="s">
        <v>176</v>
      </c>
      <c r="D144" t="s">
        <v>177</v>
      </c>
      <c r="E144" t="s">
        <v>135</v>
      </c>
      <c r="G144" t="s">
        <v>47</v>
      </c>
      <c r="H144" t="s">
        <v>48</v>
      </c>
      <c r="I144" t="b">
        <v>1</v>
      </c>
      <c r="J144">
        <v>3</v>
      </c>
      <c r="P144" t="s">
        <v>136</v>
      </c>
      <c r="Q144">
        <v>25.3</v>
      </c>
      <c r="R144">
        <v>6</v>
      </c>
      <c r="S144" t="s">
        <v>41</v>
      </c>
      <c r="T144">
        <v>64.5</v>
      </c>
      <c r="U144">
        <v>0.317</v>
      </c>
      <c r="V144">
        <v>45950</v>
      </c>
      <c r="W144">
        <v>8.7999999999999995E-2</v>
      </c>
      <c r="X144">
        <v>2.8000000000000001E-2</v>
      </c>
      <c r="Y144">
        <v>0.83399999999999996</v>
      </c>
    </row>
    <row r="145" spans="1:25" x14ac:dyDescent="0.3">
      <c r="A145" t="s">
        <v>178</v>
      </c>
      <c r="B145" t="s">
        <v>179</v>
      </c>
      <c r="C145" t="s">
        <v>180</v>
      </c>
      <c r="D145" t="s">
        <v>181</v>
      </c>
      <c r="E145" t="s">
        <v>78</v>
      </c>
      <c r="G145" t="s">
        <v>39</v>
      </c>
      <c r="H145" t="s">
        <v>73</v>
      </c>
      <c r="I145" t="b">
        <v>1</v>
      </c>
      <c r="J145">
        <v>3</v>
      </c>
      <c r="P145" t="s">
        <v>79</v>
      </c>
      <c r="Q145">
        <v>16.7</v>
      </c>
      <c r="R145">
        <v>9</v>
      </c>
      <c r="S145" t="s">
        <v>41</v>
      </c>
      <c r="T145">
        <v>58.4</v>
      </c>
      <c r="U145">
        <v>0.42299999999999999</v>
      </c>
      <c r="V145">
        <v>3500</v>
      </c>
      <c r="W145">
        <v>2.1999999999999999E-2</v>
      </c>
      <c r="X145">
        <v>9.2999999999999992E-3</v>
      </c>
      <c r="Y145">
        <v>0.64</v>
      </c>
    </row>
    <row r="146" spans="1:25" x14ac:dyDescent="0.3">
      <c r="A146" t="s">
        <v>182</v>
      </c>
      <c r="B146" t="s">
        <v>183</v>
      </c>
      <c r="C146" t="s">
        <v>184</v>
      </c>
      <c r="D146" t="s">
        <v>185</v>
      </c>
      <c r="E146" t="s">
        <v>186</v>
      </c>
      <c r="G146" t="s">
        <v>30</v>
      </c>
      <c r="H146" t="s">
        <v>73</v>
      </c>
      <c r="I146" t="b">
        <v>1</v>
      </c>
      <c r="J146">
        <v>3</v>
      </c>
      <c r="K146">
        <v>0</v>
      </c>
      <c r="L146">
        <v>0</v>
      </c>
      <c r="M146">
        <v>3</v>
      </c>
      <c r="N146">
        <v>55.4</v>
      </c>
      <c r="O146">
        <v>0.50600000000000001</v>
      </c>
      <c r="P146" t="s">
        <v>187</v>
      </c>
      <c r="Q146">
        <v>17.899999999999999</v>
      </c>
      <c r="R146">
        <v>8</v>
      </c>
      <c r="S146" t="s">
        <v>41</v>
      </c>
      <c r="T146">
        <v>55.4</v>
      </c>
      <c r="U146">
        <v>0.50600000000000001</v>
      </c>
      <c r="V146">
        <v>3500</v>
      </c>
      <c r="W146">
        <v>2.5000000000000001E-2</v>
      </c>
      <c r="X146">
        <v>1.2699999999999999E-2</v>
      </c>
      <c r="Y146">
        <v>0.72599999999999998</v>
      </c>
    </row>
    <row r="147" spans="1:25" x14ac:dyDescent="0.3">
      <c r="A147" t="s">
        <v>188</v>
      </c>
      <c r="B147" t="s">
        <v>105</v>
      </c>
      <c r="C147" t="s">
        <v>189</v>
      </c>
      <c r="D147" t="s">
        <v>190</v>
      </c>
      <c r="E147" t="s">
        <v>191</v>
      </c>
      <c r="F147">
        <v>4000</v>
      </c>
      <c r="G147" t="s">
        <v>30</v>
      </c>
      <c r="H147" t="s">
        <v>31</v>
      </c>
      <c r="I147" t="b">
        <v>1</v>
      </c>
      <c r="J147">
        <v>2</v>
      </c>
    </row>
    <row r="148" spans="1:25" x14ac:dyDescent="0.3">
      <c r="A148" t="s">
        <v>192</v>
      </c>
      <c r="B148" t="s">
        <v>128</v>
      </c>
      <c r="C148" t="s">
        <v>193</v>
      </c>
      <c r="D148" t="s">
        <v>194</v>
      </c>
      <c r="E148" t="s">
        <v>108</v>
      </c>
      <c r="G148" t="s">
        <v>39</v>
      </c>
      <c r="H148" t="s">
        <v>73</v>
      </c>
      <c r="I148" t="b">
        <v>1</v>
      </c>
      <c r="J148">
        <v>3</v>
      </c>
      <c r="P148" t="s">
        <v>109</v>
      </c>
      <c r="Q148">
        <v>100</v>
      </c>
      <c r="R148">
        <v>1</v>
      </c>
      <c r="S148" t="s">
        <v>33</v>
      </c>
      <c r="T148">
        <v>73.3</v>
      </c>
      <c r="U148">
        <v>0.20300000000000001</v>
      </c>
      <c r="V148">
        <v>25000</v>
      </c>
      <c r="W148">
        <v>0.22700000000000001</v>
      </c>
      <c r="X148">
        <v>4.6100000000000002E-2</v>
      </c>
      <c r="Y148">
        <v>0.63600000000000001</v>
      </c>
    </row>
    <row r="149" spans="1:25" x14ac:dyDescent="0.3">
      <c r="A149" t="s">
        <v>195</v>
      </c>
      <c r="B149" t="s">
        <v>51</v>
      </c>
      <c r="C149" t="s">
        <v>196</v>
      </c>
      <c r="D149" t="s">
        <v>197</v>
      </c>
      <c r="E149" t="s">
        <v>198</v>
      </c>
      <c r="G149" t="s">
        <v>47</v>
      </c>
      <c r="H149" t="s">
        <v>31</v>
      </c>
      <c r="I149" t="b">
        <v>1</v>
      </c>
      <c r="J149">
        <v>3</v>
      </c>
    </row>
    <row r="150" spans="1:25" x14ac:dyDescent="0.3">
      <c r="A150" t="s">
        <v>200</v>
      </c>
      <c r="B150" t="s">
        <v>201</v>
      </c>
      <c r="C150" t="s">
        <v>202</v>
      </c>
      <c r="D150" t="s">
        <v>203</v>
      </c>
      <c r="E150" t="s">
        <v>135</v>
      </c>
      <c r="G150" t="s">
        <v>30</v>
      </c>
      <c r="H150" t="s">
        <v>73</v>
      </c>
      <c r="I150" t="b">
        <v>1</v>
      </c>
      <c r="J150">
        <v>2</v>
      </c>
      <c r="P150" t="s">
        <v>136</v>
      </c>
      <c r="Q150">
        <v>25.3</v>
      </c>
      <c r="R150">
        <v>6</v>
      </c>
      <c r="S150" t="s">
        <v>41</v>
      </c>
      <c r="T150">
        <v>64.5</v>
      </c>
      <c r="U150">
        <v>0.317</v>
      </c>
      <c r="V150">
        <v>45950</v>
      </c>
      <c r="W150">
        <v>8.7999999999999995E-2</v>
      </c>
      <c r="X150">
        <v>2.8000000000000001E-2</v>
      </c>
      <c r="Y150">
        <v>0.83399999999999996</v>
      </c>
    </row>
    <row r="151" spans="1:25" x14ac:dyDescent="0.3">
      <c r="A151" t="s">
        <v>204</v>
      </c>
      <c r="B151" t="s">
        <v>205</v>
      </c>
      <c r="C151" t="s">
        <v>206</v>
      </c>
      <c r="D151" t="s">
        <v>162</v>
      </c>
      <c r="E151" t="s">
        <v>163</v>
      </c>
      <c r="F151">
        <v>3000</v>
      </c>
      <c r="G151" t="s">
        <v>30</v>
      </c>
      <c r="H151" t="s">
        <v>31</v>
      </c>
      <c r="I151" t="b">
        <v>1</v>
      </c>
      <c r="J151">
        <v>2</v>
      </c>
      <c r="P151" t="s">
        <v>162</v>
      </c>
      <c r="Q151">
        <v>7.4</v>
      </c>
      <c r="R151">
        <v>13</v>
      </c>
      <c r="S151" t="s">
        <v>41</v>
      </c>
      <c r="T151">
        <v>73.8</v>
      </c>
      <c r="U151">
        <v>0.21199999999999999</v>
      </c>
      <c r="V151">
        <v>5050</v>
      </c>
      <c r="W151">
        <v>4.2000000000000003E-2</v>
      </c>
      <c r="X151">
        <v>8.8999999999999999E-3</v>
      </c>
      <c r="Y151">
        <v>0.80100000000000005</v>
      </c>
    </row>
    <row r="152" spans="1:25" x14ac:dyDescent="0.3">
      <c r="A152" t="s">
        <v>207</v>
      </c>
      <c r="B152" t="s">
        <v>208</v>
      </c>
      <c r="C152" t="s">
        <v>209</v>
      </c>
      <c r="D152" t="s">
        <v>210</v>
      </c>
      <c r="E152" t="s">
        <v>168</v>
      </c>
      <c r="F152">
        <v>7000</v>
      </c>
      <c r="G152" t="s">
        <v>47</v>
      </c>
      <c r="H152" t="s">
        <v>31</v>
      </c>
      <c r="I152" t="b">
        <v>1</v>
      </c>
      <c r="J152">
        <v>3</v>
      </c>
      <c r="P152" t="s">
        <v>169</v>
      </c>
      <c r="Q152">
        <v>67.900000000000006</v>
      </c>
      <c r="R152">
        <v>4</v>
      </c>
      <c r="S152" t="s">
        <v>33</v>
      </c>
      <c r="T152">
        <v>59.1</v>
      </c>
      <c r="U152">
        <v>0.42099999999999999</v>
      </c>
      <c r="V152">
        <v>17250</v>
      </c>
      <c r="W152">
        <v>0.13300000000000001</v>
      </c>
      <c r="X152">
        <v>5.5899999999999998E-2</v>
      </c>
      <c r="Y152">
        <v>0.79200000000000004</v>
      </c>
    </row>
    <row r="153" spans="1:25" x14ac:dyDescent="0.3">
      <c r="A153" t="s">
        <v>211</v>
      </c>
      <c r="B153" t="s">
        <v>51</v>
      </c>
      <c r="C153" t="s">
        <v>212</v>
      </c>
      <c r="D153" t="s">
        <v>213</v>
      </c>
      <c r="E153" t="s">
        <v>29</v>
      </c>
      <c r="F153">
        <v>8000</v>
      </c>
      <c r="G153" t="s">
        <v>47</v>
      </c>
      <c r="H153" t="s">
        <v>31</v>
      </c>
      <c r="I153" t="b">
        <v>1</v>
      </c>
      <c r="J153">
        <v>2</v>
      </c>
    </row>
    <row r="154" spans="1:25" x14ac:dyDescent="0.3">
      <c r="A154" t="s">
        <v>214</v>
      </c>
      <c r="B154" t="s">
        <v>122</v>
      </c>
      <c r="C154" t="s">
        <v>215</v>
      </c>
      <c r="D154" t="s">
        <v>216</v>
      </c>
      <c r="E154" t="s">
        <v>125</v>
      </c>
      <c r="G154" t="s">
        <v>39</v>
      </c>
      <c r="H154" t="s">
        <v>73</v>
      </c>
      <c r="I154" t="b">
        <v>1</v>
      </c>
      <c r="J154">
        <v>2</v>
      </c>
      <c r="P154" t="s">
        <v>126</v>
      </c>
      <c r="Q154">
        <v>69.8</v>
      </c>
      <c r="R154">
        <v>3</v>
      </c>
      <c r="S154" t="s">
        <v>33</v>
      </c>
      <c r="T154">
        <v>64.8</v>
      </c>
      <c r="U154">
        <v>0.32200000000000001</v>
      </c>
      <c r="V154">
        <v>7500</v>
      </c>
      <c r="W154">
        <v>7.9000000000000001E-2</v>
      </c>
      <c r="X154">
        <v>2.5399999999999999E-2</v>
      </c>
      <c r="Y154">
        <v>0.53300000000000003</v>
      </c>
    </row>
    <row r="155" spans="1:25" x14ac:dyDescent="0.3">
      <c r="A155" t="s">
        <v>217</v>
      </c>
      <c r="B155" t="s">
        <v>205</v>
      </c>
      <c r="C155" t="s">
        <v>218</v>
      </c>
      <c r="D155" t="s">
        <v>162</v>
      </c>
      <c r="E155" t="s">
        <v>163</v>
      </c>
      <c r="F155">
        <v>3000</v>
      </c>
      <c r="G155" t="s">
        <v>30</v>
      </c>
      <c r="H155" t="s">
        <v>31</v>
      </c>
      <c r="I155" t="b">
        <v>1</v>
      </c>
      <c r="J155">
        <v>1</v>
      </c>
      <c r="K155">
        <v>0</v>
      </c>
      <c r="L155">
        <v>0</v>
      </c>
      <c r="M155">
        <v>1</v>
      </c>
      <c r="N155">
        <v>75</v>
      </c>
      <c r="O155">
        <v>0.2</v>
      </c>
      <c r="P155" t="s">
        <v>162</v>
      </c>
      <c r="Q155">
        <v>7.4</v>
      </c>
      <c r="R155">
        <v>13</v>
      </c>
      <c r="S155" t="s">
        <v>41</v>
      </c>
      <c r="T155">
        <v>73.8</v>
      </c>
      <c r="U155">
        <v>0.21199999999999999</v>
      </c>
      <c r="V155">
        <v>5050</v>
      </c>
      <c r="W155">
        <v>4.2000000000000003E-2</v>
      </c>
      <c r="X155">
        <v>8.8999999999999999E-3</v>
      </c>
      <c r="Y155">
        <v>0.80100000000000005</v>
      </c>
    </row>
    <row r="156" spans="1:25" x14ac:dyDescent="0.3">
      <c r="A156" t="s">
        <v>219</v>
      </c>
      <c r="B156" t="s">
        <v>128</v>
      </c>
      <c r="C156" t="s">
        <v>220</v>
      </c>
      <c r="D156" t="s">
        <v>107</v>
      </c>
      <c r="E156" t="s">
        <v>108</v>
      </c>
      <c r="G156" t="s">
        <v>39</v>
      </c>
      <c r="H156" t="s">
        <v>73</v>
      </c>
      <c r="I156" t="b">
        <v>1</v>
      </c>
      <c r="J156">
        <v>2</v>
      </c>
      <c r="P156" t="s">
        <v>109</v>
      </c>
      <c r="Q156">
        <v>100</v>
      </c>
      <c r="R156">
        <v>1</v>
      </c>
      <c r="S156" t="s">
        <v>33</v>
      </c>
      <c r="T156">
        <v>73.3</v>
      </c>
      <c r="U156">
        <v>0.20300000000000001</v>
      </c>
      <c r="V156">
        <v>25000</v>
      </c>
      <c r="W156">
        <v>0.22700000000000001</v>
      </c>
      <c r="X156">
        <v>4.6100000000000002E-2</v>
      </c>
      <c r="Y156">
        <v>0.63600000000000001</v>
      </c>
    </row>
    <row r="157" spans="1:25" x14ac:dyDescent="0.3">
      <c r="A157" t="s">
        <v>221</v>
      </c>
      <c r="B157" t="s">
        <v>51</v>
      </c>
      <c r="C157" t="s">
        <v>222</v>
      </c>
      <c r="D157" t="s">
        <v>162</v>
      </c>
      <c r="E157" t="s">
        <v>163</v>
      </c>
      <c r="F157">
        <v>400</v>
      </c>
      <c r="G157" t="s">
        <v>67</v>
      </c>
      <c r="H157" t="s">
        <v>31</v>
      </c>
      <c r="I157" t="b">
        <v>1</v>
      </c>
      <c r="J157">
        <v>1</v>
      </c>
      <c r="K157">
        <v>0</v>
      </c>
      <c r="L157">
        <v>0</v>
      </c>
      <c r="M157">
        <v>1</v>
      </c>
      <c r="N157">
        <v>55</v>
      </c>
      <c r="O157">
        <v>0.4</v>
      </c>
      <c r="P157" t="s">
        <v>162</v>
      </c>
      <c r="Q157">
        <v>7.4</v>
      </c>
      <c r="R157">
        <v>13</v>
      </c>
      <c r="S157" t="s">
        <v>41</v>
      </c>
      <c r="T157">
        <v>73.8</v>
      </c>
      <c r="U157">
        <v>0.21199999999999999</v>
      </c>
      <c r="V157">
        <v>5050</v>
      </c>
      <c r="W157">
        <v>4.2000000000000003E-2</v>
      </c>
      <c r="X157">
        <v>8.8999999999999999E-3</v>
      </c>
      <c r="Y157">
        <v>0.80100000000000005</v>
      </c>
    </row>
    <row r="158" spans="1:25" x14ac:dyDescent="0.3">
      <c r="A158" t="s">
        <v>223</v>
      </c>
      <c r="B158" t="s">
        <v>51</v>
      </c>
      <c r="C158" t="s">
        <v>224</v>
      </c>
      <c r="D158" t="s">
        <v>190</v>
      </c>
      <c r="E158" t="s">
        <v>191</v>
      </c>
      <c r="G158" t="s">
        <v>67</v>
      </c>
      <c r="H158" t="s">
        <v>31</v>
      </c>
      <c r="I158" t="b">
        <v>1</v>
      </c>
      <c r="J158">
        <v>1</v>
      </c>
    </row>
    <row r="159" spans="1:25" x14ac:dyDescent="0.3">
      <c r="A159" t="s">
        <v>225</v>
      </c>
      <c r="B159" t="s">
        <v>147</v>
      </c>
      <c r="C159" t="s">
        <v>226</v>
      </c>
      <c r="D159" t="s">
        <v>118</v>
      </c>
      <c r="E159" t="s">
        <v>119</v>
      </c>
      <c r="F159">
        <v>3500</v>
      </c>
      <c r="G159" t="s">
        <v>30</v>
      </c>
      <c r="H159" t="s">
        <v>31</v>
      </c>
      <c r="I159" t="b">
        <v>1</v>
      </c>
      <c r="J159">
        <v>2</v>
      </c>
      <c r="K159">
        <v>0</v>
      </c>
      <c r="L159">
        <v>0</v>
      </c>
      <c r="M159">
        <v>2</v>
      </c>
      <c r="N159">
        <v>75.5</v>
      </c>
      <c r="O159">
        <v>0.191</v>
      </c>
      <c r="P159" t="s">
        <v>120</v>
      </c>
      <c r="Q159">
        <v>27.8</v>
      </c>
      <c r="R159">
        <v>5</v>
      </c>
      <c r="S159" t="s">
        <v>41</v>
      </c>
      <c r="T159">
        <v>73.900000000000006</v>
      </c>
      <c r="U159">
        <v>0.20599999999999999</v>
      </c>
      <c r="V159">
        <v>19750</v>
      </c>
      <c r="W159">
        <v>7.9000000000000001E-2</v>
      </c>
      <c r="X159">
        <v>1.6299999999999999E-2</v>
      </c>
      <c r="Y159">
        <v>0.68600000000000005</v>
      </c>
    </row>
    <row r="160" spans="1:25" x14ac:dyDescent="0.3">
      <c r="A160" t="s">
        <v>227</v>
      </c>
      <c r="B160" t="s">
        <v>228</v>
      </c>
      <c r="C160" t="s">
        <v>229</v>
      </c>
      <c r="D160" t="s">
        <v>230</v>
      </c>
      <c r="E160" t="s">
        <v>168</v>
      </c>
      <c r="G160" t="s">
        <v>67</v>
      </c>
      <c r="H160" t="s">
        <v>31</v>
      </c>
      <c r="I160" t="b">
        <v>1</v>
      </c>
      <c r="J160">
        <v>2</v>
      </c>
      <c r="P160" t="s">
        <v>169</v>
      </c>
      <c r="Q160">
        <v>67.900000000000006</v>
      </c>
      <c r="R160">
        <v>4</v>
      </c>
      <c r="S160" t="s">
        <v>33</v>
      </c>
      <c r="T160">
        <v>59.1</v>
      </c>
      <c r="U160">
        <v>0.42099999999999999</v>
      </c>
      <c r="V160">
        <v>17250</v>
      </c>
      <c r="W160">
        <v>0.13300000000000001</v>
      </c>
      <c r="X160">
        <v>5.5899999999999998E-2</v>
      </c>
      <c r="Y160">
        <v>0.79200000000000004</v>
      </c>
    </row>
    <row r="161" spans="1:25" x14ac:dyDescent="0.3">
      <c r="A161" t="s">
        <v>231</v>
      </c>
      <c r="B161" t="s">
        <v>232</v>
      </c>
      <c r="C161" t="s">
        <v>233</v>
      </c>
      <c r="D161" t="s">
        <v>234</v>
      </c>
      <c r="E161" t="s">
        <v>235</v>
      </c>
      <c r="G161" t="s">
        <v>39</v>
      </c>
      <c r="H161" t="s">
        <v>73</v>
      </c>
      <c r="I161" t="b">
        <v>1</v>
      </c>
      <c r="J161">
        <v>4</v>
      </c>
    </row>
    <row r="162" spans="1:25" x14ac:dyDescent="0.3">
      <c r="A162" t="s">
        <v>237</v>
      </c>
      <c r="B162" t="s">
        <v>238</v>
      </c>
      <c r="C162" t="s">
        <v>239</v>
      </c>
      <c r="D162" t="s">
        <v>240</v>
      </c>
      <c r="E162" t="s">
        <v>141</v>
      </c>
      <c r="F162">
        <v>3000</v>
      </c>
      <c r="G162" t="s">
        <v>30</v>
      </c>
      <c r="H162" t="s">
        <v>31</v>
      </c>
      <c r="I162" t="b">
        <v>1</v>
      </c>
      <c r="J162">
        <v>3</v>
      </c>
      <c r="K162">
        <v>0</v>
      </c>
      <c r="L162">
        <v>1</v>
      </c>
      <c r="M162">
        <v>2</v>
      </c>
      <c r="N162">
        <v>82</v>
      </c>
      <c r="O162">
        <v>0.111</v>
      </c>
      <c r="P162" t="s">
        <v>142</v>
      </c>
      <c r="Q162">
        <v>11.7</v>
      </c>
      <c r="R162">
        <v>11</v>
      </c>
      <c r="S162" t="s">
        <v>41</v>
      </c>
      <c r="T162">
        <v>78.3</v>
      </c>
      <c r="U162">
        <v>0.14899999999999999</v>
      </c>
      <c r="V162">
        <v>10250</v>
      </c>
      <c r="W162">
        <v>4.7E-2</v>
      </c>
      <c r="X162">
        <v>6.8999999999999999E-3</v>
      </c>
      <c r="Y162">
        <v>0.64500000000000002</v>
      </c>
    </row>
    <row r="163" spans="1:25" x14ac:dyDescent="0.3">
      <c r="A163" t="s">
        <v>241</v>
      </c>
      <c r="B163" t="s">
        <v>232</v>
      </c>
      <c r="C163" t="s">
        <v>242</v>
      </c>
      <c r="D163" t="s">
        <v>243</v>
      </c>
      <c r="E163" t="s">
        <v>235</v>
      </c>
      <c r="F163">
        <v>1200</v>
      </c>
      <c r="G163" t="s">
        <v>39</v>
      </c>
      <c r="H163" t="s">
        <v>31</v>
      </c>
      <c r="I163" t="b">
        <v>1</v>
      </c>
      <c r="J163">
        <v>3</v>
      </c>
    </row>
    <row r="164" spans="1:25" x14ac:dyDescent="0.3">
      <c r="A164" t="s">
        <v>244</v>
      </c>
      <c r="B164" t="s">
        <v>75</v>
      </c>
      <c r="C164" t="s">
        <v>245</v>
      </c>
      <c r="D164" t="s">
        <v>246</v>
      </c>
      <c r="E164" t="s">
        <v>78</v>
      </c>
      <c r="F164">
        <v>3000</v>
      </c>
      <c r="G164" t="s">
        <v>30</v>
      </c>
      <c r="H164" t="s">
        <v>31</v>
      </c>
      <c r="I164" t="b">
        <v>1</v>
      </c>
      <c r="J164">
        <v>4</v>
      </c>
      <c r="K164">
        <v>0</v>
      </c>
      <c r="L164">
        <v>0</v>
      </c>
      <c r="M164">
        <v>4</v>
      </c>
      <c r="N164">
        <v>58.4</v>
      </c>
      <c r="O164">
        <v>0.42299999999999999</v>
      </c>
      <c r="P164" t="s">
        <v>79</v>
      </c>
      <c r="Q164">
        <v>16.7</v>
      </c>
      <c r="R164">
        <v>9</v>
      </c>
      <c r="S164" t="s">
        <v>41</v>
      </c>
      <c r="T164">
        <v>58.4</v>
      </c>
      <c r="U164">
        <v>0.42299999999999999</v>
      </c>
      <c r="V164">
        <v>3500</v>
      </c>
      <c r="W164">
        <v>2.1999999999999999E-2</v>
      </c>
      <c r="X164">
        <v>9.2999999999999992E-3</v>
      </c>
      <c r="Y164">
        <v>0.64</v>
      </c>
    </row>
    <row r="165" spans="1:25" x14ac:dyDescent="0.3">
      <c r="A165" t="s">
        <v>247</v>
      </c>
      <c r="B165" t="s">
        <v>165</v>
      </c>
      <c r="C165" t="s">
        <v>248</v>
      </c>
      <c r="D165" t="s">
        <v>249</v>
      </c>
      <c r="E165" t="s">
        <v>88</v>
      </c>
      <c r="F165">
        <v>1200</v>
      </c>
      <c r="G165" t="s">
        <v>39</v>
      </c>
      <c r="H165" t="s">
        <v>31</v>
      </c>
      <c r="I165" t="b">
        <v>1</v>
      </c>
      <c r="J165">
        <v>3</v>
      </c>
    </row>
    <row r="166" spans="1:25" x14ac:dyDescent="0.3">
      <c r="A166" t="s">
        <v>250</v>
      </c>
      <c r="B166" t="s">
        <v>101</v>
      </c>
      <c r="C166" t="s">
        <v>102</v>
      </c>
      <c r="D166" t="s">
        <v>103</v>
      </c>
      <c r="E166" t="s">
        <v>251</v>
      </c>
      <c r="F166">
        <v>12000</v>
      </c>
      <c r="G166" t="s">
        <v>47</v>
      </c>
      <c r="H166" t="s">
        <v>31</v>
      </c>
      <c r="I166" t="b">
        <v>1</v>
      </c>
      <c r="J166">
        <v>3</v>
      </c>
    </row>
    <row r="167" spans="1:25" x14ac:dyDescent="0.3">
      <c r="A167" t="s">
        <v>252</v>
      </c>
      <c r="B167" t="s">
        <v>101</v>
      </c>
      <c r="C167" t="s">
        <v>253</v>
      </c>
      <c r="D167" t="s">
        <v>254</v>
      </c>
      <c r="E167" t="s">
        <v>135</v>
      </c>
      <c r="F167">
        <v>10000</v>
      </c>
      <c r="G167" t="s">
        <v>47</v>
      </c>
      <c r="H167" t="s">
        <v>31</v>
      </c>
      <c r="I167" t="b">
        <v>1</v>
      </c>
      <c r="J167">
        <v>3</v>
      </c>
      <c r="K167">
        <v>1</v>
      </c>
      <c r="L167">
        <v>1</v>
      </c>
      <c r="M167">
        <v>1</v>
      </c>
      <c r="N167">
        <v>55.8</v>
      </c>
      <c r="O167">
        <v>0.47499999999999998</v>
      </c>
      <c r="P167" t="s">
        <v>136</v>
      </c>
      <c r="Q167">
        <v>25.3</v>
      </c>
      <c r="R167">
        <v>6</v>
      </c>
      <c r="S167" t="s">
        <v>41</v>
      </c>
      <c r="T167">
        <v>64.5</v>
      </c>
      <c r="U167">
        <v>0.317</v>
      </c>
      <c r="V167">
        <v>45950</v>
      </c>
      <c r="W167">
        <v>8.7999999999999995E-2</v>
      </c>
      <c r="X167">
        <v>2.8000000000000001E-2</v>
      </c>
      <c r="Y167">
        <v>0.83399999999999996</v>
      </c>
    </row>
    <row r="168" spans="1:25" x14ac:dyDescent="0.3">
      <c r="A168" t="s">
        <v>255</v>
      </c>
      <c r="B168" t="s">
        <v>256</v>
      </c>
      <c r="C168" t="s">
        <v>257</v>
      </c>
      <c r="D168" t="s">
        <v>53</v>
      </c>
      <c r="E168" t="s">
        <v>54</v>
      </c>
      <c r="G168" t="s">
        <v>47</v>
      </c>
      <c r="H168" t="s">
        <v>31</v>
      </c>
      <c r="I168" t="b">
        <v>1</v>
      </c>
      <c r="J168">
        <v>2</v>
      </c>
      <c r="P168" t="s">
        <v>55</v>
      </c>
      <c r="Q168">
        <v>92</v>
      </c>
      <c r="R168">
        <v>2</v>
      </c>
      <c r="S168" t="s">
        <v>33</v>
      </c>
      <c r="T168">
        <v>69</v>
      </c>
      <c r="U168">
        <v>0.254</v>
      </c>
      <c r="V168">
        <v>71000</v>
      </c>
      <c r="W168">
        <v>0.35499999999999998</v>
      </c>
      <c r="X168">
        <v>9.0200000000000002E-2</v>
      </c>
      <c r="Y168">
        <v>0.82799999999999996</v>
      </c>
    </row>
    <row r="169" spans="1:25" x14ac:dyDescent="0.3">
      <c r="A169" t="s">
        <v>258</v>
      </c>
      <c r="B169" t="s">
        <v>85</v>
      </c>
      <c r="C169" t="s">
        <v>259</v>
      </c>
      <c r="D169" t="s">
        <v>260</v>
      </c>
      <c r="E169" t="s">
        <v>88</v>
      </c>
      <c r="G169" t="s">
        <v>30</v>
      </c>
      <c r="H169" t="s">
        <v>31</v>
      </c>
      <c r="I169" t="b">
        <v>1</v>
      </c>
      <c r="J169">
        <v>3</v>
      </c>
    </row>
    <row r="170" spans="1:25" x14ac:dyDescent="0.3">
      <c r="A170" t="s">
        <v>261</v>
      </c>
      <c r="B170" t="s">
        <v>35</v>
      </c>
      <c r="C170" t="s">
        <v>262</v>
      </c>
      <c r="D170" t="s">
        <v>263</v>
      </c>
      <c r="E170" t="s">
        <v>38</v>
      </c>
      <c r="G170" t="s">
        <v>47</v>
      </c>
      <c r="H170" t="s">
        <v>48</v>
      </c>
      <c r="I170" t="b">
        <v>1</v>
      </c>
      <c r="J170">
        <v>3</v>
      </c>
      <c r="K170">
        <v>0</v>
      </c>
      <c r="L170">
        <v>0</v>
      </c>
      <c r="M170">
        <v>3</v>
      </c>
      <c r="N170">
        <v>67.900000000000006</v>
      </c>
      <c r="O170">
        <v>0.26900000000000002</v>
      </c>
      <c r="P170" t="s">
        <v>40</v>
      </c>
      <c r="Q170">
        <v>22.8</v>
      </c>
      <c r="R170">
        <v>7</v>
      </c>
      <c r="S170" t="s">
        <v>41</v>
      </c>
      <c r="T170">
        <v>68.5</v>
      </c>
      <c r="U170">
        <v>0.26200000000000001</v>
      </c>
      <c r="V170">
        <v>49000</v>
      </c>
      <c r="W170">
        <v>0.11700000000000001</v>
      </c>
      <c r="X170">
        <v>3.0599999999999999E-2</v>
      </c>
      <c r="Y170">
        <v>0.85799999999999998</v>
      </c>
    </row>
    <row r="171" spans="1:25" x14ac:dyDescent="0.3">
      <c r="A171" t="s">
        <v>264</v>
      </c>
      <c r="B171" t="s">
        <v>96</v>
      </c>
      <c r="C171" t="s">
        <v>265</v>
      </c>
      <c r="D171" t="s">
        <v>98</v>
      </c>
      <c r="E171" t="s">
        <v>99</v>
      </c>
      <c r="G171" t="s">
        <v>47</v>
      </c>
      <c r="H171" t="s">
        <v>31</v>
      </c>
      <c r="I171" t="b">
        <v>1</v>
      </c>
      <c r="J171">
        <v>3</v>
      </c>
      <c r="P171" t="s">
        <v>98</v>
      </c>
      <c r="Q171">
        <v>11.1</v>
      </c>
      <c r="R171">
        <v>12</v>
      </c>
      <c r="S171" t="s">
        <v>41</v>
      </c>
      <c r="T171">
        <v>71</v>
      </c>
      <c r="U171">
        <v>0.224</v>
      </c>
      <c r="V171">
        <v>7500</v>
      </c>
      <c r="W171">
        <v>4.2000000000000003E-2</v>
      </c>
      <c r="X171">
        <v>9.2999999999999992E-3</v>
      </c>
      <c r="Y171">
        <v>0.74099999999999999</v>
      </c>
    </row>
    <row r="172" spans="1:25" x14ac:dyDescent="0.3">
      <c r="A172" t="s">
        <v>266</v>
      </c>
      <c r="B172" t="s">
        <v>267</v>
      </c>
      <c r="C172" t="s">
        <v>268</v>
      </c>
      <c r="D172" t="s">
        <v>269</v>
      </c>
      <c r="E172" t="s">
        <v>168</v>
      </c>
      <c r="G172" t="s">
        <v>30</v>
      </c>
      <c r="H172" t="s">
        <v>73</v>
      </c>
      <c r="I172" t="b">
        <v>1</v>
      </c>
      <c r="J172">
        <v>2</v>
      </c>
      <c r="K172">
        <v>1</v>
      </c>
      <c r="L172">
        <v>0</v>
      </c>
      <c r="M172">
        <v>1</v>
      </c>
      <c r="N172">
        <v>39.700000000000003</v>
      </c>
      <c r="O172">
        <v>0.67100000000000004</v>
      </c>
      <c r="P172" t="s">
        <v>169</v>
      </c>
      <c r="Q172">
        <v>67.900000000000006</v>
      </c>
      <c r="R172">
        <v>4</v>
      </c>
      <c r="S172" t="s">
        <v>33</v>
      </c>
      <c r="T172">
        <v>59.1</v>
      </c>
      <c r="U172">
        <v>0.42099999999999999</v>
      </c>
      <c r="V172">
        <v>17250</v>
      </c>
      <c r="W172">
        <v>0.13300000000000001</v>
      </c>
      <c r="X172">
        <v>5.5899999999999998E-2</v>
      </c>
      <c r="Y172">
        <v>0.79200000000000004</v>
      </c>
    </row>
    <row r="173" spans="1:25" x14ac:dyDescent="0.3">
      <c r="A173" t="s">
        <v>270</v>
      </c>
      <c r="B173" t="s">
        <v>271</v>
      </c>
      <c r="C173" t="s">
        <v>272</v>
      </c>
      <c r="D173" t="s">
        <v>273</v>
      </c>
      <c r="E173" t="s">
        <v>125</v>
      </c>
      <c r="F173">
        <v>1200</v>
      </c>
      <c r="G173" t="s">
        <v>39</v>
      </c>
      <c r="H173" t="s">
        <v>31</v>
      </c>
      <c r="I173" t="b">
        <v>1</v>
      </c>
      <c r="J173">
        <v>3</v>
      </c>
      <c r="P173" t="s">
        <v>126</v>
      </c>
      <c r="Q173">
        <v>69.8</v>
      </c>
      <c r="R173">
        <v>3</v>
      </c>
      <c r="S173" t="s">
        <v>33</v>
      </c>
      <c r="T173">
        <v>64.8</v>
      </c>
      <c r="U173">
        <v>0.32200000000000001</v>
      </c>
      <c r="V173">
        <v>7500</v>
      </c>
      <c r="W173">
        <v>7.9000000000000001E-2</v>
      </c>
      <c r="X173">
        <v>2.5399999999999999E-2</v>
      </c>
      <c r="Y173">
        <v>0.53300000000000003</v>
      </c>
    </row>
    <row r="174" spans="1:25" x14ac:dyDescent="0.3">
      <c r="A174" t="s">
        <v>274</v>
      </c>
      <c r="B174" t="s">
        <v>228</v>
      </c>
      <c r="C174" t="s">
        <v>275</v>
      </c>
      <c r="D174" t="s">
        <v>276</v>
      </c>
      <c r="E174" t="s">
        <v>168</v>
      </c>
      <c r="G174" t="s">
        <v>39</v>
      </c>
      <c r="H174" t="s">
        <v>73</v>
      </c>
      <c r="I174" t="b">
        <v>1</v>
      </c>
      <c r="J174">
        <v>3</v>
      </c>
      <c r="K174">
        <v>1</v>
      </c>
      <c r="L174">
        <v>0</v>
      </c>
      <c r="M174">
        <v>2</v>
      </c>
      <c r="N174">
        <v>52.3</v>
      </c>
      <c r="O174">
        <v>0.49</v>
      </c>
      <c r="P174" t="s">
        <v>169</v>
      </c>
      <c r="Q174">
        <v>67.900000000000006</v>
      </c>
      <c r="R174">
        <v>4</v>
      </c>
      <c r="S174" t="s">
        <v>33</v>
      </c>
      <c r="T174">
        <v>59.1</v>
      </c>
      <c r="U174">
        <v>0.42099999999999999</v>
      </c>
      <c r="V174">
        <v>17250</v>
      </c>
      <c r="W174">
        <v>0.13300000000000001</v>
      </c>
      <c r="X174">
        <v>5.5899999999999998E-2</v>
      </c>
      <c r="Y174">
        <v>0.79200000000000004</v>
      </c>
    </row>
    <row r="175" spans="1:25" x14ac:dyDescent="0.3">
      <c r="A175" t="s">
        <v>277</v>
      </c>
      <c r="B175" t="s">
        <v>105</v>
      </c>
      <c r="C175" t="s">
        <v>278</v>
      </c>
      <c r="D175" t="s">
        <v>260</v>
      </c>
      <c r="E175" t="s">
        <v>88</v>
      </c>
      <c r="G175" t="s">
        <v>47</v>
      </c>
      <c r="H175" t="s">
        <v>48</v>
      </c>
      <c r="I175" t="b">
        <v>1</v>
      </c>
      <c r="J175">
        <v>3</v>
      </c>
    </row>
    <row r="176" spans="1:25" x14ac:dyDescent="0.3">
      <c r="A176" t="s">
        <v>279</v>
      </c>
      <c r="B176" t="s">
        <v>280</v>
      </c>
      <c r="C176" t="s">
        <v>281</v>
      </c>
      <c r="D176" t="s">
        <v>282</v>
      </c>
      <c r="E176" t="s">
        <v>38</v>
      </c>
      <c r="G176" t="s">
        <v>39</v>
      </c>
      <c r="H176" t="s">
        <v>73</v>
      </c>
      <c r="I176" t="b">
        <v>1</v>
      </c>
      <c r="J176">
        <v>3</v>
      </c>
      <c r="P176" t="s">
        <v>40</v>
      </c>
      <c r="Q176">
        <v>22.8</v>
      </c>
      <c r="R176">
        <v>7</v>
      </c>
      <c r="S176" t="s">
        <v>41</v>
      </c>
      <c r="T176">
        <v>68.5</v>
      </c>
      <c r="U176">
        <v>0.26200000000000001</v>
      </c>
      <c r="V176">
        <v>49000</v>
      </c>
      <c r="W176">
        <v>0.11700000000000001</v>
      </c>
      <c r="X176">
        <v>3.0599999999999999E-2</v>
      </c>
      <c r="Y176">
        <v>0.85799999999999998</v>
      </c>
    </row>
    <row r="177" spans="1:25" x14ac:dyDescent="0.3">
      <c r="A177" t="s">
        <v>283</v>
      </c>
      <c r="B177" t="s">
        <v>208</v>
      </c>
      <c r="C177" t="s">
        <v>284</v>
      </c>
      <c r="D177" t="s">
        <v>285</v>
      </c>
      <c r="E177" t="s">
        <v>168</v>
      </c>
      <c r="G177" t="s">
        <v>30</v>
      </c>
      <c r="H177" t="s">
        <v>31</v>
      </c>
      <c r="I177" t="b">
        <v>1</v>
      </c>
      <c r="J177">
        <v>2</v>
      </c>
      <c r="K177">
        <v>0</v>
      </c>
      <c r="L177">
        <v>0</v>
      </c>
      <c r="M177">
        <v>2</v>
      </c>
      <c r="N177">
        <v>73.5</v>
      </c>
      <c r="O177">
        <v>0.22500000000000001</v>
      </c>
      <c r="P177" t="s">
        <v>169</v>
      </c>
      <c r="Q177">
        <v>67.900000000000006</v>
      </c>
      <c r="R177">
        <v>4</v>
      </c>
      <c r="S177" t="s">
        <v>33</v>
      </c>
      <c r="T177">
        <v>59.1</v>
      </c>
      <c r="U177">
        <v>0.42099999999999999</v>
      </c>
      <c r="V177">
        <v>17250</v>
      </c>
      <c r="W177">
        <v>0.13300000000000001</v>
      </c>
      <c r="X177">
        <v>5.5899999999999998E-2</v>
      </c>
      <c r="Y177">
        <v>0.79200000000000004</v>
      </c>
    </row>
    <row r="178" spans="1:25" x14ac:dyDescent="0.3">
      <c r="A178" t="s">
        <v>286</v>
      </c>
      <c r="B178" t="s">
        <v>267</v>
      </c>
      <c r="C178" t="s">
        <v>287</v>
      </c>
      <c r="D178" t="s">
        <v>269</v>
      </c>
      <c r="E178" t="s">
        <v>168</v>
      </c>
      <c r="G178" t="s">
        <v>30</v>
      </c>
      <c r="H178" t="s">
        <v>73</v>
      </c>
      <c r="I178" t="b">
        <v>1</v>
      </c>
      <c r="J178">
        <v>3</v>
      </c>
      <c r="P178" t="s">
        <v>169</v>
      </c>
      <c r="Q178">
        <v>67.900000000000006</v>
      </c>
      <c r="R178">
        <v>4</v>
      </c>
      <c r="S178" t="s">
        <v>33</v>
      </c>
      <c r="T178">
        <v>59.1</v>
      </c>
      <c r="U178">
        <v>0.42099999999999999</v>
      </c>
      <c r="V178">
        <v>17250</v>
      </c>
      <c r="W178">
        <v>0.13300000000000001</v>
      </c>
      <c r="X178">
        <v>5.5899999999999998E-2</v>
      </c>
      <c r="Y178">
        <v>0.79200000000000004</v>
      </c>
    </row>
    <row r="179" spans="1:25" x14ac:dyDescent="0.3">
      <c r="A179" t="s">
        <v>288</v>
      </c>
      <c r="B179" t="s">
        <v>289</v>
      </c>
      <c r="C179" t="s">
        <v>290</v>
      </c>
      <c r="D179" t="s">
        <v>291</v>
      </c>
      <c r="E179" t="s">
        <v>135</v>
      </c>
      <c r="F179">
        <v>6000</v>
      </c>
      <c r="G179" t="s">
        <v>47</v>
      </c>
      <c r="H179" t="s">
        <v>31</v>
      </c>
      <c r="I179" t="b">
        <v>1</v>
      </c>
      <c r="J179">
        <v>4</v>
      </c>
      <c r="K179">
        <v>1</v>
      </c>
      <c r="L179">
        <v>1</v>
      </c>
      <c r="M179">
        <v>2</v>
      </c>
      <c r="N179">
        <v>61.8</v>
      </c>
      <c r="O179">
        <v>0.36799999999999999</v>
      </c>
      <c r="P179" t="s">
        <v>136</v>
      </c>
      <c r="Q179">
        <v>25.3</v>
      </c>
      <c r="R179">
        <v>6</v>
      </c>
      <c r="S179" t="s">
        <v>41</v>
      </c>
      <c r="T179">
        <v>64.5</v>
      </c>
      <c r="U179">
        <v>0.317</v>
      </c>
      <c r="V179">
        <v>45950</v>
      </c>
      <c r="W179">
        <v>8.7999999999999995E-2</v>
      </c>
      <c r="X179">
        <v>2.8000000000000001E-2</v>
      </c>
      <c r="Y179">
        <v>0.83399999999999996</v>
      </c>
    </row>
    <row r="180" spans="1:25" x14ac:dyDescent="0.3">
      <c r="A180" t="s">
        <v>292</v>
      </c>
      <c r="B180" t="s">
        <v>132</v>
      </c>
      <c r="C180" t="s">
        <v>293</v>
      </c>
      <c r="D180" t="s">
        <v>294</v>
      </c>
      <c r="E180" t="s">
        <v>135</v>
      </c>
      <c r="G180" t="s">
        <v>39</v>
      </c>
      <c r="H180" t="s">
        <v>73</v>
      </c>
      <c r="I180" t="b">
        <v>1</v>
      </c>
      <c r="J180">
        <v>2</v>
      </c>
      <c r="P180" t="s">
        <v>136</v>
      </c>
      <c r="Q180">
        <v>25.3</v>
      </c>
      <c r="R180">
        <v>6</v>
      </c>
      <c r="S180" t="s">
        <v>41</v>
      </c>
      <c r="T180">
        <v>64.5</v>
      </c>
      <c r="U180">
        <v>0.317</v>
      </c>
      <c r="V180">
        <v>45950</v>
      </c>
      <c r="W180">
        <v>8.7999999999999995E-2</v>
      </c>
      <c r="X180">
        <v>2.8000000000000001E-2</v>
      </c>
      <c r="Y180">
        <v>0.83399999999999996</v>
      </c>
    </row>
    <row r="181" spans="1:25" x14ac:dyDescent="0.3">
      <c r="A181" t="s">
        <v>295</v>
      </c>
      <c r="B181" t="s">
        <v>132</v>
      </c>
      <c r="C181" t="s">
        <v>296</v>
      </c>
      <c r="D181" t="s">
        <v>134</v>
      </c>
      <c r="E181" t="s">
        <v>135</v>
      </c>
      <c r="G181" t="s">
        <v>39</v>
      </c>
      <c r="H181" t="s">
        <v>73</v>
      </c>
      <c r="I181" t="b">
        <v>1</v>
      </c>
      <c r="J181">
        <v>3</v>
      </c>
      <c r="K181">
        <v>1</v>
      </c>
      <c r="L181">
        <v>0</v>
      </c>
      <c r="M181">
        <v>2</v>
      </c>
      <c r="N181">
        <v>60.5</v>
      </c>
      <c r="O181">
        <v>0.377</v>
      </c>
      <c r="P181" t="s">
        <v>136</v>
      </c>
      <c r="Q181">
        <v>25.3</v>
      </c>
      <c r="R181">
        <v>6</v>
      </c>
      <c r="S181" t="s">
        <v>41</v>
      </c>
      <c r="T181">
        <v>64.5</v>
      </c>
      <c r="U181">
        <v>0.317</v>
      </c>
      <c r="V181">
        <v>45950</v>
      </c>
      <c r="W181">
        <v>8.7999999999999995E-2</v>
      </c>
      <c r="X181">
        <v>2.8000000000000001E-2</v>
      </c>
      <c r="Y181">
        <v>0.83399999999999996</v>
      </c>
    </row>
    <row r="182" spans="1:25" x14ac:dyDescent="0.3">
      <c r="A182" t="s">
        <v>297</v>
      </c>
      <c r="B182" t="s">
        <v>298</v>
      </c>
      <c r="C182" t="s">
        <v>299</v>
      </c>
      <c r="D182" t="s">
        <v>300</v>
      </c>
      <c r="E182" t="s">
        <v>157</v>
      </c>
      <c r="G182" t="s">
        <v>39</v>
      </c>
      <c r="H182" t="s">
        <v>73</v>
      </c>
      <c r="I182" t="b">
        <v>1</v>
      </c>
      <c r="J182">
        <v>3</v>
      </c>
    </row>
    <row r="183" spans="1:25" x14ac:dyDescent="0.3">
      <c r="A183" t="s">
        <v>301</v>
      </c>
      <c r="B183" t="s">
        <v>128</v>
      </c>
      <c r="C183" t="s">
        <v>302</v>
      </c>
      <c r="D183" t="s">
        <v>130</v>
      </c>
      <c r="E183" t="s">
        <v>108</v>
      </c>
      <c r="G183" t="s">
        <v>39</v>
      </c>
      <c r="H183" t="s">
        <v>73</v>
      </c>
      <c r="I183" t="b">
        <v>1</v>
      </c>
      <c r="J183">
        <v>3</v>
      </c>
      <c r="K183">
        <v>0</v>
      </c>
      <c r="L183">
        <v>1</v>
      </c>
      <c r="M183">
        <v>2</v>
      </c>
      <c r="N183">
        <v>82</v>
      </c>
      <c r="O183">
        <v>0.111</v>
      </c>
      <c r="P183" t="s">
        <v>109</v>
      </c>
      <c r="Q183">
        <v>100</v>
      </c>
      <c r="R183">
        <v>1</v>
      </c>
      <c r="S183" t="s">
        <v>33</v>
      </c>
      <c r="T183">
        <v>73.3</v>
      </c>
      <c r="U183">
        <v>0.20300000000000001</v>
      </c>
      <c r="V183">
        <v>25000</v>
      </c>
      <c r="W183">
        <v>0.22700000000000001</v>
      </c>
      <c r="X183">
        <v>4.6100000000000002E-2</v>
      </c>
      <c r="Y183">
        <v>0.63600000000000001</v>
      </c>
    </row>
    <row r="184" spans="1:25" x14ac:dyDescent="0.3">
      <c r="A184" t="s">
        <v>303</v>
      </c>
      <c r="B184" t="s">
        <v>165</v>
      </c>
      <c r="C184" t="s">
        <v>304</v>
      </c>
      <c r="D184" t="s">
        <v>305</v>
      </c>
      <c r="E184" t="s">
        <v>88</v>
      </c>
      <c r="G184" t="s">
        <v>39</v>
      </c>
      <c r="H184" t="s">
        <v>73</v>
      </c>
      <c r="I184" t="b">
        <v>1</v>
      </c>
      <c r="J184">
        <v>2</v>
      </c>
    </row>
    <row r="185" spans="1:25" x14ac:dyDescent="0.3">
      <c r="A185" t="s">
        <v>306</v>
      </c>
      <c r="B185" t="s">
        <v>307</v>
      </c>
      <c r="C185" t="s">
        <v>308</v>
      </c>
      <c r="D185" t="s">
        <v>309</v>
      </c>
      <c r="E185" t="s">
        <v>157</v>
      </c>
      <c r="G185" t="s">
        <v>30</v>
      </c>
      <c r="H185" t="s">
        <v>31</v>
      </c>
      <c r="I185" t="b">
        <v>1</v>
      </c>
      <c r="J185">
        <v>2</v>
      </c>
    </row>
    <row r="186" spans="1:25" x14ac:dyDescent="0.3">
      <c r="A186" t="s">
        <v>310</v>
      </c>
      <c r="B186" t="s">
        <v>51</v>
      </c>
      <c r="C186" t="s">
        <v>311</v>
      </c>
      <c r="D186" t="s">
        <v>190</v>
      </c>
      <c r="E186" t="s">
        <v>191</v>
      </c>
      <c r="F186">
        <v>8000</v>
      </c>
      <c r="G186" t="s">
        <v>47</v>
      </c>
      <c r="H186" t="s">
        <v>31</v>
      </c>
      <c r="I186" t="b">
        <v>1</v>
      </c>
      <c r="J186">
        <v>3</v>
      </c>
    </row>
    <row r="187" spans="1:25" x14ac:dyDescent="0.3">
      <c r="A187" t="s">
        <v>312</v>
      </c>
      <c r="B187" t="s">
        <v>101</v>
      </c>
      <c r="C187" t="s">
        <v>313</v>
      </c>
      <c r="D187" t="s">
        <v>314</v>
      </c>
      <c r="E187" t="s">
        <v>135</v>
      </c>
      <c r="F187">
        <v>1200</v>
      </c>
      <c r="G187" t="s">
        <v>39</v>
      </c>
      <c r="H187" t="s">
        <v>31</v>
      </c>
      <c r="I187" t="b">
        <v>1</v>
      </c>
      <c r="J187">
        <v>1</v>
      </c>
      <c r="P187" t="s">
        <v>136</v>
      </c>
      <c r="Q187">
        <v>25.3</v>
      </c>
      <c r="R187">
        <v>6</v>
      </c>
      <c r="S187" t="s">
        <v>41</v>
      </c>
      <c r="T187">
        <v>64.5</v>
      </c>
      <c r="U187">
        <v>0.317</v>
      </c>
      <c r="V187">
        <v>45950</v>
      </c>
      <c r="W187">
        <v>8.7999999999999995E-2</v>
      </c>
      <c r="X187">
        <v>2.8000000000000001E-2</v>
      </c>
      <c r="Y187">
        <v>0.83399999999999996</v>
      </c>
    </row>
    <row r="188" spans="1:25" x14ac:dyDescent="0.3">
      <c r="A188" t="s">
        <v>315</v>
      </c>
      <c r="B188" t="s">
        <v>316</v>
      </c>
      <c r="C188" t="s">
        <v>317</v>
      </c>
      <c r="D188" t="s">
        <v>318</v>
      </c>
      <c r="E188" t="s">
        <v>319</v>
      </c>
      <c r="F188">
        <v>12000</v>
      </c>
      <c r="G188" t="s">
        <v>47</v>
      </c>
      <c r="H188" t="s">
        <v>31</v>
      </c>
      <c r="I188" t="b">
        <v>1</v>
      </c>
      <c r="J188">
        <v>4</v>
      </c>
    </row>
    <row r="189" spans="1:25" x14ac:dyDescent="0.3">
      <c r="A189" t="s">
        <v>321</v>
      </c>
      <c r="B189" t="s">
        <v>298</v>
      </c>
      <c r="C189" t="s">
        <v>322</v>
      </c>
      <c r="D189" t="s">
        <v>323</v>
      </c>
      <c r="E189" t="s">
        <v>157</v>
      </c>
      <c r="G189" t="s">
        <v>39</v>
      </c>
      <c r="H189" t="s">
        <v>73</v>
      </c>
      <c r="I189" t="b">
        <v>1</v>
      </c>
      <c r="J189">
        <v>2</v>
      </c>
    </row>
    <row r="190" spans="1:25" x14ac:dyDescent="0.3">
      <c r="A190" t="s">
        <v>324</v>
      </c>
      <c r="B190" t="s">
        <v>280</v>
      </c>
      <c r="C190" t="s">
        <v>325</v>
      </c>
      <c r="D190" t="s">
        <v>326</v>
      </c>
      <c r="E190" t="s">
        <v>38</v>
      </c>
      <c r="G190" t="s">
        <v>67</v>
      </c>
      <c r="H190" t="s">
        <v>73</v>
      </c>
      <c r="I190" t="b">
        <v>1</v>
      </c>
      <c r="J190">
        <v>3</v>
      </c>
      <c r="P190" t="s">
        <v>40</v>
      </c>
      <c r="Q190">
        <v>22.8</v>
      </c>
      <c r="R190">
        <v>7</v>
      </c>
      <c r="S190" t="s">
        <v>41</v>
      </c>
      <c r="T190">
        <v>68.5</v>
      </c>
      <c r="U190">
        <v>0.26200000000000001</v>
      </c>
      <c r="V190">
        <v>49000</v>
      </c>
      <c r="W190">
        <v>0.11700000000000001</v>
      </c>
      <c r="X190">
        <v>3.0599999999999999E-2</v>
      </c>
      <c r="Y190">
        <v>0.85799999999999998</v>
      </c>
    </row>
    <row r="191" spans="1:25" x14ac:dyDescent="0.3">
      <c r="A191" t="s">
        <v>327</v>
      </c>
      <c r="B191" t="s">
        <v>101</v>
      </c>
      <c r="C191" t="s">
        <v>328</v>
      </c>
      <c r="D191" t="s">
        <v>314</v>
      </c>
      <c r="E191" t="s">
        <v>135</v>
      </c>
      <c r="F191">
        <v>1500</v>
      </c>
      <c r="G191" t="s">
        <v>39</v>
      </c>
      <c r="H191" t="s">
        <v>31</v>
      </c>
      <c r="I191" t="b">
        <v>1</v>
      </c>
      <c r="J191">
        <v>1</v>
      </c>
      <c r="K191">
        <v>1</v>
      </c>
      <c r="L191">
        <v>0</v>
      </c>
      <c r="M191">
        <v>0</v>
      </c>
      <c r="N191">
        <v>15</v>
      </c>
      <c r="O191">
        <v>1</v>
      </c>
      <c r="P191" t="s">
        <v>136</v>
      </c>
      <c r="Q191">
        <v>25.3</v>
      </c>
      <c r="R191">
        <v>6</v>
      </c>
      <c r="S191" t="s">
        <v>41</v>
      </c>
      <c r="T191">
        <v>64.5</v>
      </c>
      <c r="U191">
        <v>0.317</v>
      </c>
      <c r="V191">
        <v>45950</v>
      </c>
      <c r="W191">
        <v>8.7999999999999995E-2</v>
      </c>
      <c r="X191">
        <v>2.8000000000000001E-2</v>
      </c>
      <c r="Y191">
        <v>0.83399999999999996</v>
      </c>
    </row>
    <row r="192" spans="1:25" x14ac:dyDescent="0.3">
      <c r="A192" t="s">
        <v>329</v>
      </c>
      <c r="B192" t="s">
        <v>51</v>
      </c>
      <c r="C192" t="s">
        <v>330</v>
      </c>
      <c r="D192" t="s">
        <v>94</v>
      </c>
      <c r="E192" t="s">
        <v>54</v>
      </c>
      <c r="F192">
        <v>60000</v>
      </c>
      <c r="G192" t="s">
        <v>47</v>
      </c>
      <c r="H192" t="s">
        <v>48</v>
      </c>
      <c r="I192" t="b">
        <v>1</v>
      </c>
      <c r="J192">
        <v>4</v>
      </c>
      <c r="K192">
        <v>0</v>
      </c>
      <c r="L192">
        <v>0</v>
      </c>
      <c r="M192">
        <v>4</v>
      </c>
      <c r="N192">
        <v>71</v>
      </c>
      <c r="O192">
        <v>0.224</v>
      </c>
      <c r="P192" t="s">
        <v>55</v>
      </c>
      <c r="Q192">
        <v>92</v>
      </c>
      <c r="R192">
        <v>2</v>
      </c>
      <c r="S192" t="s">
        <v>33</v>
      </c>
      <c r="T192">
        <v>69</v>
      </c>
      <c r="U192">
        <v>0.254</v>
      </c>
      <c r="V192">
        <v>71000</v>
      </c>
      <c r="W192">
        <v>0.35499999999999998</v>
      </c>
      <c r="X192">
        <v>9.0200000000000002E-2</v>
      </c>
      <c r="Y192">
        <v>0.82799999999999996</v>
      </c>
    </row>
    <row r="193" spans="1:25" x14ac:dyDescent="0.3">
      <c r="A193" t="s">
        <v>331</v>
      </c>
      <c r="B193" t="s">
        <v>256</v>
      </c>
      <c r="C193" t="s">
        <v>332</v>
      </c>
      <c r="D193" t="s">
        <v>53</v>
      </c>
      <c r="E193" t="s">
        <v>54</v>
      </c>
      <c r="G193" t="s">
        <v>47</v>
      </c>
      <c r="H193" t="s">
        <v>31</v>
      </c>
      <c r="I193" t="b">
        <v>1</v>
      </c>
      <c r="J193">
        <v>1</v>
      </c>
      <c r="K193">
        <v>0</v>
      </c>
      <c r="L193">
        <v>0</v>
      </c>
      <c r="M193">
        <v>1</v>
      </c>
      <c r="N193">
        <v>78</v>
      </c>
      <c r="O193">
        <v>0.15</v>
      </c>
      <c r="P193" t="s">
        <v>55</v>
      </c>
      <c r="Q193">
        <v>92</v>
      </c>
      <c r="R193">
        <v>2</v>
      </c>
      <c r="S193" t="s">
        <v>33</v>
      </c>
      <c r="T193">
        <v>69</v>
      </c>
      <c r="U193">
        <v>0.254</v>
      </c>
      <c r="V193">
        <v>71000</v>
      </c>
      <c r="W193">
        <v>0.35499999999999998</v>
      </c>
      <c r="X193">
        <v>9.0200000000000002E-2</v>
      </c>
      <c r="Y193">
        <v>0.82799999999999996</v>
      </c>
    </row>
    <row r="194" spans="1:25" x14ac:dyDescent="0.3">
      <c r="A194" t="s">
        <v>333</v>
      </c>
      <c r="B194" t="s">
        <v>111</v>
      </c>
      <c r="C194" t="s">
        <v>334</v>
      </c>
      <c r="D194" t="s">
        <v>113</v>
      </c>
      <c r="E194" t="s">
        <v>114</v>
      </c>
      <c r="F194">
        <v>4500</v>
      </c>
      <c r="G194" t="s">
        <v>30</v>
      </c>
      <c r="H194" t="s">
        <v>31</v>
      </c>
      <c r="I194" t="b">
        <v>1</v>
      </c>
      <c r="J194">
        <v>2</v>
      </c>
      <c r="K194">
        <v>0</v>
      </c>
      <c r="L194">
        <v>0</v>
      </c>
      <c r="M194">
        <v>2</v>
      </c>
      <c r="N194">
        <v>64.5</v>
      </c>
      <c r="O194">
        <v>0.29699999999999999</v>
      </c>
      <c r="P194" t="s">
        <v>113</v>
      </c>
      <c r="Q194">
        <v>4.3</v>
      </c>
      <c r="R194">
        <v>14</v>
      </c>
      <c r="S194" t="s">
        <v>41</v>
      </c>
      <c r="T194">
        <v>64.5</v>
      </c>
      <c r="U194">
        <v>0.29699999999999999</v>
      </c>
      <c r="V194">
        <v>4000</v>
      </c>
      <c r="W194">
        <v>1.2999999999999999E-2</v>
      </c>
      <c r="X194">
        <v>4.0000000000000001E-3</v>
      </c>
      <c r="Y194">
        <v>0.67300000000000004</v>
      </c>
    </row>
    <row r="195" spans="1:25" x14ac:dyDescent="0.3">
      <c r="A195" t="s">
        <v>335</v>
      </c>
      <c r="B195" t="s">
        <v>336</v>
      </c>
      <c r="C195" t="s">
        <v>337</v>
      </c>
      <c r="D195" t="s">
        <v>338</v>
      </c>
      <c r="E195" t="s">
        <v>141</v>
      </c>
      <c r="G195" t="s">
        <v>47</v>
      </c>
      <c r="H195" t="s">
        <v>31</v>
      </c>
      <c r="I195" t="b">
        <v>1</v>
      </c>
      <c r="J195">
        <v>3</v>
      </c>
      <c r="K195">
        <v>0</v>
      </c>
      <c r="L195">
        <v>0</v>
      </c>
      <c r="M195">
        <v>3</v>
      </c>
      <c r="N195">
        <v>77.3</v>
      </c>
      <c r="O195">
        <v>0.156</v>
      </c>
      <c r="P195" t="s">
        <v>142</v>
      </c>
      <c r="Q195">
        <v>11.7</v>
      </c>
      <c r="R195">
        <v>11</v>
      </c>
      <c r="S195" t="s">
        <v>41</v>
      </c>
      <c r="T195">
        <v>78.3</v>
      </c>
      <c r="U195">
        <v>0.14899999999999999</v>
      </c>
      <c r="V195">
        <v>10250</v>
      </c>
      <c r="W195">
        <v>4.7E-2</v>
      </c>
      <c r="X195">
        <v>6.8999999999999999E-3</v>
      </c>
      <c r="Y195">
        <v>0.64500000000000002</v>
      </c>
    </row>
    <row r="196" spans="1:25" x14ac:dyDescent="0.3">
      <c r="A196" t="s">
        <v>339</v>
      </c>
      <c r="B196" t="s">
        <v>81</v>
      </c>
      <c r="C196" t="s">
        <v>340</v>
      </c>
      <c r="D196" t="s">
        <v>341</v>
      </c>
      <c r="E196" t="s">
        <v>60</v>
      </c>
      <c r="G196" t="s">
        <v>39</v>
      </c>
      <c r="H196" t="s">
        <v>73</v>
      </c>
      <c r="I196" t="b">
        <v>1</v>
      </c>
      <c r="J196">
        <v>2</v>
      </c>
      <c r="K196">
        <v>0</v>
      </c>
      <c r="L196">
        <v>0</v>
      </c>
      <c r="M196">
        <v>2</v>
      </c>
      <c r="N196">
        <v>74.5</v>
      </c>
      <c r="O196">
        <v>0.20899999999999999</v>
      </c>
      <c r="P196" t="s">
        <v>61</v>
      </c>
      <c r="Q196">
        <v>11.7</v>
      </c>
      <c r="R196">
        <v>10</v>
      </c>
      <c r="S196" t="s">
        <v>41</v>
      </c>
      <c r="T196">
        <v>68</v>
      </c>
      <c r="U196">
        <v>0.27500000000000002</v>
      </c>
      <c r="V196">
        <v>11050</v>
      </c>
      <c r="W196">
        <v>6.0999999999999999E-2</v>
      </c>
      <c r="X196">
        <v>1.6899999999999998E-2</v>
      </c>
      <c r="Y196">
        <v>0.85399999999999998</v>
      </c>
    </row>
    <row r="197" spans="1:25" x14ac:dyDescent="0.3">
      <c r="A197" t="s">
        <v>342</v>
      </c>
      <c r="B197" t="s">
        <v>81</v>
      </c>
      <c r="C197" t="s">
        <v>343</v>
      </c>
      <c r="D197" t="s">
        <v>83</v>
      </c>
      <c r="E197" t="s">
        <v>60</v>
      </c>
      <c r="F197">
        <v>6000</v>
      </c>
      <c r="G197" t="s">
        <v>47</v>
      </c>
      <c r="H197" t="s">
        <v>31</v>
      </c>
      <c r="I197" t="b">
        <v>1</v>
      </c>
      <c r="J197">
        <v>4</v>
      </c>
      <c r="K197">
        <v>0</v>
      </c>
      <c r="L197">
        <v>0</v>
      </c>
      <c r="M197">
        <v>4</v>
      </c>
      <c r="N197">
        <v>69.400000000000006</v>
      </c>
      <c r="O197">
        <v>0.24099999999999999</v>
      </c>
      <c r="P197" t="s">
        <v>61</v>
      </c>
      <c r="Q197">
        <v>11.7</v>
      </c>
      <c r="R197">
        <v>10</v>
      </c>
      <c r="S197" t="s">
        <v>41</v>
      </c>
      <c r="T197">
        <v>68</v>
      </c>
      <c r="U197">
        <v>0.27500000000000002</v>
      </c>
      <c r="V197">
        <v>11050</v>
      </c>
      <c r="W197">
        <v>6.0999999999999999E-2</v>
      </c>
      <c r="X197">
        <v>1.6899999999999998E-2</v>
      </c>
      <c r="Y197">
        <v>0.85399999999999998</v>
      </c>
    </row>
    <row r="198" spans="1:25" x14ac:dyDescent="0.3">
      <c r="A198" t="s">
        <v>344</v>
      </c>
      <c r="B198" t="s">
        <v>51</v>
      </c>
      <c r="C198" t="s">
        <v>26</v>
      </c>
      <c r="D198" t="s">
        <v>28</v>
      </c>
      <c r="E198" t="s">
        <v>29</v>
      </c>
      <c r="F198">
        <v>3300</v>
      </c>
      <c r="G198" t="s">
        <v>30</v>
      </c>
      <c r="H198" t="s">
        <v>31</v>
      </c>
      <c r="I198" t="b">
        <v>1</v>
      </c>
      <c r="J198">
        <v>3</v>
      </c>
    </row>
    <row r="199" spans="1:25" x14ac:dyDescent="0.3">
      <c r="A199" t="s">
        <v>345</v>
      </c>
      <c r="B199" t="s">
        <v>147</v>
      </c>
      <c r="C199" t="s">
        <v>346</v>
      </c>
      <c r="D199" t="s">
        <v>118</v>
      </c>
      <c r="E199" t="s">
        <v>119</v>
      </c>
      <c r="G199" t="s">
        <v>47</v>
      </c>
      <c r="H199" t="s">
        <v>48</v>
      </c>
      <c r="I199" t="b">
        <v>1</v>
      </c>
      <c r="J199">
        <v>1</v>
      </c>
      <c r="P199" t="s">
        <v>120</v>
      </c>
      <c r="Q199">
        <v>27.8</v>
      </c>
      <c r="R199">
        <v>5</v>
      </c>
      <c r="S199" t="s">
        <v>41</v>
      </c>
      <c r="T199">
        <v>73.900000000000006</v>
      </c>
      <c r="U199">
        <v>0.20599999999999999</v>
      </c>
      <c r="V199">
        <v>19750</v>
      </c>
      <c r="W199">
        <v>7.9000000000000001E-2</v>
      </c>
      <c r="X199">
        <v>1.6299999999999999E-2</v>
      </c>
      <c r="Y199">
        <v>0.68600000000000005</v>
      </c>
    </row>
    <row r="200" spans="1:25" x14ac:dyDescent="0.3">
      <c r="A200" t="s">
        <v>347</v>
      </c>
      <c r="B200" t="s">
        <v>228</v>
      </c>
      <c r="C200" t="s">
        <v>348</v>
      </c>
      <c r="D200" t="s">
        <v>349</v>
      </c>
      <c r="E200" t="s">
        <v>168</v>
      </c>
      <c r="G200" t="s">
        <v>39</v>
      </c>
      <c r="H200" t="s">
        <v>73</v>
      </c>
      <c r="I200" t="b">
        <v>1</v>
      </c>
      <c r="J200">
        <v>1</v>
      </c>
      <c r="P200" t="s">
        <v>169</v>
      </c>
      <c r="Q200">
        <v>67.900000000000006</v>
      </c>
      <c r="R200">
        <v>4</v>
      </c>
      <c r="S200" t="s">
        <v>33</v>
      </c>
      <c r="T200">
        <v>59.1</v>
      </c>
      <c r="U200">
        <v>0.42099999999999999</v>
      </c>
      <c r="V200">
        <v>17250</v>
      </c>
      <c r="W200">
        <v>0.13300000000000001</v>
      </c>
      <c r="X200">
        <v>5.5899999999999998E-2</v>
      </c>
      <c r="Y200">
        <v>0.79200000000000004</v>
      </c>
    </row>
    <row r="201" spans="1:25" x14ac:dyDescent="0.3">
      <c r="A201" t="s">
        <v>350</v>
      </c>
      <c r="B201" t="s">
        <v>238</v>
      </c>
      <c r="C201" t="s">
        <v>351</v>
      </c>
      <c r="D201" t="s">
        <v>240</v>
      </c>
      <c r="E201" t="s">
        <v>141</v>
      </c>
      <c r="F201">
        <v>3000</v>
      </c>
      <c r="G201" t="s">
        <v>30</v>
      </c>
      <c r="H201" t="s">
        <v>31</v>
      </c>
      <c r="I201" t="b">
        <v>1</v>
      </c>
      <c r="J201">
        <v>3</v>
      </c>
      <c r="P201" t="s">
        <v>142</v>
      </c>
      <c r="Q201">
        <v>11.7</v>
      </c>
      <c r="R201">
        <v>11</v>
      </c>
      <c r="S201" t="s">
        <v>41</v>
      </c>
      <c r="T201">
        <v>78.3</v>
      </c>
      <c r="U201">
        <v>0.14899999999999999</v>
      </c>
      <c r="V201">
        <v>10250</v>
      </c>
      <c r="W201">
        <v>4.7E-2</v>
      </c>
      <c r="X201">
        <v>6.8999999999999999E-3</v>
      </c>
      <c r="Y201">
        <v>0.64500000000000002</v>
      </c>
    </row>
    <row r="202" spans="1:25" x14ac:dyDescent="0.3">
      <c r="A202" t="s">
        <v>352</v>
      </c>
      <c r="B202" t="s">
        <v>165</v>
      </c>
      <c r="C202" t="s">
        <v>353</v>
      </c>
      <c r="D202" t="s">
        <v>354</v>
      </c>
      <c r="E202" t="s">
        <v>168</v>
      </c>
      <c r="G202" t="s">
        <v>39</v>
      </c>
      <c r="H202" t="s">
        <v>73</v>
      </c>
      <c r="I202" t="b">
        <v>1</v>
      </c>
      <c r="J202">
        <v>2</v>
      </c>
      <c r="K202">
        <v>0</v>
      </c>
      <c r="L202">
        <v>1</v>
      </c>
      <c r="M202">
        <v>1</v>
      </c>
      <c r="N202">
        <v>83.2</v>
      </c>
      <c r="O202">
        <v>0.11799999999999999</v>
      </c>
      <c r="P202" t="s">
        <v>169</v>
      </c>
      <c r="Q202">
        <v>67.900000000000006</v>
      </c>
      <c r="R202">
        <v>4</v>
      </c>
      <c r="S202" t="s">
        <v>33</v>
      </c>
      <c r="T202">
        <v>59.1</v>
      </c>
      <c r="U202">
        <v>0.42099999999999999</v>
      </c>
      <c r="V202">
        <v>17250</v>
      </c>
      <c r="W202">
        <v>0.13300000000000001</v>
      </c>
      <c r="X202">
        <v>5.5899999999999998E-2</v>
      </c>
      <c r="Y202">
        <v>0.79200000000000004</v>
      </c>
    </row>
    <row r="203" spans="1:25" x14ac:dyDescent="0.3">
      <c r="A203" t="s">
        <v>355</v>
      </c>
      <c r="B203" t="s">
        <v>116</v>
      </c>
      <c r="C203" t="s">
        <v>356</v>
      </c>
      <c r="D203" t="s">
        <v>118</v>
      </c>
      <c r="E203" t="s">
        <v>119</v>
      </c>
      <c r="F203">
        <v>10000</v>
      </c>
      <c r="G203" t="s">
        <v>47</v>
      </c>
      <c r="H203" t="s">
        <v>31</v>
      </c>
      <c r="I203" t="b">
        <v>1</v>
      </c>
      <c r="J203">
        <v>1</v>
      </c>
      <c r="P203" t="s">
        <v>120</v>
      </c>
      <c r="Q203">
        <v>27.8</v>
      </c>
      <c r="R203">
        <v>5</v>
      </c>
      <c r="S203" t="s">
        <v>41</v>
      </c>
      <c r="T203">
        <v>73.900000000000006</v>
      </c>
      <c r="U203">
        <v>0.20599999999999999</v>
      </c>
      <c r="V203">
        <v>19750</v>
      </c>
      <c r="W203">
        <v>7.9000000000000001E-2</v>
      </c>
      <c r="X203">
        <v>1.6299999999999999E-2</v>
      </c>
      <c r="Y203">
        <v>0.68600000000000005</v>
      </c>
    </row>
    <row r="204" spans="1:25" x14ac:dyDescent="0.3">
      <c r="A204" t="s">
        <v>357</v>
      </c>
      <c r="B204" t="s">
        <v>358</v>
      </c>
      <c r="C204" t="s">
        <v>359</v>
      </c>
      <c r="D204" t="s">
        <v>360</v>
      </c>
      <c r="E204" t="s">
        <v>361</v>
      </c>
      <c r="F204">
        <v>6000</v>
      </c>
      <c r="G204" t="s">
        <v>47</v>
      </c>
      <c r="H204" t="s">
        <v>31</v>
      </c>
      <c r="I204" t="b">
        <v>1</v>
      </c>
      <c r="J204">
        <v>3</v>
      </c>
      <c r="K204">
        <v>0</v>
      </c>
      <c r="L204">
        <v>0</v>
      </c>
      <c r="M204">
        <v>3</v>
      </c>
      <c r="N204">
        <v>66.7</v>
      </c>
      <c r="O204">
        <v>0.28299999999999997</v>
      </c>
      <c r="P204" t="s">
        <v>362</v>
      </c>
      <c r="Q204">
        <v>0</v>
      </c>
      <c r="R204">
        <v>15</v>
      </c>
      <c r="S204" t="s">
        <v>41</v>
      </c>
      <c r="T204">
        <v>66.7</v>
      </c>
      <c r="U204">
        <v>0.28299999999999997</v>
      </c>
      <c r="V204">
        <v>3500</v>
      </c>
      <c r="W204">
        <v>1.2999999999999999E-2</v>
      </c>
      <c r="X204">
        <v>3.5000000000000001E-3</v>
      </c>
      <c r="Y204">
        <v>0.83199999999999996</v>
      </c>
    </row>
    <row r="205" spans="1:25" x14ac:dyDescent="0.3">
      <c r="A205" t="s">
        <v>363</v>
      </c>
      <c r="B205" t="s">
        <v>364</v>
      </c>
      <c r="C205" t="s">
        <v>365</v>
      </c>
      <c r="D205" t="s">
        <v>366</v>
      </c>
      <c r="E205" t="s">
        <v>66</v>
      </c>
      <c r="F205">
        <v>1200</v>
      </c>
      <c r="G205" t="s">
        <v>39</v>
      </c>
      <c r="H205" t="s">
        <v>31</v>
      </c>
      <c r="I205" t="b">
        <v>1</v>
      </c>
      <c r="J205">
        <v>3</v>
      </c>
    </row>
    <row r="206" spans="1:25" x14ac:dyDescent="0.3">
      <c r="A206" t="s">
        <v>367</v>
      </c>
      <c r="B206" t="s">
        <v>51</v>
      </c>
      <c r="C206" t="s">
        <v>368</v>
      </c>
      <c r="D206" t="s">
        <v>162</v>
      </c>
      <c r="E206" t="s">
        <v>163</v>
      </c>
      <c r="F206">
        <v>300</v>
      </c>
      <c r="G206" t="s">
        <v>67</v>
      </c>
      <c r="H206" t="s">
        <v>31</v>
      </c>
      <c r="I206" t="b">
        <v>1</v>
      </c>
      <c r="J206">
        <v>1</v>
      </c>
      <c r="P206" t="s">
        <v>162</v>
      </c>
      <c r="Q206">
        <v>7.4</v>
      </c>
      <c r="R206">
        <v>13</v>
      </c>
      <c r="S206" t="s">
        <v>41</v>
      </c>
      <c r="T206">
        <v>73.8</v>
      </c>
      <c r="U206">
        <v>0.21199999999999999</v>
      </c>
      <c r="V206">
        <v>5050</v>
      </c>
      <c r="W206">
        <v>4.2000000000000003E-2</v>
      </c>
      <c r="X206">
        <v>8.8999999999999999E-3</v>
      </c>
      <c r="Y206">
        <v>0.80100000000000005</v>
      </c>
    </row>
    <row r="207" spans="1:25" x14ac:dyDescent="0.3">
      <c r="A207" t="s">
        <v>369</v>
      </c>
      <c r="B207" t="s">
        <v>271</v>
      </c>
      <c r="C207" t="s">
        <v>370</v>
      </c>
      <c r="D207" t="s">
        <v>371</v>
      </c>
      <c r="E207" t="s">
        <v>125</v>
      </c>
      <c r="G207" t="s">
        <v>30</v>
      </c>
      <c r="H207" t="s">
        <v>31</v>
      </c>
      <c r="I207" t="b">
        <v>1</v>
      </c>
      <c r="J207">
        <v>3</v>
      </c>
      <c r="K207">
        <v>0</v>
      </c>
      <c r="L207">
        <v>0</v>
      </c>
      <c r="M207">
        <v>3</v>
      </c>
      <c r="N207">
        <v>61</v>
      </c>
      <c r="O207">
        <v>0.41899999999999998</v>
      </c>
      <c r="P207" t="s">
        <v>126</v>
      </c>
      <c r="Q207">
        <v>69.8</v>
      </c>
      <c r="R207">
        <v>3</v>
      </c>
      <c r="S207" t="s">
        <v>33</v>
      </c>
      <c r="T207">
        <v>64.8</v>
      </c>
      <c r="U207">
        <v>0.32200000000000001</v>
      </c>
      <c r="V207">
        <v>7500</v>
      </c>
      <c r="W207">
        <v>7.9000000000000001E-2</v>
      </c>
      <c r="X207">
        <v>2.5399999999999999E-2</v>
      </c>
      <c r="Y207">
        <v>0.53300000000000003</v>
      </c>
    </row>
    <row r="208" spans="1:25" x14ac:dyDescent="0.3">
      <c r="A208" t="s">
        <v>372</v>
      </c>
      <c r="B208" t="s">
        <v>165</v>
      </c>
      <c r="C208" t="s">
        <v>373</v>
      </c>
      <c r="D208" t="s">
        <v>260</v>
      </c>
      <c r="E208" t="s">
        <v>88</v>
      </c>
      <c r="G208" t="s">
        <v>39</v>
      </c>
      <c r="H208" t="s">
        <v>73</v>
      </c>
      <c r="I208" t="b">
        <v>1</v>
      </c>
      <c r="J208">
        <v>3</v>
      </c>
    </row>
    <row r="209" spans="1:25" x14ac:dyDescent="0.3">
      <c r="A209" t="s">
        <v>374</v>
      </c>
      <c r="B209" t="s">
        <v>105</v>
      </c>
      <c r="C209" t="s">
        <v>375</v>
      </c>
      <c r="D209" t="s">
        <v>376</v>
      </c>
      <c r="E209" t="s">
        <v>108</v>
      </c>
      <c r="G209" t="s">
        <v>30</v>
      </c>
      <c r="H209" t="s">
        <v>31</v>
      </c>
      <c r="I209" t="b">
        <v>1</v>
      </c>
      <c r="J209">
        <v>2</v>
      </c>
      <c r="K209">
        <v>0</v>
      </c>
      <c r="L209">
        <v>0</v>
      </c>
      <c r="M209">
        <v>2</v>
      </c>
      <c r="N209">
        <v>75.5</v>
      </c>
      <c r="O209">
        <v>0.191</v>
      </c>
      <c r="P209" t="s">
        <v>109</v>
      </c>
      <c r="Q209">
        <v>100</v>
      </c>
      <c r="R209">
        <v>1</v>
      </c>
      <c r="S209" t="s">
        <v>33</v>
      </c>
      <c r="T209">
        <v>73.3</v>
      </c>
      <c r="U209">
        <v>0.20300000000000001</v>
      </c>
      <c r="V209">
        <v>25000</v>
      </c>
      <c r="W209">
        <v>0.22700000000000001</v>
      </c>
      <c r="X209">
        <v>4.6100000000000002E-2</v>
      </c>
      <c r="Y209">
        <v>0.63600000000000001</v>
      </c>
    </row>
    <row r="210" spans="1:25" x14ac:dyDescent="0.3">
      <c r="A210" t="s">
        <v>377</v>
      </c>
      <c r="B210" t="s">
        <v>111</v>
      </c>
      <c r="C210" t="s">
        <v>378</v>
      </c>
      <c r="D210" t="s">
        <v>113</v>
      </c>
      <c r="E210" t="s">
        <v>114</v>
      </c>
      <c r="F210">
        <v>4000</v>
      </c>
      <c r="G210" t="s">
        <v>30</v>
      </c>
      <c r="H210" t="s">
        <v>31</v>
      </c>
      <c r="I210" t="b">
        <v>1</v>
      </c>
      <c r="J210">
        <v>2</v>
      </c>
      <c r="P210" t="s">
        <v>113</v>
      </c>
      <c r="Q210">
        <v>4.3</v>
      </c>
      <c r="R210">
        <v>14</v>
      </c>
      <c r="S210" t="s">
        <v>41</v>
      </c>
      <c r="T210">
        <v>64.5</v>
      </c>
      <c r="U210">
        <v>0.29699999999999999</v>
      </c>
      <c r="V210">
        <v>4000</v>
      </c>
      <c r="W210">
        <v>1.2999999999999999E-2</v>
      </c>
      <c r="X210">
        <v>4.0000000000000001E-3</v>
      </c>
      <c r="Y210">
        <v>0.67300000000000004</v>
      </c>
    </row>
    <row r="211" spans="1:25" x14ac:dyDescent="0.3">
      <c r="A211" t="s">
        <v>379</v>
      </c>
      <c r="B211" t="s">
        <v>75</v>
      </c>
      <c r="C211" t="s">
        <v>380</v>
      </c>
      <c r="D211" t="s">
        <v>246</v>
      </c>
      <c r="E211" t="s">
        <v>78</v>
      </c>
      <c r="G211" t="s">
        <v>30</v>
      </c>
      <c r="H211" t="s">
        <v>73</v>
      </c>
      <c r="I211" t="b">
        <v>1</v>
      </c>
      <c r="J211">
        <v>4</v>
      </c>
      <c r="P211" t="s">
        <v>79</v>
      </c>
      <c r="Q211">
        <v>16.7</v>
      </c>
      <c r="R211">
        <v>9</v>
      </c>
      <c r="S211" t="s">
        <v>41</v>
      </c>
      <c r="T211">
        <v>58.4</v>
      </c>
      <c r="U211">
        <v>0.42299999999999999</v>
      </c>
      <c r="V211">
        <v>3500</v>
      </c>
      <c r="W211">
        <v>2.1999999999999999E-2</v>
      </c>
      <c r="X211">
        <v>9.2999999999999992E-3</v>
      </c>
      <c r="Y211">
        <v>0.64</v>
      </c>
    </row>
    <row r="212" spans="1:25" x14ac:dyDescent="0.3">
      <c r="A212" t="s">
        <v>381</v>
      </c>
      <c r="B212" t="s">
        <v>232</v>
      </c>
      <c r="C212" t="s">
        <v>382</v>
      </c>
      <c r="D212" t="s">
        <v>383</v>
      </c>
      <c r="E212" t="s">
        <v>235</v>
      </c>
      <c r="F212">
        <v>3500</v>
      </c>
      <c r="G212" t="s">
        <v>30</v>
      </c>
      <c r="H212" t="s">
        <v>31</v>
      </c>
      <c r="I212" t="b">
        <v>1</v>
      </c>
      <c r="J212">
        <v>4</v>
      </c>
    </row>
    <row r="213" spans="1:25" x14ac:dyDescent="0.3">
      <c r="A213" t="s">
        <v>384</v>
      </c>
      <c r="B213" t="s">
        <v>385</v>
      </c>
      <c r="C213" t="s">
        <v>386</v>
      </c>
      <c r="D213" t="s">
        <v>387</v>
      </c>
      <c r="E213" t="s">
        <v>168</v>
      </c>
      <c r="G213" t="s">
        <v>67</v>
      </c>
      <c r="H213" t="s">
        <v>73</v>
      </c>
      <c r="I213" t="b">
        <v>1</v>
      </c>
      <c r="J213">
        <v>3</v>
      </c>
      <c r="K213">
        <v>1</v>
      </c>
      <c r="L213">
        <v>0</v>
      </c>
      <c r="M213">
        <v>2</v>
      </c>
      <c r="N213">
        <v>50</v>
      </c>
      <c r="O213">
        <v>0.53300000000000003</v>
      </c>
      <c r="P213" t="s">
        <v>169</v>
      </c>
      <c r="Q213">
        <v>67.900000000000006</v>
      </c>
      <c r="R213">
        <v>4</v>
      </c>
      <c r="S213" t="s">
        <v>33</v>
      </c>
      <c r="T213">
        <v>59.1</v>
      </c>
      <c r="U213">
        <v>0.42099999999999999</v>
      </c>
      <c r="V213">
        <v>17250</v>
      </c>
      <c r="W213">
        <v>0.13300000000000001</v>
      </c>
      <c r="X213">
        <v>5.5899999999999998E-2</v>
      </c>
      <c r="Y213">
        <v>0.79200000000000004</v>
      </c>
    </row>
    <row r="214" spans="1:25" x14ac:dyDescent="0.3">
      <c r="A214" t="s">
        <v>388</v>
      </c>
      <c r="B214" t="s">
        <v>101</v>
      </c>
      <c r="C214" t="s">
        <v>389</v>
      </c>
      <c r="D214" t="s">
        <v>390</v>
      </c>
      <c r="E214" t="s">
        <v>135</v>
      </c>
      <c r="F214">
        <v>30000</v>
      </c>
      <c r="G214" t="s">
        <v>47</v>
      </c>
      <c r="H214" t="s">
        <v>31</v>
      </c>
      <c r="I214" t="b">
        <v>1</v>
      </c>
      <c r="J214">
        <v>3</v>
      </c>
      <c r="K214">
        <v>0</v>
      </c>
      <c r="L214">
        <v>0</v>
      </c>
      <c r="M214">
        <v>3</v>
      </c>
      <c r="N214">
        <v>70</v>
      </c>
      <c r="O214">
        <v>0.23</v>
      </c>
      <c r="P214" t="s">
        <v>136</v>
      </c>
      <c r="Q214">
        <v>25.3</v>
      </c>
      <c r="R214">
        <v>6</v>
      </c>
      <c r="S214" t="s">
        <v>41</v>
      </c>
      <c r="T214">
        <v>64.5</v>
      </c>
      <c r="U214">
        <v>0.317</v>
      </c>
      <c r="V214">
        <v>45950</v>
      </c>
      <c r="W214">
        <v>8.7999999999999995E-2</v>
      </c>
      <c r="X214">
        <v>2.8000000000000001E-2</v>
      </c>
      <c r="Y214">
        <v>0.83399999999999996</v>
      </c>
    </row>
    <row r="215" spans="1:25" x14ac:dyDescent="0.3">
      <c r="A215" t="s">
        <v>391</v>
      </c>
      <c r="B215" t="s">
        <v>289</v>
      </c>
      <c r="C215" t="s">
        <v>392</v>
      </c>
      <c r="D215" t="s">
        <v>136</v>
      </c>
      <c r="E215" t="s">
        <v>135</v>
      </c>
      <c r="G215" t="s">
        <v>39</v>
      </c>
      <c r="H215" t="s">
        <v>73</v>
      </c>
      <c r="I215" t="b">
        <v>1</v>
      </c>
      <c r="J215">
        <v>1</v>
      </c>
      <c r="P215" t="s">
        <v>136</v>
      </c>
      <c r="Q215">
        <v>25.3</v>
      </c>
      <c r="R215">
        <v>6</v>
      </c>
      <c r="S215" t="s">
        <v>41</v>
      </c>
      <c r="T215">
        <v>64.5</v>
      </c>
      <c r="U215">
        <v>0.317</v>
      </c>
      <c r="V215">
        <v>45950</v>
      </c>
      <c r="W215">
        <v>8.7999999999999995E-2</v>
      </c>
      <c r="X215">
        <v>2.8000000000000001E-2</v>
      </c>
      <c r="Y215">
        <v>0.83399999999999996</v>
      </c>
    </row>
    <row r="216" spans="1:25" x14ac:dyDescent="0.3">
      <c r="A216" t="s">
        <v>393</v>
      </c>
      <c r="B216" t="s">
        <v>111</v>
      </c>
      <c r="C216" t="s">
        <v>394</v>
      </c>
      <c r="D216" t="s">
        <v>145</v>
      </c>
      <c r="E216" t="s">
        <v>125</v>
      </c>
      <c r="F216">
        <v>5300</v>
      </c>
      <c r="G216" t="s">
        <v>47</v>
      </c>
      <c r="H216" t="s">
        <v>31</v>
      </c>
      <c r="I216" t="b">
        <v>1</v>
      </c>
      <c r="J216">
        <v>2</v>
      </c>
      <c r="K216">
        <v>0</v>
      </c>
      <c r="L216">
        <v>0</v>
      </c>
      <c r="M216">
        <v>2</v>
      </c>
      <c r="N216">
        <v>66.5</v>
      </c>
      <c r="O216">
        <v>0.27500000000000002</v>
      </c>
      <c r="P216" t="s">
        <v>126</v>
      </c>
      <c r="Q216">
        <v>69.8</v>
      </c>
      <c r="R216">
        <v>3</v>
      </c>
      <c r="S216" t="s">
        <v>33</v>
      </c>
      <c r="T216">
        <v>64.8</v>
      </c>
      <c r="U216">
        <v>0.32200000000000001</v>
      </c>
      <c r="V216">
        <v>7500</v>
      </c>
      <c r="W216">
        <v>7.9000000000000001E-2</v>
      </c>
      <c r="X216">
        <v>2.5399999999999999E-2</v>
      </c>
      <c r="Y216">
        <v>0.53300000000000003</v>
      </c>
    </row>
    <row r="217" spans="1:25" x14ac:dyDescent="0.3">
      <c r="A217" t="s">
        <v>395</v>
      </c>
      <c r="B217" t="s">
        <v>201</v>
      </c>
      <c r="C217" t="s">
        <v>396</v>
      </c>
      <c r="D217" t="s">
        <v>136</v>
      </c>
      <c r="E217" t="s">
        <v>135</v>
      </c>
      <c r="G217" t="s">
        <v>39</v>
      </c>
      <c r="H217" t="s">
        <v>73</v>
      </c>
      <c r="I217" t="b">
        <v>1</v>
      </c>
      <c r="J217">
        <v>3</v>
      </c>
      <c r="P217" t="s">
        <v>136</v>
      </c>
      <c r="Q217">
        <v>25.3</v>
      </c>
      <c r="R217">
        <v>6</v>
      </c>
      <c r="S217" t="s">
        <v>41</v>
      </c>
      <c r="T217">
        <v>64.5</v>
      </c>
      <c r="U217">
        <v>0.317</v>
      </c>
      <c r="V217">
        <v>45950</v>
      </c>
      <c r="W217">
        <v>8.7999999999999995E-2</v>
      </c>
      <c r="X217">
        <v>2.8000000000000001E-2</v>
      </c>
      <c r="Y217">
        <v>0.83399999999999996</v>
      </c>
    </row>
    <row r="218" spans="1:25" x14ac:dyDescent="0.3">
      <c r="A218" t="s">
        <v>397</v>
      </c>
      <c r="B218" t="s">
        <v>132</v>
      </c>
      <c r="C218" t="s">
        <v>398</v>
      </c>
      <c r="D218" t="s">
        <v>294</v>
      </c>
      <c r="E218" t="s">
        <v>135</v>
      </c>
      <c r="G218" t="s">
        <v>67</v>
      </c>
      <c r="H218" t="s">
        <v>73</v>
      </c>
      <c r="I218" t="b">
        <v>1</v>
      </c>
      <c r="J218">
        <v>3</v>
      </c>
      <c r="K218">
        <v>1</v>
      </c>
      <c r="L218">
        <v>0</v>
      </c>
      <c r="M218">
        <v>2</v>
      </c>
      <c r="N218">
        <v>55.4</v>
      </c>
      <c r="O218">
        <v>0.44600000000000001</v>
      </c>
      <c r="P218" t="s">
        <v>136</v>
      </c>
      <c r="Q218">
        <v>25.3</v>
      </c>
      <c r="R218">
        <v>6</v>
      </c>
      <c r="S218" t="s">
        <v>41</v>
      </c>
      <c r="T218">
        <v>64.5</v>
      </c>
      <c r="U218">
        <v>0.317</v>
      </c>
      <c r="V218">
        <v>45950</v>
      </c>
      <c r="W218">
        <v>8.7999999999999995E-2</v>
      </c>
      <c r="X218">
        <v>2.8000000000000001E-2</v>
      </c>
      <c r="Y218">
        <v>0.83399999999999996</v>
      </c>
    </row>
    <row r="219" spans="1:25" x14ac:dyDescent="0.3">
      <c r="A219" t="s">
        <v>399</v>
      </c>
      <c r="B219" t="s">
        <v>400</v>
      </c>
      <c r="C219" t="s">
        <v>401</v>
      </c>
      <c r="D219" t="s">
        <v>402</v>
      </c>
      <c r="E219" t="s">
        <v>66</v>
      </c>
      <c r="F219">
        <v>1200</v>
      </c>
      <c r="G219" t="s">
        <v>39</v>
      </c>
      <c r="H219" t="s">
        <v>31</v>
      </c>
      <c r="I219" t="b">
        <v>1</v>
      </c>
      <c r="J219">
        <v>1</v>
      </c>
    </row>
    <row r="220" spans="1:25" x14ac:dyDescent="0.3">
      <c r="A220" t="s">
        <v>403</v>
      </c>
      <c r="B220" t="s">
        <v>280</v>
      </c>
      <c r="C220" t="s">
        <v>404</v>
      </c>
      <c r="D220" t="s">
        <v>405</v>
      </c>
      <c r="E220" t="s">
        <v>38</v>
      </c>
      <c r="G220" t="s">
        <v>39</v>
      </c>
      <c r="H220" t="s">
        <v>31</v>
      </c>
      <c r="I220" t="b">
        <v>1</v>
      </c>
      <c r="J220">
        <v>3</v>
      </c>
      <c r="K220">
        <v>0</v>
      </c>
      <c r="L220">
        <v>0</v>
      </c>
      <c r="M220">
        <v>3</v>
      </c>
      <c r="N220">
        <v>77.7</v>
      </c>
      <c r="O220">
        <v>0.15</v>
      </c>
      <c r="P220" t="s">
        <v>40</v>
      </c>
      <c r="Q220">
        <v>22.8</v>
      </c>
      <c r="R220">
        <v>7</v>
      </c>
      <c r="S220" t="s">
        <v>41</v>
      </c>
      <c r="T220">
        <v>68.5</v>
      </c>
      <c r="U220">
        <v>0.26200000000000001</v>
      </c>
      <c r="V220">
        <v>49000</v>
      </c>
      <c r="W220">
        <v>0.11700000000000001</v>
      </c>
      <c r="X220">
        <v>3.0599999999999999E-2</v>
      </c>
      <c r="Y220">
        <v>0.85799999999999998</v>
      </c>
    </row>
    <row r="221" spans="1:25" x14ac:dyDescent="0.3">
      <c r="A221" t="s">
        <v>406</v>
      </c>
      <c r="B221" t="s">
        <v>183</v>
      </c>
      <c r="C221" t="s">
        <v>407</v>
      </c>
      <c r="D221" t="s">
        <v>408</v>
      </c>
      <c r="E221" t="s">
        <v>409</v>
      </c>
      <c r="G221" t="s">
        <v>47</v>
      </c>
      <c r="H221" t="s">
        <v>31</v>
      </c>
      <c r="I221" t="b">
        <v>1</v>
      </c>
      <c r="J221">
        <v>2</v>
      </c>
    </row>
    <row r="222" spans="1:25" x14ac:dyDescent="0.3">
      <c r="A222" t="s">
        <v>411</v>
      </c>
      <c r="B222" t="s">
        <v>160</v>
      </c>
      <c r="C222" t="s">
        <v>412</v>
      </c>
      <c r="D222" t="s">
        <v>162</v>
      </c>
      <c r="E222" t="s">
        <v>163</v>
      </c>
      <c r="G222" t="s">
        <v>39</v>
      </c>
      <c r="H222" t="s">
        <v>73</v>
      </c>
      <c r="I222" t="b">
        <v>1</v>
      </c>
      <c r="J222">
        <v>1</v>
      </c>
      <c r="K222">
        <v>0</v>
      </c>
      <c r="L222">
        <v>0</v>
      </c>
      <c r="M222">
        <v>1</v>
      </c>
      <c r="N222">
        <v>75</v>
      </c>
      <c r="O222">
        <v>0.2</v>
      </c>
      <c r="P222" t="s">
        <v>162</v>
      </c>
      <c r="Q222">
        <v>7.4</v>
      </c>
      <c r="R222">
        <v>13</v>
      </c>
      <c r="S222" t="s">
        <v>41</v>
      </c>
      <c r="T222">
        <v>73.8</v>
      </c>
      <c r="U222">
        <v>0.21199999999999999</v>
      </c>
      <c r="V222">
        <v>5050</v>
      </c>
      <c r="W222">
        <v>4.2000000000000003E-2</v>
      </c>
      <c r="X222">
        <v>8.8999999999999999E-3</v>
      </c>
      <c r="Y222">
        <v>0.80100000000000005</v>
      </c>
    </row>
    <row r="223" spans="1:25" x14ac:dyDescent="0.3">
      <c r="A223" t="s">
        <v>413</v>
      </c>
      <c r="B223" t="s">
        <v>414</v>
      </c>
      <c r="C223" t="s">
        <v>415</v>
      </c>
      <c r="D223" t="s">
        <v>416</v>
      </c>
      <c r="E223" t="s">
        <v>29</v>
      </c>
      <c r="G223" t="s">
        <v>30</v>
      </c>
      <c r="H223" t="s">
        <v>31</v>
      </c>
      <c r="I223" t="b">
        <v>1</v>
      </c>
      <c r="J223">
        <v>3</v>
      </c>
    </row>
    <row r="224" spans="1:25" x14ac:dyDescent="0.3">
      <c r="A224" t="s">
        <v>417</v>
      </c>
      <c r="B224" t="s">
        <v>51</v>
      </c>
      <c r="C224" t="s">
        <v>418</v>
      </c>
      <c r="D224" t="s">
        <v>190</v>
      </c>
      <c r="E224" t="s">
        <v>191</v>
      </c>
      <c r="F224">
        <v>3500</v>
      </c>
      <c r="G224" t="s">
        <v>30</v>
      </c>
      <c r="H224" t="s">
        <v>31</v>
      </c>
      <c r="I224" t="b">
        <v>1</v>
      </c>
      <c r="J224">
        <v>2</v>
      </c>
    </row>
    <row r="225" spans="1:25" x14ac:dyDescent="0.3">
      <c r="A225" t="s">
        <v>419</v>
      </c>
      <c r="B225" t="s">
        <v>147</v>
      </c>
      <c r="C225" t="s">
        <v>420</v>
      </c>
      <c r="D225" t="s">
        <v>421</v>
      </c>
      <c r="E225" t="s">
        <v>119</v>
      </c>
      <c r="F225">
        <v>300</v>
      </c>
      <c r="G225" t="s">
        <v>67</v>
      </c>
      <c r="H225" t="s">
        <v>31</v>
      </c>
      <c r="I225" t="b">
        <v>1</v>
      </c>
      <c r="J225">
        <v>4</v>
      </c>
      <c r="P225" t="s">
        <v>120</v>
      </c>
      <c r="Q225">
        <v>27.8</v>
      </c>
      <c r="R225">
        <v>5</v>
      </c>
      <c r="S225" t="s">
        <v>41</v>
      </c>
      <c r="T225">
        <v>73.900000000000006</v>
      </c>
      <c r="U225">
        <v>0.20599999999999999</v>
      </c>
      <c r="V225">
        <v>19750</v>
      </c>
      <c r="W225">
        <v>7.9000000000000001E-2</v>
      </c>
      <c r="X225">
        <v>1.6299999999999999E-2</v>
      </c>
      <c r="Y225">
        <v>0.68600000000000005</v>
      </c>
    </row>
    <row r="226" spans="1:25" x14ac:dyDescent="0.3">
      <c r="A226" t="s">
        <v>422</v>
      </c>
      <c r="B226" t="s">
        <v>423</v>
      </c>
      <c r="C226" t="s">
        <v>424</v>
      </c>
      <c r="D226" t="s">
        <v>425</v>
      </c>
      <c r="E226" t="s">
        <v>119</v>
      </c>
      <c r="G226" t="s">
        <v>39</v>
      </c>
      <c r="H226" t="s">
        <v>73</v>
      </c>
      <c r="I226" t="b">
        <v>1</v>
      </c>
      <c r="J226">
        <v>3</v>
      </c>
      <c r="K226">
        <v>0</v>
      </c>
      <c r="L226">
        <v>0</v>
      </c>
      <c r="M226">
        <v>3</v>
      </c>
      <c r="N226">
        <v>78</v>
      </c>
      <c r="O226">
        <v>0.14399999999999999</v>
      </c>
      <c r="P226" t="s">
        <v>120</v>
      </c>
      <c r="Q226">
        <v>27.8</v>
      </c>
      <c r="R226">
        <v>5</v>
      </c>
      <c r="S226" t="s">
        <v>41</v>
      </c>
      <c r="T226">
        <v>73.900000000000006</v>
      </c>
      <c r="U226">
        <v>0.20599999999999999</v>
      </c>
      <c r="V226">
        <v>19750</v>
      </c>
      <c r="W226">
        <v>7.9000000000000001E-2</v>
      </c>
      <c r="X226">
        <v>1.6299999999999999E-2</v>
      </c>
      <c r="Y226">
        <v>0.68600000000000005</v>
      </c>
    </row>
    <row r="227" spans="1:25" x14ac:dyDescent="0.3">
      <c r="A227" t="s">
        <v>426</v>
      </c>
      <c r="B227" t="s">
        <v>336</v>
      </c>
      <c r="C227" t="s">
        <v>427</v>
      </c>
      <c r="D227" t="s">
        <v>338</v>
      </c>
      <c r="E227" t="s">
        <v>141</v>
      </c>
      <c r="G227" t="s">
        <v>47</v>
      </c>
      <c r="H227" t="s">
        <v>31</v>
      </c>
      <c r="I227" t="b">
        <v>1</v>
      </c>
      <c r="J227">
        <v>3</v>
      </c>
      <c r="P227" t="s">
        <v>142</v>
      </c>
      <c r="Q227">
        <v>11.7</v>
      </c>
      <c r="R227">
        <v>11</v>
      </c>
      <c r="S227" t="s">
        <v>41</v>
      </c>
      <c r="T227">
        <v>78.3</v>
      </c>
      <c r="U227">
        <v>0.14899999999999999</v>
      </c>
      <c r="V227">
        <v>10250</v>
      </c>
      <c r="W227">
        <v>4.7E-2</v>
      </c>
      <c r="X227">
        <v>6.8999999999999999E-3</v>
      </c>
      <c r="Y227">
        <v>0.64500000000000002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5"/>
  <sheetViews>
    <sheetView tabSelected="1" topLeftCell="B1" workbookViewId="0">
      <selection activeCell="S25" sqref="S25"/>
    </sheetView>
  </sheetViews>
  <sheetFormatPr defaultRowHeight="14.4" x14ac:dyDescent="0.3"/>
  <sheetData>
    <row r="1" spans="1:13" x14ac:dyDescent="0.3">
      <c r="A1" s="1" t="s">
        <v>0</v>
      </c>
      <c r="B1" s="1" t="s">
        <v>428</v>
      </c>
      <c r="C1" s="1" t="s">
        <v>429</v>
      </c>
      <c r="D1" s="1" t="s">
        <v>430</v>
      </c>
      <c r="E1" s="1" t="s">
        <v>431</v>
      </c>
      <c r="I1" s="1"/>
      <c r="J1" s="3"/>
      <c r="L1" s="1"/>
      <c r="M1" s="3"/>
    </row>
    <row r="2" spans="1:13" x14ac:dyDescent="0.3">
      <c r="A2" t="s">
        <v>25</v>
      </c>
      <c r="B2">
        <v>1</v>
      </c>
      <c r="C2" t="s">
        <v>432</v>
      </c>
      <c r="D2" t="s">
        <v>433</v>
      </c>
      <c r="E2" t="s">
        <v>48</v>
      </c>
      <c r="J2" s="4"/>
      <c r="M2" s="4"/>
    </row>
    <row r="3" spans="1:13" x14ac:dyDescent="0.3">
      <c r="A3" t="s">
        <v>25</v>
      </c>
      <c r="B3">
        <v>2</v>
      </c>
      <c r="C3" t="s">
        <v>434</v>
      </c>
      <c r="D3" t="s">
        <v>433</v>
      </c>
      <c r="E3" t="s">
        <v>31</v>
      </c>
      <c r="J3" s="4"/>
      <c r="M3" s="4"/>
    </row>
    <row r="4" spans="1:13" x14ac:dyDescent="0.3">
      <c r="A4" t="s">
        <v>34</v>
      </c>
      <c r="B4">
        <v>1</v>
      </c>
      <c r="C4" t="s">
        <v>435</v>
      </c>
      <c r="D4" t="s">
        <v>436</v>
      </c>
      <c r="E4" t="s">
        <v>48</v>
      </c>
      <c r="J4" s="4"/>
      <c r="M4" s="4"/>
    </row>
    <row r="5" spans="1:13" x14ac:dyDescent="0.3">
      <c r="A5" t="s">
        <v>42</v>
      </c>
      <c r="B5">
        <v>1</v>
      </c>
      <c r="C5" t="s">
        <v>432</v>
      </c>
      <c r="D5" t="s">
        <v>433</v>
      </c>
      <c r="E5" t="s">
        <v>48</v>
      </c>
      <c r="J5" s="4"/>
      <c r="M5" s="4"/>
    </row>
    <row r="6" spans="1:13" x14ac:dyDescent="0.3">
      <c r="A6" t="s">
        <v>42</v>
      </c>
      <c r="B6">
        <v>2</v>
      </c>
      <c r="C6" t="s">
        <v>434</v>
      </c>
      <c r="D6" t="s">
        <v>433</v>
      </c>
      <c r="E6" t="s">
        <v>48</v>
      </c>
      <c r="J6" s="4"/>
      <c r="M6" s="4"/>
    </row>
    <row r="7" spans="1:13" x14ac:dyDescent="0.3">
      <c r="A7" t="s">
        <v>42</v>
      </c>
      <c r="B7">
        <v>3</v>
      </c>
      <c r="C7" t="s">
        <v>437</v>
      </c>
      <c r="D7" t="s">
        <v>433</v>
      </c>
      <c r="E7" t="s">
        <v>48</v>
      </c>
      <c r="J7" s="4"/>
      <c r="M7" s="4"/>
    </row>
    <row r="8" spans="1:13" x14ac:dyDescent="0.3">
      <c r="A8" t="s">
        <v>42</v>
      </c>
      <c r="B8">
        <v>4</v>
      </c>
      <c r="C8" t="s">
        <v>438</v>
      </c>
      <c r="D8" t="s">
        <v>433</v>
      </c>
      <c r="E8" t="s">
        <v>31</v>
      </c>
      <c r="J8" s="4"/>
      <c r="M8" s="4"/>
    </row>
    <row r="9" spans="1:13" x14ac:dyDescent="0.3">
      <c r="A9" t="s">
        <v>50</v>
      </c>
      <c r="B9">
        <v>1</v>
      </c>
      <c r="C9" t="s">
        <v>435</v>
      </c>
      <c r="D9" t="s">
        <v>436</v>
      </c>
      <c r="E9" t="s">
        <v>48</v>
      </c>
      <c r="J9" s="4"/>
      <c r="M9" s="4"/>
    </row>
    <row r="10" spans="1:13" x14ac:dyDescent="0.3">
      <c r="A10" t="s">
        <v>56</v>
      </c>
      <c r="B10">
        <v>1</v>
      </c>
      <c r="C10" t="s">
        <v>435</v>
      </c>
      <c r="D10" t="s">
        <v>436</v>
      </c>
      <c r="E10" t="s">
        <v>31</v>
      </c>
      <c r="J10" s="4"/>
      <c r="M10" s="4"/>
    </row>
    <row r="11" spans="1:13" x14ac:dyDescent="0.3">
      <c r="A11" t="s">
        <v>56</v>
      </c>
      <c r="B11">
        <v>2</v>
      </c>
      <c r="C11" t="s">
        <v>437</v>
      </c>
      <c r="D11" t="s">
        <v>433</v>
      </c>
      <c r="E11" t="s">
        <v>31</v>
      </c>
      <c r="J11" s="4"/>
      <c r="M11" s="4"/>
    </row>
    <row r="12" spans="1:13" x14ac:dyDescent="0.3">
      <c r="A12" t="s">
        <v>62</v>
      </c>
      <c r="B12">
        <v>1</v>
      </c>
      <c r="C12" t="s">
        <v>435</v>
      </c>
      <c r="D12" t="s">
        <v>436</v>
      </c>
      <c r="E12" t="s">
        <v>48</v>
      </c>
      <c r="J12" s="4"/>
      <c r="M12" s="4"/>
    </row>
    <row r="13" spans="1:13" x14ac:dyDescent="0.3">
      <c r="A13" t="s">
        <v>69</v>
      </c>
      <c r="B13">
        <v>1</v>
      </c>
      <c r="C13" t="s">
        <v>437</v>
      </c>
      <c r="D13" t="s">
        <v>433</v>
      </c>
      <c r="E13" t="s">
        <v>48</v>
      </c>
      <c r="J13" s="4"/>
      <c r="M13" s="4"/>
    </row>
    <row r="14" spans="1:13" x14ac:dyDescent="0.3">
      <c r="A14" t="s">
        <v>69</v>
      </c>
      <c r="B14">
        <v>2</v>
      </c>
      <c r="C14" t="s">
        <v>439</v>
      </c>
      <c r="D14" t="s">
        <v>433</v>
      </c>
      <c r="E14" t="s">
        <v>48</v>
      </c>
      <c r="J14" s="4"/>
      <c r="M14" s="4"/>
    </row>
    <row r="15" spans="1:13" x14ac:dyDescent="0.3">
      <c r="A15" t="s">
        <v>74</v>
      </c>
      <c r="B15">
        <v>1</v>
      </c>
      <c r="C15" t="s">
        <v>432</v>
      </c>
      <c r="D15" t="s">
        <v>433</v>
      </c>
      <c r="E15" t="s">
        <v>48</v>
      </c>
      <c r="J15" s="4"/>
      <c r="M15" s="4"/>
    </row>
    <row r="16" spans="1:13" x14ac:dyDescent="0.3">
      <c r="A16" t="s">
        <v>74</v>
      </c>
      <c r="B16">
        <v>2</v>
      </c>
      <c r="C16" t="s">
        <v>434</v>
      </c>
      <c r="D16" t="s">
        <v>433</v>
      </c>
      <c r="E16" t="s">
        <v>31</v>
      </c>
      <c r="J16" s="4"/>
      <c r="M16" s="4"/>
    </row>
    <row r="17" spans="1:13" x14ac:dyDescent="0.3">
      <c r="A17" t="s">
        <v>74</v>
      </c>
      <c r="B17">
        <v>3</v>
      </c>
      <c r="C17" t="s">
        <v>437</v>
      </c>
      <c r="D17" t="s">
        <v>433</v>
      </c>
      <c r="E17" t="s">
        <v>31</v>
      </c>
      <c r="J17" s="4"/>
      <c r="M17" s="4"/>
    </row>
    <row r="18" spans="1:13" x14ac:dyDescent="0.3">
      <c r="A18" t="s">
        <v>74</v>
      </c>
      <c r="B18">
        <v>4</v>
      </c>
      <c r="C18" t="s">
        <v>438</v>
      </c>
      <c r="D18" t="s">
        <v>433</v>
      </c>
      <c r="E18" t="s">
        <v>31</v>
      </c>
      <c r="J18" s="4"/>
      <c r="M18" s="4"/>
    </row>
    <row r="19" spans="1:13" x14ac:dyDescent="0.3">
      <c r="A19" t="s">
        <v>80</v>
      </c>
      <c r="B19">
        <v>1</v>
      </c>
      <c r="C19" t="s">
        <v>432</v>
      </c>
      <c r="D19" t="s">
        <v>433</v>
      </c>
      <c r="E19" t="s">
        <v>48</v>
      </c>
      <c r="J19" s="4"/>
      <c r="M19" s="4"/>
    </row>
    <row r="20" spans="1:13" x14ac:dyDescent="0.3">
      <c r="A20" t="s">
        <v>80</v>
      </c>
      <c r="B20">
        <v>2</v>
      </c>
      <c r="C20" t="s">
        <v>434</v>
      </c>
      <c r="D20" t="s">
        <v>433</v>
      </c>
      <c r="E20" t="s">
        <v>48</v>
      </c>
      <c r="J20" s="4"/>
      <c r="M20" s="4"/>
    </row>
    <row r="21" spans="1:13" x14ac:dyDescent="0.3">
      <c r="A21" t="s">
        <v>80</v>
      </c>
      <c r="B21">
        <v>3</v>
      </c>
      <c r="C21" t="s">
        <v>438</v>
      </c>
      <c r="D21" t="s">
        <v>433</v>
      </c>
      <c r="E21" t="s">
        <v>31</v>
      </c>
      <c r="J21" s="4"/>
      <c r="M21" s="4"/>
    </row>
    <row r="22" spans="1:13" x14ac:dyDescent="0.3">
      <c r="A22" t="s">
        <v>84</v>
      </c>
      <c r="B22">
        <v>1</v>
      </c>
      <c r="C22" t="s">
        <v>437</v>
      </c>
      <c r="D22" t="s">
        <v>433</v>
      </c>
      <c r="E22" t="s">
        <v>48</v>
      </c>
      <c r="J22" s="4"/>
      <c r="M22" s="4"/>
    </row>
    <row r="23" spans="1:13" x14ac:dyDescent="0.3">
      <c r="A23" t="s">
        <v>90</v>
      </c>
      <c r="B23">
        <v>1</v>
      </c>
      <c r="C23" t="s">
        <v>435</v>
      </c>
      <c r="D23" t="s">
        <v>436</v>
      </c>
      <c r="E23" t="s">
        <v>48</v>
      </c>
      <c r="J23" s="4"/>
      <c r="M23" s="4"/>
    </row>
    <row r="24" spans="1:13" x14ac:dyDescent="0.3">
      <c r="A24" t="s">
        <v>92</v>
      </c>
      <c r="B24">
        <v>1</v>
      </c>
      <c r="C24" t="s">
        <v>432</v>
      </c>
      <c r="D24" t="s">
        <v>433</v>
      </c>
      <c r="E24" t="s">
        <v>48</v>
      </c>
      <c r="J24" s="4"/>
      <c r="M24" s="4"/>
    </row>
    <row r="25" spans="1:13" x14ac:dyDescent="0.3">
      <c r="A25" t="s">
        <v>92</v>
      </c>
      <c r="B25">
        <v>2</v>
      </c>
      <c r="C25" t="s">
        <v>434</v>
      </c>
      <c r="D25" t="s">
        <v>433</v>
      </c>
      <c r="E25" t="s">
        <v>48</v>
      </c>
      <c r="J25" s="4"/>
      <c r="M25" s="4"/>
    </row>
    <row r="26" spans="1:13" x14ac:dyDescent="0.3">
      <c r="A26" t="s">
        <v>92</v>
      </c>
      <c r="B26">
        <v>3</v>
      </c>
      <c r="C26" t="s">
        <v>438</v>
      </c>
      <c r="D26" t="s">
        <v>433</v>
      </c>
      <c r="E26" t="s">
        <v>31</v>
      </c>
      <c r="J26" s="4"/>
      <c r="M26" s="4"/>
    </row>
    <row r="27" spans="1:13" x14ac:dyDescent="0.3">
      <c r="A27" t="s">
        <v>95</v>
      </c>
      <c r="B27">
        <v>1</v>
      </c>
      <c r="C27" t="s">
        <v>432</v>
      </c>
      <c r="D27" t="s">
        <v>433</v>
      </c>
      <c r="E27" t="s">
        <v>48</v>
      </c>
      <c r="J27" s="4"/>
      <c r="M27" s="4"/>
    </row>
    <row r="28" spans="1:13" x14ac:dyDescent="0.3">
      <c r="A28" t="s">
        <v>95</v>
      </c>
      <c r="B28">
        <v>2</v>
      </c>
      <c r="C28" t="s">
        <v>434</v>
      </c>
      <c r="D28" t="s">
        <v>433</v>
      </c>
      <c r="E28" t="s">
        <v>48</v>
      </c>
      <c r="I28" s="4"/>
      <c r="J28" s="4"/>
      <c r="M28" s="4"/>
    </row>
    <row r="29" spans="1:13" x14ac:dyDescent="0.3">
      <c r="A29" t="s">
        <v>95</v>
      </c>
      <c r="B29">
        <v>3</v>
      </c>
      <c r="C29" t="s">
        <v>438</v>
      </c>
      <c r="D29" t="s">
        <v>433</v>
      </c>
      <c r="E29" t="s">
        <v>31</v>
      </c>
      <c r="I29" s="4"/>
      <c r="J29" s="4"/>
      <c r="M29" s="4"/>
    </row>
    <row r="30" spans="1:13" x14ac:dyDescent="0.3">
      <c r="A30" t="s">
        <v>95</v>
      </c>
      <c r="B30">
        <v>4</v>
      </c>
      <c r="C30" t="s">
        <v>439</v>
      </c>
      <c r="D30" t="s">
        <v>433</v>
      </c>
      <c r="E30" t="s">
        <v>31</v>
      </c>
      <c r="I30" s="4"/>
      <c r="J30" s="4"/>
      <c r="M30" s="4"/>
    </row>
    <row r="31" spans="1:13" x14ac:dyDescent="0.3">
      <c r="A31" t="s">
        <v>100</v>
      </c>
      <c r="B31">
        <v>1</v>
      </c>
      <c r="C31" t="s">
        <v>432</v>
      </c>
      <c r="D31" t="s">
        <v>433</v>
      </c>
      <c r="E31" t="s">
        <v>48</v>
      </c>
      <c r="I31" s="4"/>
      <c r="J31" s="4"/>
      <c r="M31" s="4"/>
    </row>
    <row r="32" spans="1:13" x14ac:dyDescent="0.3">
      <c r="A32" t="s">
        <v>100</v>
      </c>
      <c r="B32">
        <v>2</v>
      </c>
      <c r="C32" t="s">
        <v>434</v>
      </c>
      <c r="D32" t="s">
        <v>433</v>
      </c>
      <c r="E32" t="s">
        <v>48</v>
      </c>
      <c r="I32" s="4"/>
      <c r="J32" s="4"/>
      <c r="M32" s="4"/>
    </row>
    <row r="33" spans="1:13" x14ac:dyDescent="0.3">
      <c r="A33" t="s">
        <v>104</v>
      </c>
      <c r="B33">
        <v>1</v>
      </c>
      <c r="C33" t="s">
        <v>432</v>
      </c>
      <c r="D33" t="s">
        <v>433</v>
      </c>
      <c r="E33" t="s">
        <v>48</v>
      </c>
      <c r="I33" s="4"/>
      <c r="J33" s="4"/>
      <c r="M33" s="4"/>
    </row>
    <row r="34" spans="1:13" x14ac:dyDescent="0.3">
      <c r="A34" t="s">
        <v>104</v>
      </c>
      <c r="B34">
        <v>2</v>
      </c>
      <c r="C34" t="s">
        <v>434</v>
      </c>
      <c r="D34" t="s">
        <v>433</v>
      </c>
      <c r="E34" t="s">
        <v>48</v>
      </c>
      <c r="I34" s="4"/>
      <c r="J34" s="4"/>
      <c r="M34" s="4"/>
    </row>
    <row r="35" spans="1:13" x14ac:dyDescent="0.3">
      <c r="A35" t="s">
        <v>104</v>
      </c>
      <c r="B35">
        <v>3</v>
      </c>
      <c r="C35" t="s">
        <v>437</v>
      </c>
      <c r="D35" t="s">
        <v>433</v>
      </c>
      <c r="E35" t="s">
        <v>31</v>
      </c>
      <c r="I35" s="4"/>
      <c r="J35" s="4"/>
      <c r="M35" s="4"/>
    </row>
    <row r="36" spans="1:13" x14ac:dyDescent="0.3">
      <c r="A36" t="s">
        <v>104</v>
      </c>
      <c r="B36">
        <v>4</v>
      </c>
      <c r="C36" t="s">
        <v>440</v>
      </c>
      <c r="D36" t="s">
        <v>441</v>
      </c>
      <c r="E36" t="s">
        <v>31</v>
      </c>
      <c r="I36" s="4"/>
      <c r="J36" s="4"/>
      <c r="M36" s="4"/>
    </row>
    <row r="37" spans="1:13" x14ac:dyDescent="0.3">
      <c r="A37" t="s">
        <v>110</v>
      </c>
      <c r="B37">
        <v>1</v>
      </c>
      <c r="C37" t="s">
        <v>435</v>
      </c>
      <c r="D37" t="s">
        <v>436</v>
      </c>
      <c r="E37" t="s">
        <v>48</v>
      </c>
      <c r="I37" s="4"/>
      <c r="J37" s="4"/>
      <c r="M37" s="4"/>
    </row>
    <row r="38" spans="1:13" x14ac:dyDescent="0.3">
      <c r="A38" t="s">
        <v>115</v>
      </c>
      <c r="B38">
        <v>1</v>
      </c>
      <c r="C38" t="s">
        <v>434</v>
      </c>
      <c r="D38" t="s">
        <v>433</v>
      </c>
      <c r="E38" t="s">
        <v>48</v>
      </c>
      <c r="I38" s="4"/>
      <c r="J38" s="4"/>
      <c r="M38" s="4"/>
    </row>
    <row r="39" spans="1:13" x14ac:dyDescent="0.3">
      <c r="A39" t="s">
        <v>121</v>
      </c>
      <c r="B39">
        <v>1</v>
      </c>
      <c r="C39" t="s">
        <v>437</v>
      </c>
      <c r="D39" t="s">
        <v>433</v>
      </c>
      <c r="E39" t="s">
        <v>48</v>
      </c>
      <c r="I39" s="4"/>
      <c r="J39" s="4"/>
      <c r="M39" s="4"/>
    </row>
    <row r="40" spans="1:13" x14ac:dyDescent="0.3">
      <c r="A40" t="s">
        <v>121</v>
      </c>
      <c r="B40">
        <v>2</v>
      </c>
      <c r="C40" t="s">
        <v>434</v>
      </c>
      <c r="D40" t="s">
        <v>433</v>
      </c>
      <c r="E40" t="s">
        <v>31</v>
      </c>
      <c r="I40" s="2"/>
    </row>
    <row r="41" spans="1:13" x14ac:dyDescent="0.3">
      <c r="A41" t="s">
        <v>121</v>
      </c>
      <c r="B41">
        <v>3</v>
      </c>
      <c r="C41" t="s">
        <v>435</v>
      </c>
      <c r="D41" t="s">
        <v>433</v>
      </c>
      <c r="E41" t="s">
        <v>31</v>
      </c>
    </row>
    <row r="42" spans="1:13" x14ac:dyDescent="0.3">
      <c r="A42" t="s">
        <v>127</v>
      </c>
      <c r="B42">
        <v>1</v>
      </c>
      <c r="C42" t="s">
        <v>442</v>
      </c>
      <c r="D42" t="s">
        <v>441</v>
      </c>
      <c r="E42" t="s">
        <v>48</v>
      </c>
    </row>
    <row r="43" spans="1:13" x14ac:dyDescent="0.3">
      <c r="A43" t="s">
        <v>127</v>
      </c>
      <c r="B43">
        <v>2</v>
      </c>
      <c r="C43" t="s">
        <v>438</v>
      </c>
      <c r="D43" t="s">
        <v>433</v>
      </c>
      <c r="E43" t="s">
        <v>48</v>
      </c>
    </row>
    <row r="44" spans="1:13" x14ac:dyDescent="0.3">
      <c r="A44" t="s">
        <v>127</v>
      </c>
      <c r="B44">
        <v>3</v>
      </c>
      <c r="C44" t="s">
        <v>439</v>
      </c>
      <c r="D44" t="s">
        <v>433</v>
      </c>
      <c r="E44" t="s">
        <v>31</v>
      </c>
    </row>
    <row r="45" spans="1:13" x14ac:dyDescent="0.3">
      <c r="A45" t="s">
        <v>131</v>
      </c>
      <c r="B45">
        <v>1</v>
      </c>
      <c r="C45" t="s">
        <v>435</v>
      </c>
      <c r="D45" t="s">
        <v>436</v>
      </c>
      <c r="E45" t="s">
        <v>48</v>
      </c>
    </row>
    <row r="46" spans="1:13" x14ac:dyDescent="0.3">
      <c r="A46" t="s">
        <v>131</v>
      </c>
      <c r="B46">
        <v>2</v>
      </c>
      <c r="C46" t="s">
        <v>438</v>
      </c>
      <c r="D46" t="s">
        <v>433</v>
      </c>
      <c r="E46" t="s">
        <v>48</v>
      </c>
    </row>
    <row r="47" spans="1:13" x14ac:dyDescent="0.3">
      <c r="A47" t="s">
        <v>131</v>
      </c>
      <c r="B47">
        <v>3</v>
      </c>
      <c r="C47" t="s">
        <v>434</v>
      </c>
      <c r="D47" t="s">
        <v>433</v>
      </c>
      <c r="E47" t="s">
        <v>31</v>
      </c>
    </row>
    <row r="48" spans="1:13" x14ac:dyDescent="0.3">
      <c r="A48" t="s">
        <v>137</v>
      </c>
      <c r="B48">
        <v>1</v>
      </c>
      <c r="C48" t="s">
        <v>437</v>
      </c>
      <c r="D48" t="s">
        <v>433</v>
      </c>
      <c r="E48" t="s">
        <v>48</v>
      </c>
    </row>
    <row r="49" spans="1:5" x14ac:dyDescent="0.3">
      <c r="A49" t="s">
        <v>137</v>
      </c>
      <c r="B49">
        <v>2</v>
      </c>
      <c r="C49" t="s">
        <v>434</v>
      </c>
      <c r="D49" t="s">
        <v>433</v>
      </c>
      <c r="E49" t="s">
        <v>31</v>
      </c>
    </row>
    <row r="50" spans="1:5" x14ac:dyDescent="0.3">
      <c r="A50" t="s">
        <v>143</v>
      </c>
      <c r="B50">
        <v>1</v>
      </c>
      <c r="C50" t="s">
        <v>432</v>
      </c>
      <c r="D50" t="s">
        <v>433</v>
      </c>
      <c r="E50" t="s">
        <v>48</v>
      </c>
    </row>
    <row r="51" spans="1:5" x14ac:dyDescent="0.3">
      <c r="A51" t="s">
        <v>143</v>
      </c>
      <c r="B51">
        <v>2</v>
      </c>
      <c r="C51" t="s">
        <v>434</v>
      </c>
      <c r="D51" t="s">
        <v>433</v>
      </c>
      <c r="E51" t="s">
        <v>31</v>
      </c>
    </row>
    <row r="52" spans="1:5" x14ac:dyDescent="0.3">
      <c r="A52" t="s">
        <v>146</v>
      </c>
      <c r="B52">
        <v>1</v>
      </c>
      <c r="C52" t="s">
        <v>434</v>
      </c>
      <c r="D52" t="s">
        <v>433</v>
      </c>
      <c r="E52" t="s">
        <v>48</v>
      </c>
    </row>
    <row r="53" spans="1:5" x14ac:dyDescent="0.3">
      <c r="A53" t="s">
        <v>146</v>
      </c>
      <c r="B53">
        <v>2</v>
      </c>
      <c r="C53" t="s">
        <v>435</v>
      </c>
      <c r="D53" t="s">
        <v>436</v>
      </c>
      <c r="E53" t="s">
        <v>31</v>
      </c>
    </row>
    <row r="54" spans="1:5" x14ac:dyDescent="0.3">
      <c r="A54" t="s">
        <v>146</v>
      </c>
      <c r="B54">
        <v>3</v>
      </c>
      <c r="C54" t="s">
        <v>438</v>
      </c>
      <c r="D54" t="s">
        <v>433</v>
      </c>
      <c r="E54" t="s">
        <v>31</v>
      </c>
    </row>
    <row r="55" spans="1:5" x14ac:dyDescent="0.3">
      <c r="A55" t="s">
        <v>150</v>
      </c>
      <c r="B55">
        <v>1</v>
      </c>
      <c r="C55" t="s">
        <v>435</v>
      </c>
      <c r="D55" t="s">
        <v>436</v>
      </c>
      <c r="E55" t="s">
        <v>31</v>
      </c>
    </row>
    <row r="56" spans="1:5" x14ac:dyDescent="0.3">
      <c r="A56" t="s">
        <v>150</v>
      </c>
      <c r="B56">
        <v>2</v>
      </c>
      <c r="C56" t="s">
        <v>438</v>
      </c>
      <c r="D56" t="s">
        <v>433</v>
      </c>
      <c r="E56" t="s">
        <v>31</v>
      </c>
    </row>
    <row r="57" spans="1:5" x14ac:dyDescent="0.3">
      <c r="A57" t="s">
        <v>150</v>
      </c>
      <c r="B57">
        <v>3</v>
      </c>
      <c r="C57" t="s">
        <v>434</v>
      </c>
      <c r="D57" t="s">
        <v>433</v>
      </c>
      <c r="E57" t="s">
        <v>73</v>
      </c>
    </row>
    <row r="58" spans="1:5" x14ac:dyDescent="0.3">
      <c r="A58" t="s">
        <v>153</v>
      </c>
      <c r="B58">
        <v>1</v>
      </c>
      <c r="C58" t="s">
        <v>432</v>
      </c>
      <c r="D58" t="s">
        <v>433</v>
      </c>
      <c r="E58" t="s">
        <v>48</v>
      </c>
    </row>
    <row r="59" spans="1:5" x14ac:dyDescent="0.3">
      <c r="A59" t="s">
        <v>153</v>
      </c>
      <c r="B59">
        <v>2</v>
      </c>
      <c r="C59" t="s">
        <v>434</v>
      </c>
      <c r="D59" t="s">
        <v>433</v>
      </c>
      <c r="E59" t="s">
        <v>48</v>
      </c>
    </row>
    <row r="60" spans="1:5" x14ac:dyDescent="0.3">
      <c r="A60" t="s">
        <v>153</v>
      </c>
      <c r="B60">
        <v>3</v>
      </c>
      <c r="C60" t="s">
        <v>438</v>
      </c>
      <c r="D60" t="s">
        <v>433</v>
      </c>
      <c r="E60" t="s">
        <v>31</v>
      </c>
    </row>
    <row r="61" spans="1:5" x14ac:dyDescent="0.3">
      <c r="A61" t="s">
        <v>153</v>
      </c>
      <c r="B61">
        <v>4</v>
      </c>
      <c r="C61" t="s">
        <v>437</v>
      </c>
      <c r="D61" t="s">
        <v>433</v>
      </c>
      <c r="E61" t="s">
        <v>31</v>
      </c>
    </row>
    <row r="62" spans="1:5" x14ac:dyDescent="0.3">
      <c r="A62" t="s">
        <v>159</v>
      </c>
      <c r="B62">
        <v>1</v>
      </c>
      <c r="C62" t="s">
        <v>439</v>
      </c>
      <c r="D62" t="s">
        <v>433</v>
      </c>
      <c r="E62" t="s">
        <v>48</v>
      </c>
    </row>
    <row r="63" spans="1:5" x14ac:dyDescent="0.3">
      <c r="A63" t="s">
        <v>164</v>
      </c>
      <c r="B63">
        <v>1</v>
      </c>
      <c r="C63" t="s">
        <v>439</v>
      </c>
      <c r="D63" t="s">
        <v>433</v>
      </c>
      <c r="E63" t="s">
        <v>48</v>
      </c>
    </row>
    <row r="64" spans="1:5" x14ac:dyDescent="0.3">
      <c r="A64" t="s">
        <v>164</v>
      </c>
      <c r="B64">
        <v>2</v>
      </c>
      <c r="C64" t="s">
        <v>440</v>
      </c>
      <c r="D64" t="s">
        <v>441</v>
      </c>
      <c r="E64" t="s">
        <v>31</v>
      </c>
    </row>
    <row r="65" spans="1:5" x14ac:dyDescent="0.3">
      <c r="A65" t="s">
        <v>164</v>
      </c>
      <c r="B65">
        <v>3</v>
      </c>
      <c r="C65" t="s">
        <v>438</v>
      </c>
      <c r="D65" t="s">
        <v>433</v>
      </c>
      <c r="E65" t="s">
        <v>31</v>
      </c>
    </row>
    <row r="66" spans="1:5" x14ac:dyDescent="0.3">
      <c r="A66" t="s">
        <v>170</v>
      </c>
      <c r="B66">
        <v>1</v>
      </c>
      <c r="C66" t="s">
        <v>432</v>
      </c>
      <c r="D66" t="s">
        <v>433</v>
      </c>
      <c r="E66" t="s">
        <v>48</v>
      </c>
    </row>
    <row r="67" spans="1:5" x14ac:dyDescent="0.3">
      <c r="A67" t="s">
        <v>170</v>
      </c>
      <c r="B67">
        <v>2</v>
      </c>
      <c r="C67" t="s">
        <v>434</v>
      </c>
      <c r="D67" t="s">
        <v>433</v>
      </c>
      <c r="E67" t="s">
        <v>48</v>
      </c>
    </row>
    <row r="68" spans="1:5" x14ac:dyDescent="0.3">
      <c r="A68" t="s">
        <v>170</v>
      </c>
      <c r="B68">
        <v>3</v>
      </c>
      <c r="C68" t="s">
        <v>435</v>
      </c>
      <c r="D68" t="s">
        <v>436</v>
      </c>
      <c r="E68" t="s">
        <v>31</v>
      </c>
    </row>
    <row r="69" spans="1:5" x14ac:dyDescent="0.3">
      <c r="A69" t="s">
        <v>173</v>
      </c>
      <c r="B69">
        <v>1</v>
      </c>
      <c r="C69" t="s">
        <v>437</v>
      </c>
      <c r="D69" t="s">
        <v>433</v>
      </c>
      <c r="E69" t="s">
        <v>48</v>
      </c>
    </row>
    <row r="70" spans="1:5" x14ac:dyDescent="0.3">
      <c r="A70" t="s">
        <v>173</v>
      </c>
      <c r="B70">
        <v>2</v>
      </c>
      <c r="C70" t="s">
        <v>434</v>
      </c>
      <c r="D70" t="s">
        <v>433</v>
      </c>
      <c r="E70" t="s">
        <v>31</v>
      </c>
    </row>
    <row r="71" spans="1:5" x14ac:dyDescent="0.3">
      <c r="A71" t="s">
        <v>175</v>
      </c>
      <c r="B71">
        <v>1</v>
      </c>
      <c r="C71" t="s">
        <v>435</v>
      </c>
      <c r="D71" t="s">
        <v>436</v>
      </c>
      <c r="E71" t="s">
        <v>48</v>
      </c>
    </row>
    <row r="72" spans="1:5" x14ac:dyDescent="0.3">
      <c r="A72" t="s">
        <v>175</v>
      </c>
      <c r="B72">
        <v>2</v>
      </c>
      <c r="C72" t="s">
        <v>440</v>
      </c>
      <c r="D72" t="s">
        <v>441</v>
      </c>
      <c r="E72" t="s">
        <v>31</v>
      </c>
    </row>
    <row r="73" spans="1:5" x14ac:dyDescent="0.3">
      <c r="A73" t="s">
        <v>175</v>
      </c>
      <c r="B73">
        <v>3</v>
      </c>
      <c r="C73" t="s">
        <v>439</v>
      </c>
      <c r="D73" t="s">
        <v>433</v>
      </c>
      <c r="E73" t="s">
        <v>31</v>
      </c>
    </row>
    <row r="74" spans="1:5" x14ac:dyDescent="0.3">
      <c r="A74" t="s">
        <v>178</v>
      </c>
      <c r="B74">
        <v>1</v>
      </c>
      <c r="C74" t="s">
        <v>439</v>
      </c>
      <c r="D74" t="s">
        <v>433</v>
      </c>
      <c r="E74" t="s">
        <v>48</v>
      </c>
    </row>
    <row r="75" spans="1:5" x14ac:dyDescent="0.3">
      <c r="A75" t="s">
        <v>178</v>
      </c>
      <c r="B75">
        <v>2</v>
      </c>
      <c r="C75" t="s">
        <v>440</v>
      </c>
      <c r="D75" t="s">
        <v>441</v>
      </c>
      <c r="E75" t="s">
        <v>31</v>
      </c>
    </row>
    <row r="76" spans="1:5" x14ac:dyDescent="0.3">
      <c r="A76" t="s">
        <v>178</v>
      </c>
      <c r="B76">
        <v>3</v>
      </c>
      <c r="C76" t="s">
        <v>434</v>
      </c>
      <c r="D76" t="s">
        <v>433</v>
      </c>
      <c r="E76" t="s">
        <v>31</v>
      </c>
    </row>
    <row r="77" spans="1:5" x14ac:dyDescent="0.3">
      <c r="A77" t="s">
        <v>182</v>
      </c>
      <c r="B77">
        <v>1</v>
      </c>
      <c r="C77" t="s">
        <v>435</v>
      </c>
      <c r="D77" t="s">
        <v>433</v>
      </c>
      <c r="E77" t="s">
        <v>48</v>
      </c>
    </row>
    <row r="78" spans="1:5" x14ac:dyDescent="0.3">
      <c r="A78" t="s">
        <v>182</v>
      </c>
      <c r="B78">
        <v>2</v>
      </c>
      <c r="C78" t="s">
        <v>437</v>
      </c>
      <c r="D78" t="s">
        <v>433</v>
      </c>
      <c r="E78" t="s">
        <v>31</v>
      </c>
    </row>
    <row r="79" spans="1:5" x14ac:dyDescent="0.3">
      <c r="A79" t="s">
        <v>182</v>
      </c>
      <c r="B79">
        <v>3</v>
      </c>
      <c r="C79" t="s">
        <v>439</v>
      </c>
      <c r="D79" t="s">
        <v>433</v>
      </c>
      <c r="E79" t="s">
        <v>31</v>
      </c>
    </row>
    <row r="80" spans="1:5" x14ac:dyDescent="0.3">
      <c r="A80" t="s">
        <v>188</v>
      </c>
      <c r="B80">
        <v>1</v>
      </c>
      <c r="C80" t="s">
        <v>432</v>
      </c>
      <c r="D80" t="s">
        <v>433</v>
      </c>
      <c r="E80" t="s">
        <v>48</v>
      </c>
    </row>
    <row r="81" spans="1:5" x14ac:dyDescent="0.3">
      <c r="A81" t="s">
        <v>188</v>
      </c>
      <c r="B81">
        <v>2</v>
      </c>
      <c r="C81" t="s">
        <v>434</v>
      </c>
      <c r="D81" t="s">
        <v>433</v>
      </c>
      <c r="E81" t="s">
        <v>48</v>
      </c>
    </row>
    <row r="82" spans="1:5" x14ac:dyDescent="0.3">
      <c r="A82" t="s">
        <v>192</v>
      </c>
      <c r="B82">
        <v>1</v>
      </c>
      <c r="C82" t="s">
        <v>438</v>
      </c>
      <c r="D82" t="s">
        <v>433</v>
      </c>
      <c r="E82" t="s">
        <v>48</v>
      </c>
    </row>
    <row r="83" spans="1:5" x14ac:dyDescent="0.3">
      <c r="A83" t="s">
        <v>192</v>
      </c>
      <c r="B83">
        <v>2</v>
      </c>
      <c r="C83" t="s">
        <v>439</v>
      </c>
      <c r="D83" t="s">
        <v>433</v>
      </c>
      <c r="E83" t="s">
        <v>31</v>
      </c>
    </row>
    <row r="84" spans="1:5" x14ac:dyDescent="0.3">
      <c r="A84" t="s">
        <v>192</v>
      </c>
      <c r="B84">
        <v>3</v>
      </c>
      <c r="C84" t="s">
        <v>442</v>
      </c>
      <c r="D84" t="s">
        <v>441</v>
      </c>
      <c r="E84" t="s">
        <v>31</v>
      </c>
    </row>
    <row r="85" spans="1:5" x14ac:dyDescent="0.3">
      <c r="A85" t="s">
        <v>195</v>
      </c>
      <c r="B85">
        <v>1</v>
      </c>
      <c r="C85" t="s">
        <v>435</v>
      </c>
      <c r="D85" t="s">
        <v>436</v>
      </c>
      <c r="E85" t="s">
        <v>48</v>
      </c>
    </row>
    <row r="86" spans="1:5" x14ac:dyDescent="0.3">
      <c r="A86" t="s">
        <v>195</v>
      </c>
      <c r="B86">
        <v>2</v>
      </c>
      <c r="C86" t="s">
        <v>440</v>
      </c>
      <c r="D86" t="s">
        <v>441</v>
      </c>
      <c r="E86" t="s">
        <v>31</v>
      </c>
    </row>
    <row r="87" spans="1:5" x14ac:dyDescent="0.3">
      <c r="A87" t="s">
        <v>195</v>
      </c>
      <c r="B87">
        <v>3</v>
      </c>
      <c r="C87" t="s">
        <v>437</v>
      </c>
      <c r="D87" t="s">
        <v>433</v>
      </c>
      <c r="E87" t="s">
        <v>31</v>
      </c>
    </row>
    <row r="88" spans="1:5" x14ac:dyDescent="0.3">
      <c r="A88" t="s">
        <v>200</v>
      </c>
      <c r="B88">
        <v>1</v>
      </c>
      <c r="C88" t="s">
        <v>435</v>
      </c>
      <c r="D88" t="s">
        <v>436</v>
      </c>
      <c r="E88" t="s">
        <v>48</v>
      </c>
    </row>
    <row r="89" spans="1:5" x14ac:dyDescent="0.3">
      <c r="A89" t="s">
        <v>200</v>
      </c>
      <c r="B89">
        <v>2</v>
      </c>
      <c r="C89" t="s">
        <v>439</v>
      </c>
      <c r="D89" t="s">
        <v>433</v>
      </c>
      <c r="E89" t="s">
        <v>48</v>
      </c>
    </row>
    <row r="90" spans="1:5" x14ac:dyDescent="0.3">
      <c r="A90" t="s">
        <v>204</v>
      </c>
      <c r="B90">
        <v>1</v>
      </c>
      <c r="C90" t="s">
        <v>439</v>
      </c>
      <c r="D90" t="s">
        <v>433</v>
      </c>
      <c r="E90" t="s">
        <v>48</v>
      </c>
    </row>
    <row r="91" spans="1:5" x14ac:dyDescent="0.3">
      <c r="A91" t="s">
        <v>204</v>
      </c>
      <c r="B91">
        <v>2</v>
      </c>
      <c r="C91" t="s">
        <v>440</v>
      </c>
      <c r="D91" t="s">
        <v>441</v>
      </c>
      <c r="E91" t="s">
        <v>48</v>
      </c>
    </row>
    <row r="92" spans="1:5" x14ac:dyDescent="0.3">
      <c r="A92" t="s">
        <v>207</v>
      </c>
      <c r="B92">
        <v>1</v>
      </c>
      <c r="C92" t="s">
        <v>435</v>
      </c>
      <c r="D92" t="s">
        <v>436</v>
      </c>
      <c r="E92" t="s">
        <v>48</v>
      </c>
    </row>
    <row r="93" spans="1:5" x14ac:dyDescent="0.3">
      <c r="A93" t="s">
        <v>207</v>
      </c>
      <c r="B93">
        <v>2</v>
      </c>
      <c r="C93" t="s">
        <v>437</v>
      </c>
      <c r="D93" t="s">
        <v>433</v>
      </c>
      <c r="E93" t="s">
        <v>31</v>
      </c>
    </row>
    <row r="94" spans="1:5" x14ac:dyDescent="0.3">
      <c r="A94" t="s">
        <v>207</v>
      </c>
      <c r="B94">
        <v>3</v>
      </c>
      <c r="C94" t="s">
        <v>439</v>
      </c>
      <c r="D94" t="s">
        <v>433</v>
      </c>
      <c r="E94" t="s">
        <v>31</v>
      </c>
    </row>
    <row r="95" spans="1:5" x14ac:dyDescent="0.3">
      <c r="A95" t="s">
        <v>211</v>
      </c>
      <c r="B95">
        <v>1</v>
      </c>
      <c r="C95" t="s">
        <v>432</v>
      </c>
      <c r="D95" t="s">
        <v>433</v>
      </c>
      <c r="E95" t="s">
        <v>48</v>
      </c>
    </row>
    <row r="96" spans="1:5" x14ac:dyDescent="0.3">
      <c r="A96" t="s">
        <v>211</v>
      </c>
      <c r="B96">
        <v>2</v>
      </c>
      <c r="C96" t="s">
        <v>434</v>
      </c>
      <c r="D96" t="s">
        <v>433</v>
      </c>
      <c r="E96" t="s">
        <v>48</v>
      </c>
    </row>
    <row r="97" spans="1:5" x14ac:dyDescent="0.3">
      <c r="A97" t="s">
        <v>214</v>
      </c>
      <c r="B97">
        <v>1</v>
      </c>
      <c r="C97" t="s">
        <v>437</v>
      </c>
      <c r="D97" t="s">
        <v>433</v>
      </c>
      <c r="E97" t="s">
        <v>48</v>
      </c>
    </row>
    <row r="98" spans="1:5" x14ac:dyDescent="0.3">
      <c r="A98" t="s">
        <v>214</v>
      </c>
      <c r="B98">
        <v>2</v>
      </c>
      <c r="C98" t="s">
        <v>434</v>
      </c>
      <c r="D98" t="s">
        <v>433</v>
      </c>
      <c r="E98" t="s">
        <v>31</v>
      </c>
    </row>
    <row r="99" spans="1:5" x14ac:dyDescent="0.3">
      <c r="A99" t="s">
        <v>217</v>
      </c>
      <c r="B99">
        <v>1</v>
      </c>
      <c r="C99" t="s">
        <v>439</v>
      </c>
      <c r="D99" t="s">
        <v>433</v>
      </c>
      <c r="E99" t="s">
        <v>48</v>
      </c>
    </row>
    <row r="100" spans="1:5" x14ac:dyDescent="0.3">
      <c r="A100" t="s">
        <v>219</v>
      </c>
      <c r="B100">
        <v>1</v>
      </c>
      <c r="C100" t="s">
        <v>438</v>
      </c>
      <c r="D100" t="s">
        <v>433</v>
      </c>
      <c r="E100" t="s">
        <v>48</v>
      </c>
    </row>
    <row r="101" spans="1:5" x14ac:dyDescent="0.3">
      <c r="A101" t="s">
        <v>219</v>
      </c>
      <c r="B101">
        <v>2</v>
      </c>
      <c r="C101" t="s">
        <v>439</v>
      </c>
      <c r="D101" t="s">
        <v>433</v>
      </c>
      <c r="E101" t="s">
        <v>48</v>
      </c>
    </row>
    <row r="102" spans="1:5" x14ac:dyDescent="0.3">
      <c r="A102" t="s">
        <v>221</v>
      </c>
      <c r="B102">
        <v>1</v>
      </c>
      <c r="C102" t="s">
        <v>432</v>
      </c>
      <c r="D102" t="s">
        <v>433</v>
      </c>
      <c r="E102" t="s">
        <v>48</v>
      </c>
    </row>
    <row r="103" spans="1:5" x14ac:dyDescent="0.3">
      <c r="A103" t="s">
        <v>223</v>
      </c>
      <c r="B103">
        <v>1</v>
      </c>
      <c r="C103" t="s">
        <v>432</v>
      </c>
      <c r="D103" t="s">
        <v>433</v>
      </c>
      <c r="E103" t="s">
        <v>48</v>
      </c>
    </row>
    <row r="104" spans="1:5" x14ac:dyDescent="0.3">
      <c r="A104" t="s">
        <v>225</v>
      </c>
      <c r="B104">
        <v>1</v>
      </c>
      <c r="C104" t="s">
        <v>434</v>
      </c>
      <c r="D104" t="s">
        <v>433</v>
      </c>
      <c r="E104" t="s">
        <v>48</v>
      </c>
    </row>
    <row r="105" spans="1:5" x14ac:dyDescent="0.3">
      <c r="A105" t="s">
        <v>225</v>
      </c>
      <c r="B105">
        <v>2</v>
      </c>
      <c r="C105" t="s">
        <v>437</v>
      </c>
      <c r="D105" t="s">
        <v>433</v>
      </c>
      <c r="E105" t="s">
        <v>31</v>
      </c>
    </row>
    <row r="106" spans="1:5" x14ac:dyDescent="0.3">
      <c r="A106" t="s">
        <v>227</v>
      </c>
      <c r="B106">
        <v>1</v>
      </c>
      <c r="C106" t="s">
        <v>435</v>
      </c>
      <c r="D106" t="s">
        <v>436</v>
      </c>
      <c r="E106" t="s">
        <v>48</v>
      </c>
    </row>
    <row r="107" spans="1:5" x14ac:dyDescent="0.3">
      <c r="A107" t="s">
        <v>227</v>
      </c>
      <c r="B107">
        <v>2</v>
      </c>
      <c r="C107" t="s">
        <v>434</v>
      </c>
      <c r="D107" t="s">
        <v>433</v>
      </c>
      <c r="E107" t="s">
        <v>31</v>
      </c>
    </row>
    <row r="108" spans="1:5" x14ac:dyDescent="0.3">
      <c r="A108" t="s">
        <v>231</v>
      </c>
      <c r="B108">
        <v>1</v>
      </c>
      <c r="C108" t="s">
        <v>438</v>
      </c>
      <c r="D108" t="s">
        <v>433</v>
      </c>
      <c r="E108" t="s">
        <v>48</v>
      </c>
    </row>
    <row r="109" spans="1:5" x14ac:dyDescent="0.3">
      <c r="A109" t="s">
        <v>231</v>
      </c>
      <c r="B109">
        <v>2</v>
      </c>
      <c r="C109" t="s">
        <v>439</v>
      </c>
      <c r="D109" t="s">
        <v>433</v>
      </c>
      <c r="E109" t="s">
        <v>48</v>
      </c>
    </row>
    <row r="110" spans="1:5" x14ac:dyDescent="0.3">
      <c r="A110" t="s">
        <v>231</v>
      </c>
      <c r="B110">
        <v>3</v>
      </c>
      <c r="C110" t="s">
        <v>434</v>
      </c>
      <c r="D110" t="s">
        <v>433</v>
      </c>
      <c r="E110" t="s">
        <v>31</v>
      </c>
    </row>
    <row r="111" spans="1:5" x14ac:dyDescent="0.3">
      <c r="A111" t="s">
        <v>231</v>
      </c>
      <c r="B111">
        <v>4</v>
      </c>
      <c r="C111" t="s">
        <v>440</v>
      </c>
      <c r="D111" t="s">
        <v>441</v>
      </c>
      <c r="E111" t="s">
        <v>31</v>
      </c>
    </row>
    <row r="112" spans="1:5" x14ac:dyDescent="0.3">
      <c r="A112" t="s">
        <v>237</v>
      </c>
      <c r="B112">
        <v>1</v>
      </c>
      <c r="C112" t="s">
        <v>439</v>
      </c>
      <c r="D112" t="s">
        <v>433</v>
      </c>
      <c r="E112" t="s">
        <v>48</v>
      </c>
    </row>
    <row r="113" spans="1:5" x14ac:dyDescent="0.3">
      <c r="A113" t="s">
        <v>237</v>
      </c>
      <c r="B113">
        <v>2</v>
      </c>
      <c r="C113" t="s">
        <v>438</v>
      </c>
      <c r="D113" t="s">
        <v>433</v>
      </c>
      <c r="E113" t="s">
        <v>48</v>
      </c>
    </row>
    <row r="114" spans="1:5" x14ac:dyDescent="0.3">
      <c r="A114" t="s">
        <v>237</v>
      </c>
      <c r="B114">
        <v>3</v>
      </c>
      <c r="C114" t="s">
        <v>440</v>
      </c>
      <c r="D114" t="s">
        <v>441</v>
      </c>
      <c r="E114" t="s">
        <v>31</v>
      </c>
    </row>
    <row r="115" spans="1:5" x14ac:dyDescent="0.3">
      <c r="A115" t="s">
        <v>241</v>
      </c>
      <c r="B115">
        <v>1</v>
      </c>
      <c r="C115" t="s">
        <v>438</v>
      </c>
      <c r="D115" t="s">
        <v>433</v>
      </c>
      <c r="E115" t="s">
        <v>48</v>
      </c>
    </row>
    <row r="116" spans="1:5" x14ac:dyDescent="0.3">
      <c r="A116" t="s">
        <v>241</v>
      </c>
      <c r="B116">
        <v>2</v>
      </c>
      <c r="C116" t="s">
        <v>440</v>
      </c>
      <c r="D116" t="s">
        <v>441</v>
      </c>
      <c r="E116" t="s">
        <v>31</v>
      </c>
    </row>
    <row r="117" spans="1:5" x14ac:dyDescent="0.3">
      <c r="A117" t="s">
        <v>241</v>
      </c>
      <c r="B117">
        <v>3</v>
      </c>
      <c r="C117" t="s">
        <v>439</v>
      </c>
      <c r="D117" t="s">
        <v>433</v>
      </c>
      <c r="E117" t="s">
        <v>31</v>
      </c>
    </row>
    <row r="118" spans="1:5" x14ac:dyDescent="0.3">
      <c r="A118" t="s">
        <v>244</v>
      </c>
      <c r="B118">
        <v>1</v>
      </c>
      <c r="C118" t="s">
        <v>432</v>
      </c>
      <c r="D118" t="s">
        <v>433</v>
      </c>
      <c r="E118" t="s">
        <v>48</v>
      </c>
    </row>
    <row r="119" spans="1:5" x14ac:dyDescent="0.3">
      <c r="A119" t="s">
        <v>244</v>
      </c>
      <c r="B119">
        <v>2</v>
      </c>
      <c r="C119" t="s">
        <v>435</v>
      </c>
      <c r="D119" t="s">
        <v>433</v>
      </c>
      <c r="E119" t="s">
        <v>31</v>
      </c>
    </row>
    <row r="120" spans="1:5" x14ac:dyDescent="0.3">
      <c r="A120" t="s">
        <v>244</v>
      </c>
      <c r="B120">
        <v>3</v>
      </c>
      <c r="C120" t="s">
        <v>437</v>
      </c>
      <c r="D120" t="s">
        <v>433</v>
      </c>
      <c r="E120" t="s">
        <v>31</v>
      </c>
    </row>
    <row r="121" spans="1:5" x14ac:dyDescent="0.3">
      <c r="A121" t="s">
        <v>244</v>
      </c>
      <c r="B121">
        <v>4</v>
      </c>
      <c r="C121" t="s">
        <v>434</v>
      </c>
      <c r="D121" t="s">
        <v>433</v>
      </c>
      <c r="E121" t="s">
        <v>31</v>
      </c>
    </row>
    <row r="122" spans="1:5" x14ac:dyDescent="0.3">
      <c r="A122" t="s">
        <v>247</v>
      </c>
      <c r="B122">
        <v>1</v>
      </c>
      <c r="C122" t="s">
        <v>439</v>
      </c>
      <c r="D122" t="s">
        <v>433</v>
      </c>
      <c r="E122" t="s">
        <v>48</v>
      </c>
    </row>
    <row r="123" spans="1:5" x14ac:dyDescent="0.3">
      <c r="A123" t="s">
        <v>247</v>
      </c>
      <c r="B123">
        <v>2</v>
      </c>
      <c r="C123" t="s">
        <v>440</v>
      </c>
      <c r="D123" t="s">
        <v>441</v>
      </c>
      <c r="E123" t="s">
        <v>31</v>
      </c>
    </row>
    <row r="124" spans="1:5" x14ac:dyDescent="0.3">
      <c r="A124" t="s">
        <v>247</v>
      </c>
      <c r="B124">
        <v>3</v>
      </c>
      <c r="C124" t="s">
        <v>438</v>
      </c>
      <c r="D124" t="s">
        <v>433</v>
      </c>
      <c r="E124" t="s">
        <v>31</v>
      </c>
    </row>
    <row r="125" spans="1:5" x14ac:dyDescent="0.3">
      <c r="A125" t="s">
        <v>250</v>
      </c>
      <c r="B125">
        <v>1</v>
      </c>
      <c r="C125" t="s">
        <v>432</v>
      </c>
      <c r="D125" t="s">
        <v>433</v>
      </c>
      <c r="E125" t="s">
        <v>48</v>
      </c>
    </row>
    <row r="126" spans="1:5" x14ac:dyDescent="0.3">
      <c r="A126" t="s">
        <v>250</v>
      </c>
      <c r="B126">
        <v>2</v>
      </c>
      <c r="C126" t="s">
        <v>434</v>
      </c>
      <c r="D126" t="s">
        <v>433</v>
      </c>
      <c r="E126" t="s">
        <v>48</v>
      </c>
    </row>
    <row r="127" spans="1:5" x14ac:dyDescent="0.3">
      <c r="A127" t="s">
        <v>250</v>
      </c>
      <c r="B127">
        <v>3</v>
      </c>
      <c r="C127" t="s">
        <v>438</v>
      </c>
      <c r="D127" t="s">
        <v>433</v>
      </c>
      <c r="E127" t="s">
        <v>31</v>
      </c>
    </row>
    <row r="128" spans="1:5" x14ac:dyDescent="0.3">
      <c r="A128" t="s">
        <v>252</v>
      </c>
      <c r="B128">
        <v>1</v>
      </c>
      <c r="C128" t="s">
        <v>435</v>
      </c>
      <c r="D128" t="s">
        <v>436</v>
      </c>
      <c r="E128" t="s">
        <v>48</v>
      </c>
    </row>
    <row r="129" spans="1:5" x14ac:dyDescent="0.3">
      <c r="A129" t="s">
        <v>252</v>
      </c>
      <c r="B129">
        <v>2</v>
      </c>
      <c r="C129" t="s">
        <v>440</v>
      </c>
      <c r="D129" t="s">
        <v>441</v>
      </c>
      <c r="E129" t="s">
        <v>31</v>
      </c>
    </row>
    <row r="130" spans="1:5" x14ac:dyDescent="0.3">
      <c r="A130" t="s">
        <v>252</v>
      </c>
      <c r="B130">
        <v>3</v>
      </c>
      <c r="C130" t="s">
        <v>439</v>
      </c>
      <c r="D130" t="s">
        <v>433</v>
      </c>
      <c r="E130" t="s">
        <v>31</v>
      </c>
    </row>
    <row r="131" spans="1:5" x14ac:dyDescent="0.3">
      <c r="A131" t="s">
        <v>255</v>
      </c>
      <c r="B131">
        <v>1</v>
      </c>
      <c r="C131" t="s">
        <v>434</v>
      </c>
      <c r="D131" t="s">
        <v>433</v>
      </c>
      <c r="E131" t="s">
        <v>48</v>
      </c>
    </row>
    <row r="132" spans="1:5" x14ac:dyDescent="0.3">
      <c r="A132" t="s">
        <v>255</v>
      </c>
      <c r="B132">
        <v>2</v>
      </c>
      <c r="C132" t="s">
        <v>437</v>
      </c>
      <c r="D132" t="s">
        <v>433</v>
      </c>
      <c r="E132" t="s">
        <v>31</v>
      </c>
    </row>
    <row r="133" spans="1:5" x14ac:dyDescent="0.3">
      <c r="A133" t="s">
        <v>258</v>
      </c>
      <c r="B133">
        <v>1</v>
      </c>
      <c r="C133" t="s">
        <v>439</v>
      </c>
      <c r="D133" t="s">
        <v>433</v>
      </c>
      <c r="E133" t="s">
        <v>48</v>
      </c>
    </row>
    <row r="134" spans="1:5" x14ac:dyDescent="0.3">
      <c r="A134" t="s">
        <v>258</v>
      </c>
      <c r="B134">
        <v>2</v>
      </c>
      <c r="C134" t="s">
        <v>437</v>
      </c>
      <c r="D134" t="s">
        <v>433</v>
      </c>
      <c r="E134" t="s">
        <v>31</v>
      </c>
    </row>
    <row r="135" spans="1:5" x14ac:dyDescent="0.3">
      <c r="A135" t="s">
        <v>258</v>
      </c>
      <c r="B135">
        <v>3</v>
      </c>
      <c r="C135" t="s">
        <v>438</v>
      </c>
      <c r="D135" t="s">
        <v>433</v>
      </c>
      <c r="E135" t="s">
        <v>31</v>
      </c>
    </row>
    <row r="136" spans="1:5" x14ac:dyDescent="0.3">
      <c r="A136" t="s">
        <v>261</v>
      </c>
      <c r="B136">
        <v>1</v>
      </c>
      <c r="C136" t="s">
        <v>432</v>
      </c>
      <c r="D136" t="s">
        <v>433</v>
      </c>
      <c r="E136" t="s">
        <v>48</v>
      </c>
    </row>
    <row r="137" spans="1:5" x14ac:dyDescent="0.3">
      <c r="A137" t="s">
        <v>261</v>
      </c>
      <c r="B137">
        <v>2</v>
      </c>
      <c r="C137" t="s">
        <v>434</v>
      </c>
      <c r="D137" t="s">
        <v>433</v>
      </c>
      <c r="E137" t="s">
        <v>48</v>
      </c>
    </row>
    <row r="138" spans="1:5" x14ac:dyDescent="0.3">
      <c r="A138" t="s">
        <v>261</v>
      </c>
      <c r="B138">
        <v>3</v>
      </c>
      <c r="C138" t="s">
        <v>437</v>
      </c>
      <c r="D138" t="s">
        <v>433</v>
      </c>
      <c r="E138" t="s">
        <v>31</v>
      </c>
    </row>
    <row r="139" spans="1:5" x14ac:dyDescent="0.3">
      <c r="A139" t="s">
        <v>264</v>
      </c>
      <c r="B139">
        <v>1</v>
      </c>
      <c r="C139" t="s">
        <v>432</v>
      </c>
      <c r="D139" t="s">
        <v>433</v>
      </c>
      <c r="E139" t="s">
        <v>48</v>
      </c>
    </row>
    <row r="140" spans="1:5" x14ac:dyDescent="0.3">
      <c r="A140" t="s">
        <v>264</v>
      </c>
      <c r="B140">
        <v>2</v>
      </c>
      <c r="C140" t="s">
        <v>434</v>
      </c>
      <c r="D140" t="s">
        <v>433</v>
      </c>
      <c r="E140" t="s">
        <v>48</v>
      </c>
    </row>
    <row r="141" spans="1:5" x14ac:dyDescent="0.3">
      <c r="A141" t="s">
        <v>264</v>
      </c>
      <c r="B141">
        <v>3</v>
      </c>
      <c r="C141" t="s">
        <v>438</v>
      </c>
      <c r="D141" t="s">
        <v>433</v>
      </c>
      <c r="E141" t="s">
        <v>31</v>
      </c>
    </row>
    <row r="142" spans="1:5" x14ac:dyDescent="0.3">
      <c r="A142" t="s">
        <v>266</v>
      </c>
      <c r="B142">
        <v>1</v>
      </c>
      <c r="C142" t="s">
        <v>435</v>
      </c>
      <c r="D142" t="s">
        <v>436</v>
      </c>
      <c r="E142" t="s">
        <v>48</v>
      </c>
    </row>
    <row r="143" spans="1:5" x14ac:dyDescent="0.3">
      <c r="A143" t="s">
        <v>266</v>
      </c>
      <c r="B143">
        <v>2</v>
      </c>
      <c r="C143" t="s">
        <v>439</v>
      </c>
      <c r="D143" t="s">
        <v>433</v>
      </c>
      <c r="E143" t="s">
        <v>31</v>
      </c>
    </row>
    <row r="144" spans="1:5" x14ac:dyDescent="0.3">
      <c r="A144" t="s">
        <v>270</v>
      </c>
      <c r="B144">
        <v>1</v>
      </c>
      <c r="C144" t="s">
        <v>439</v>
      </c>
      <c r="D144" t="s">
        <v>433</v>
      </c>
      <c r="E144" t="s">
        <v>48</v>
      </c>
    </row>
    <row r="145" spans="1:5" x14ac:dyDescent="0.3">
      <c r="A145" t="s">
        <v>270</v>
      </c>
      <c r="B145">
        <v>2</v>
      </c>
      <c r="C145" t="s">
        <v>437</v>
      </c>
      <c r="D145" t="s">
        <v>433</v>
      </c>
      <c r="E145" t="s">
        <v>31</v>
      </c>
    </row>
    <row r="146" spans="1:5" x14ac:dyDescent="0.3">
      <c r="A146" t="s">
        <v>270</v>
      </c>
      <c r="B146">
        <v>3</v>
      </c>
      <c r="C146" t="s">
        <v>435</v>
      </c>
      <c r="D146" t="s">
        <v>433</v>
      </c>
      <c r="E146" t="s">
        <v>73</v>
      </c>
    </row>
    <row r="147" spans="1:5" x14ac:dyDescent="0.3">
      <c r="A147" t="s">
        <v>274</v>
      </c>
      <c r="B147">
        <v>1</v>
      </c>
      <c r="C147" t="s">
        <v>435</v>
      </c>
      <c r="D147" t="s">
        <v>436</v>
      </c>
      <c r="E147" t="s">
        <v>48</v>
      </c>
    </row>
    <row r="148" spans="1:5" x14ac:dyDescent="0.3">
      <c r="A148" t="s">
        <v>274</v>
      </c>
      <c r="B148">
        <v>2</v>
      </c>
      <c r="C148" t="s">
        <v>434</v>
      </c>
      <c r="D148" t="s">
        <v>433</v>
      </c>
      <c r="E148" t="s">
        <v>31</v>
      </c>
    </row>
    <row r="149" spans="1:5" x14ac:dyDescent="0.3">
      <c r="A149" t="s">
        <v>274</v>
      </c>
      <c r="B149">
        <v>3</v>
      </c>
      <c r="C149" t="s">
        <v>438</v>
      </c>
      <c r="D149" t="s">
        <v>433</v>
      </c>
      <c r="E149" t="s">
        <v>31</v>
      </c>
    </row>
    <row r="150" spans="1:5" x14ac:dyDescent="0.3">
      <c r="A150" t="s">
        <v>277</v>
      </c>
      <c r="B150">
        <v>1</v>
      </c>
      <c r="C150" t="s">
        <v>432</v>
      </c>
      <c r="D150" t="s">
        <v>433</v>
      </c>
      <c r="E150" t="s">
        <v>48</v>
      </c>
    </row>
    <row r="151" spans="1:5" x14ac:dyDescent="0.3">
      <c r="A151" t="s">
        <v>277</v>
      </c>
      <c r="B151">
        <v>2</v>
      </c>
      <c r="C151" t="s">
        <v>434</v>
      </c>
      <c r="D151" t="s">
        <v>433</v>
      </c>
      <c r="E151" t="s">
        <v>48</v>
      </c>
    </row>
    <row r="152" spans="1:5" x14ac:dyDescent="0.3">
      <c r="A152" t="s">
        <v>277</v>
      </c>
      <c r="B152">
        <v>3</v>
      </c>
      <c r="C152" t="s">
        <v>437</v>
      </c>
      <c r="D152" t="s">
        <v>433</v>
      </c>
      <c r="E152" t="s">
        <v>31</v>
      </c>
    </row>
    <row r="153" spans="1:5" x14ac:dyDescent="0.3">
      <c r="A153" t="s">
        <v>279</v>
      </c>
      <c r="B153">
        <v>1</v>
      </c>
      <c r="C153" t="s">
        <v>434</v>
      </c>
      <c r="D153" t="s">
        <v>433</v>
      </c>
      <c r="E153" t="s">
        <v>48</v>
      </c>
    </row>
    <row r="154" spans="1:5" x14ac:dyDescent="0.3">
      <c r="A154" t="s">
        <v>279</v>
      </c>
      <c r="B154">
        <v>2</v>
      </c>
      <c r="C154" t="s">
        <v>438</v>
      </c>
      <c r="D154" t="s">
        <v>433</v>
      </c>
      <c r="E154" t="s">
        <v>31</v>
      </c>
    </row>
    <row r="155" spans="1:5" x14ac:dyDescent="0.3">
      <c r="A155" t="s">
        <v>279</v>
      </c>
      <c r="B155">
        <v>3</v>
      </c>
      <c r="C155" t="s">
        <v>439</v>
      </c>
      <c r="D155" t="s">
        <v>433</v>
      </c>
      <c r="E155" t="s">
        <v>31</v>
      </c>
    </row>
    <row r="156" spans="1:5" x14ac:dyDescent="0.3">
      <c r="A156" t="s">
        <v>283</v>
      </c>
      <c r="B156">
        <v>1</v>
      </c>
      <c r="C156" t="s">
        <v>437</v>
      </c>
      <c r="D156" t="s">
        <v>433</v>
      </c>
      <c r="E156" t="s">
        <v>48</v>
      </c>
    </row>
    <row r="157" spans="1:5" x14ac:dyDescent="0.3">
      <c r="A157" t="s">
        <v>283</v>
      </c>
      <c r="B157">
        <v>2</v>
      </c>
      <c r="C157" t="s">
        <v>439</v>
      </c>
      <c r="D157" t="s">
        <v>433</v>
      </c>
      <c r="E157" t="s">
        <v>48</v>
      </c>
    </row>
    <row r="158" spans="1:5" x14ac:dyDescent="0.3">
      <c r="A158" t="s">
        <v>286</v>
      </c>
      <c r="B158">
        <v>1</v>
      </c>
      <c r="C158" t="s">
        <v>437</v>
      </c>
      <c r="D158" t="s">
        <v>433</v>
      </c>
      <c r="E158" t="s">
        <v>31</v>
      </c>
    </row>
    <row r="159" spans="1:5" x14ac:dyDescent="0.3">
      <c r="A159" t="s">
        <v>286</v>
      </c>
      <c r="B159">
        <v>2</v>
      </c>
      <c r="C159" t="s">
        <v>435</v>
      </c>
      <c r="D159" t="s">
        <v>433</v>
      </c>
      <c r="E159" t="s">
        <v>31</v>
      </c>
    </row>
    <row r="160" spans="1:5" x14ac:dyDescent="0.3">
      <c r="A160" t="s">
        <v>286</v>
      </c>
      <c r="B160">
        <v>3</v>
      </c>
      <c r="C160" t="s">
        <v>434</v>
      </c>
      <c r="D160" t="s">
        <v>433</v>
      </c>
      <c r="E160" t="s">
        <v>31</v>
      </c>
    </row>
    <row r="161" spans="1:5" x14ac:dyDescent="0.3">
      <c r="A161" t="s">
        <v>288</v>
      </c>
      <c r="B161">
        <v>1</v>
      </c>
      <c r="C161" t="s">
        <v>432</v>
      </c>
      <c r="D161" t="s">
        <v>433</v>
      </c>
      <c r="E161" t="s">
        <v>48</v>
      </c>
    </row>
    <row r="162" spans="1:5" x14ac:dyDescent="0.3">
      <c r="A162" t="s">
        <v>288</v>
      </c>
      <c r="B162">
        <v>2</v>
      </c>
      <c r="C162" t="s">
        <v>434</v>
      </c>
      <c r="D162" t="s">
        <v>433</v>
      </c>
      <c r="E162" t="s">
        <v>48</v>
      </c>
    </row>
    <row r="163" spans="1:5" x14ac:dyDescent="0.3">
      <c r="A163" t="s">
        <v>288</v>
      </c>
      <c r="B163">
        <v>3</v>
      </c>
      <c r="C163" t="s">
        <v>435</v>
      </c>
      <c r="D163" t="s">
        <v>436</v>
      </c>
      <c r="E163" t="s">
        <v>31</v>
      </c>
    </row>
    <row r="164" spans="1:5" x14ac:dyDescent="0.3">
      <c r="A164" t="s">
        <v>288</v>
      </c>
      <c r="B164">
        <v>4</v>
      </c>
      <c r="C164" t="s">
        <v>440</v>
      </c>
      <c r="D164" t="s">
        <v>441</v>
      </c>
      <c r="E164" t="s">
        <v>31</v>
      </c>
    </row>
    <row r="165" spans="1:5" x14ac:dyDescent="0.3">
      <c r="A165" t="s">
        <v>292</v>
      </c>
      <c r="B165">
        <v>1</v>
      </c>
      <c r="C165" t="s">
        <v>435</v>
      </c>
      <c r="D165" t="s">
        <v>436</v>
      </c>
      <c r="E165" t="s">
        <v>48</v>
      </c>
    </row>
    <row r="166" spans="1:5" x14ac:dyDescent="0.3">
      <c r="A166" t="s">
        <v>292</v>
      </c>
      <c r="B166">
        <v>2</v>
      </c>
      <c r="C166" t="s">
        <v>438</v>
      </c>
      <c r="D166" t="s">
        <v>433</v>
      </c>
      <c r="E166" t="s">
        <v>48</v>
      </c>
    </row>
    <row r="167" spans="1:5" x14ac:dyDescent="0.3">
      <c r="A167" t="s">
        <v>295</v>
      </c>
      <c r="B167">
        <v>1</v>
      </c>
      <c r="C167" t="s">
        <v>435</v>
      </c>
      <c r="D167" t="s">
        <v>436</v>
      </c>
      <c r="E167" t="s">
        <v>31</v>
      </c>
    </row>
    <row r="168" spans="1:5" x14ac:dyDescent="0.3">
      <c r="A168" t="s">
        <v>295</v>
      </c>
      <c r="B168">
        <v>2</v>
      </c>
      <c r="C168" t="s">
        <v>438</v>
      </c>
      <c r="D168" t="s">
        <v>433</v>
      </c>
      <c r="E168" t="s">
        <v>48</v>
      </c>
    </row>
    <row r="169" spans="1:5" x14ac:dyDescent="0.3">
      <c r="A169" t="s">
        <v>295</v>
      </c>
      <c r="B169">
        <v>3</v>
      </c>
      <c r="C169" t="s">
        <v>434</v>
      </c>
      <c r="D169" t="s">
        <v>433</v>
      </c>
      <c r="E169" t="s">
        <v>31</v>
      </c>
    </row>
    <row r="170" spans="1:5" x14ac:dyDescent="0.3">
      <c r="A170" t="s">
        <v>297</v>
      </c>
      <c r="B170">
        <v>1</v>
      </c>
      <c r="C170" t="s">
        <v>434</v>
      </c>
      <c r="D170" t="s">
        <v>433</v>
      </c>
      <c r="E170" t="s">
        <v>48</v>
      </c>
    </row>
    <row r="171" spans="1:5" x14ac:dyDescent="0.3">
      <c r="A171" t="s">
        <v>297</v>
      </c>
      <c r="B171">
        <v>2</v>
      </c>
      <c r="C171" t="s">
        <v>437</v>
      </c>
      <c r="D171" t="s">
        <v>433</v>
      </c>
      <c r="E171" t="s">
        <v>48</v>
      </c>
    </row>
    <row r="172" spans="1:5" x14ac:dyDescent="0.3">
      <c r="A172" t="s">
        <v>297</v>
      </c>
      <c r="B172">
        <v>3</v>
      </c>
      <c r="C172" t="s">
        <v>432</v>
      </c>
      <c r="D172" t="s">
        <v>433</v>
      </c>
      <c r="E172" t="s">
        <v>31</v>
      </c>
    </row>
    <row r="173" spans="1:5" x14ac:dyDescent="0.3">
      <c r="A173" t="s">
        <v>301</v>
      </c>
      <c r="B173">
        <v>1</v>
      </c>
      <c r="C173" t="s">
        <v>438</v>
      </c>
      <c r="D173" t="s">
        <v>433</v>
      </c>
      <c r="E173" t="s">
        <v>48</v>
      </c>
    </row>
    <row r="174" spans="1:5" x14ac:dyDescent="0.3">
      <c r="A174" t="s">
        <v>301</v>
      </c>
      <c r="B174">
        <v>2</v>
      </c>
      <c r="C174" t="s">
        <v>439</v>
      </c>
      <c r="D174" t="s">
        <v>433</v>
      </c>
      <c r="E174" t="s">
        <v>48</v>
      </c>
    </row>
    <row r="175" spans="1:5" x14ac:dyDescent="0.3">
      <c r="A175" t="s">
        <v>301</v>
      </c>
      <c r="B175">
        <v>3</v>
      </c>
      <c r="C175" t="s">
        <v>442</v>
      </c>
      <c r="D175" t="s">
        <v>441</v>
      </c>
      <c r="E175" t="s">
        <v>31</v>
      </c>
    </row>
    <row r="176" spans="1:5" x14ac:dyDescent="0.3">
      <c r="A176" t="s">
        <v>303</v>
      </c>
      <c r="B176">
        <v>1</v>
      </c>
      <c r="C176" t="s">
        <v>439</v>
      </c>
      <c r="D176" t="s">
        <v>433</v>
      </c>
      <c r="E176" t="s">
        <v>48</v>
      </c>
    </row>
    <row r="177" spans="1:5" x14ac:dyDescent="0.3">
      <c r="A177" t="s">
        <v>303</v>
      </c>
      <c r="B177">
        <v>2</v>
      </c>
      <c r="C177" t="s">
        <v>440</v>
      </c>
      <c r="D177" t="s">
        <v>441</v>
      </c>
      <c r="E177" t="s">
        <v>31</v>
      </c>
    </row>
    <row r="178" spans="1:5" x14ac:dyDescent="0.3">
      <c r="A178" t="s">
        <v>306</v>
      </c>
      <c r="B178">
        <v>1</v>
      </c>
      <c r="C178" t="s">
        <v>439</v>
      </c>
      <c r="D178" t="s">
        <v>433</v>
      </c>
      <c r="E178" t="s">
        <v>48</v>
      </c>
    </row>
    <row r="179" spans="1:5" x14ac:dyDescent="0.3">
      <c r="A179" t="s">
        <v>306</v>
      </c>
      <c r="B179">
        <v>2</v>
      </c>
      <c r="C179" t="s">
        <v>440</v>
      </c>
      <c r="D179" t="s">
        <v>441</v>
      </c>
      <c r="E179" t="s">
        <v>31</v>
      </c>
    </row>
    <row r="180" spans="1:5" x14ac:dyDescent="0.3">
      <c r="A180" t="s">
        <v>310</v>
      </c>
      <c r="B180">
        <v>1</v>
      </c>
      <c r="C180" t="s">
        <v>432</v>
      </c>
      <c r="D180" t="s">
        <v>433</v>
      </c>
      <c r="E180" t="s">
        <v>48</v>
      </c>
    </row>
    <row r="181" spans="1:5" x14ac:dyDescent="0.3">
      <c r="A181" t="s">
        <v>310</v>
      </c>
      <c r="B181">
        <v>2</v>
      </c>
      <c r="C181" t="s">
        <v>434</v>
      </c>
      <c r="D181" t="s">
        <v>433</v>
      </c>
      <c r="E181" t="s">
        <v>48</v>
      </c>
    </row>
    <row r="182" spans="1:5" x14ac:dyDescent="0.3">
      <c r="A182" t="s">
        <v>310</v>
      </c>
      <c r="B182">
        <v>3</v>
      </c>
      <c r="C182" t="s">
        <v>438</v>
      </c>
      <c r="D182" t="s">
        <v>433</v>
      </c>
      <c r="E182" t="s">
        <v>31</v>
      </c>
    </row>
    <row r="183" spans="1:5" x14ac:dyDescent="0.3">
      <c r="A183" t="s">
        <v>312</v>
      </c>
      <c r="B183">
        <v>1</v>
      </c>
      <c r="C183" t="s">
        <v>435</v>
      </c>
      <c r="D183" t="s">
        <v>436</v>
      </c>
      <c r="E183" t="s">
        <v>48</v>
      </c>
    </row>
    <row r="184" spans="1:5" x14ac:dyDescent="0.3">
      <c r="A184" t="s">
        <v>315</v>
      </c>
      <c r="B184">
        <v>1</v>
      </c>
      <c r="C184" t="s">
        <v>432</v>
      </c>
      <c r="D184" t="s">
        <v>433</v>
      </c>
      <c r="E184" t="s">
        <v>48</v>
      </c>
    </row>
    <row r="185" spans="1:5" x14ac:dyDescent="0.3">
      <c r="A185" t="s">
        <v>315</v>
      </c>
      <c r="B185">
        <v>2</v>
      </c>
      <c r="C185" t="s">
        <v>434</v>
      </c>
      <c r="D185" t="s">
        <v>433</v>
      </c>
      <c r="E185" t="s">
        <v>48</v>
      </c>
    </row>
    <row r="186" spans="1:5" x14ac:dyDescent="0.3">
      <c r="A186" t="s">
        <v>315</v>
      </c>
      <c r="B186">
        <v>3</v>
      </c>
      <c r="C186" t="s">
        <v>442</v>
      </c>
      <c r="D186" t="s">
        <v>441</v>
      </c>
      <c r="E186" t="s">
        <v>31</v>
      </c>
    </row>
    <row r="187" spans="1:5" x14ac:dyDescent="0.3">
      <c r="A187" t="s">
        <v>315</v>
      </c>
      <c r="B187">
        <v>4</v>
      </c>
      <c r="C187" t="s">
        <v>440</v>
      </c>
      <c r="D187" t="s">
        <v>441</v>
      </c>
      <c r="E187" t="s">
        <v>31</v>
      </c>
    </row>
    <row r="188" spans="1:5" x14ac:dyDescent="0.3">
      <c r="A188" t="s">
        <v>321</v>
      </c>
      <c r="B188">
        <v>1</v>
      </c>
      <c r="C188" t="s">
        <v>434</v>
      </c>
      <c r="D188" t="s">
        <v>433</v>
      </c>
      <c r="E188" t="s">
        <v>48</v>
      </c>
    </row>
    <row r="189" spans="1:5" x14ac:dyDescent="0.3">
      <c r="A189" t="s">
        <v>321</v>
      </c>
      <c r="B189">
        <v>2</v>
      </c>
      <c r="C189" t="s">
        <v>437</v>
      </c>
      <c r="D189" t="s">
        <v>433</v>
      </c>
      <c r="E189" t="s">
        <v>48</v>
      </c>
    </row>
    <row r="190" spans="1:5" x14ac:dyDescent="0.3">
      <c r="A190" t="s">
        <v>324</v>
      </c>
      <c r="B190">
        <v>1</v>
      </c>
      <c r="C190" t="s">
        <v>434</v>
      </c>
      <c r="D190" t="s">
        <v>433</v>
      </c>
      <c r="E190" t="s">
        <v>48</v>
      </c>
    </row>
    <row r="191" spans="1:5" x14ac:dyDescent="0.3">
      <c r="A191" t="s">
        <v>324</v>
      </c>
      <c r="B191">
        <v>2</v>
      </c>
      <c r="C191" t="s">
        <v>438</v>
      </c>
      <c r="D191" t="s">
        <v>433</v>
      </c>
      <c r="E191" t="s">
        <v>31</v>
      </c>
    </row>
    <row r="192" spans="1:5" x14ac:dyDescent="0.3">
      <c r="A192" t="s">
        <v>324</v>
      </c>
      <c r="B192">
        <v>3</v>
      </c>
      <c r="C192" t="s">
        <v>439</v>
      </c>
      <c r="D192" t="s">
        <v>433</v>
      </c>
      <c r="E192" t="s">
        <v>31</v>
      </c>
    </row>
    <row r="193" spans="1:5" x14ac:dyDescent="0.3">
      <c r="A193" t="s">
        <v>327</v>
      </c>
      <c r="B193">
        <v>1</v>
      </c>
      <c r="C193" t="s">
        <v>435</v>
      </c>
      <c r="D193" t="s">
        <v>436</v>
      </c>
      <c r="E193" t="s">
        <v>48</v>
      </c>
    </row>
    <row r="194" spans="1:5" x14ac:dyDescent="0.3">
      <c r="A194" t="s">
        <v>329</v>
      </c>
      <c r="B194">
        <v>1</v>
      </c>
      <c r="C194" t="s">
        <v>432</v>
      </c>
      <c r="D194" t="s">
        <v>433</v>
      </c>
      <c r="E194" t="s">
        <v>48</v>
      </c>
    </row>
    <row r="195" spans="1:5" x14ac:dyDescent="0.3">
      <c r="A195" t="s">
        <v>329</v>
      </c>
      <c r="B195">
        <v>2</v>
      </c>
      <c r="C195" t="s">
        <v>434</v>
      </c>
      <c r="D195" t="s">
        <v>433</v>
      </c>
      <c r="E195" t="s">
        <v>48</v>
      </c>
    </row>
    <row r="196" spans="1:5" x14ac:dyDescent="0.3">
      <c r="A196" t="s">
        <v>329</v>
      </c>
      <c r="B196">
        <v>3</v>
      </c>
      <c r="C196" t="s">
        <v>438</v>
      </c>
      <c r="D196" t="s">
        <v>433</v>
      </c>
      <c r="E196" t="s">
        <v>31</v>
      </c>
    </row>
    <row r="197" spans="1:5" x14ac:dyDescent="0.3">
      <c r="A197" t="s">
        <v>329</v>
      </c>
      <c r="B197">
        <v>4</v>
      </c>
      <c r="C197" t="s">
        <v>439</v>
      </c>
      <c r="D197" t="s">
        <v>433</v>
      </c>
      <c r="E197" t="s">
        <v>31</v>
      </c>
    </row>
    <row r="198" spans="1:5" x14ac:dyDescent="0.3">
      <c r="A198" t="s">
        <v>331</v>
      </c>
      <c r="B198">
        <v>1</v>
      </c>
      <c r="C198" t="s">
        <v>434</v>
      </c>
      <c r="D198" t="s">
        <v>433</v>
      </c>
      <c r="E198" t="s">
        <v>48</v>
      </c>
    </row>
    <row r="199" spans="1:5" x14ac:dyDescent="0.3">
      <c r="A199" t="s">
        <v>333</v>
      </c>
      <c r="B199">
        <v>1</v>
      </c>
      <c r="C199" t="s">
        <v>432</v>
      </c>
      <c r="D199" t="s">
        <v>433</v>
      </c>
      <c r="E199" t="s">
        <v>48</v>
      </c>
    </row>
    <row r="200" spans="1:5" x14ac:dyDescent="0.3">
      <c r="A200" t="s">
        <v>333</v>
      </c>
      <c r="B200">
        <v>2</v>
      </c>
      <c r="C200" t="s">
        <v>434</v>
      </c>
      <c r="D200" t="s">
        <v>433</v>
      </c>
      <c r="E200" t="s">
        <v>31</v>
      </c>
    </row>
    <row r="201" spans="1:5" x14ac:dyDescent="0.3">
      <c r="A201" t="s">
        <v>335</v>
      </c>
      <c r="B201">
        <v>1</v>
      </c>
      <c r="C201" t="s">
        <v>439</v>
      </c>
      <c r="D201" t="s">
        <v>433</v>
      </c>
      <c r="E201" t="s">
        <v>48</v>
      </c>
    </row>
    <row r="202" spans="1:5" x14ac:dyDescent="0.3">
      <c r="A202" t="s">
        <v>335</v>
      </c>
      <c r="B202">
        <v>2</v>
      </c>
      <c r="C202" t="s">
        <v>434</v>
      </c>
      <c r="D202" t="s">
        <v>433</v>
      </c>
      <c r="E202" t="s">
        <v>31</v>
      </c>
    </row>
    <row r="203" spans="1:5" x14ac:dyDescent="0.3">
      <c r="A203" t="s">
        <v>335</v>
      </c>
      <c r="B203">
        <v>3</v>
      </c>
      <c r="C203" t="s">
        <v>438</v>
      </c>
      <c r="D203" t="s">
        <v>433</v>
      </c>
      <c r="E203" t="s">
        <v>31</v>
      </c>
    </row>
    <row r="204" spans="1:5" x14ac:dyDescent="0.3">
      <c r="A204" t="s">
        <v>339</v>
      </c>
      <c r="B204">
        <v>1</v>
      </c>
      <c r="C204" t="s">
        <v>437</v>
      </c>
      <c r="D204" t="s">
        <v>433</v>
      </c>
      <c r="E204" t="s">
        <v>48</v>
      </c>
    </row>
    <row r="205" spans="1:5" x14ac:dyDescent="0.3">
      <c r="A205" t="s">
        <v>339</v>
      </c>
      <c r="B205">
        <v>2</v>
      </c>
      <c r="C205" t="s">
        <v>434</v>
      </c>
      <c r="D205" t="s">
        <v>433</v>
      </c>
      <c r="E205" t="s">
        <v>31</v>
      </c>
    </row>
    <row r="206" spans="1:5" x14ac:dyDescent="0.3">
      <c r="A206" t="s">
        <v>342</v>
      </c>
      <c r="B206">
        <v>1</v>
      </c>
      <c r="C206" t="s">
        <v>432</v>
      </c>
      <c r="D206" t="s">
        <v>433</v>
      </c>
      <c r="E206" t="s">
        <v>48</v>
      </c>
    </row>
    <row r="207" spans="1:5" x14ac:dyDescent="0.3">
      <c r="A207" t="s">
        <v>342</v>
      </c>
      <c r="B207">
        <v>2</v>
      </c>
      <c r="C207" t="s">
        <v>434</v>
      </c>
      <c r="D207" t="s">
        <v>433</v>
      </c>
      <c r="E207" t="s">
        <v>31</v>
      </c>
    </row>
    <row r="208" spans="1:5" x14ac:dyDescent="0.3">
      <c r="A208" t="s">
        <v>342</v>
      </c>
      <c r="B208">
        <v>3</v>
      </c>
      <c r="C208" t="s">
        <v>438</v>
      </c>
      <c r="D208" t="s">
        <v>433</v>
      </c>
      <c r="E208" t="s">
        <v>31</v>
      </c>
    </row>
    <row r="209" spans="1:5" x14ac:dyDescent="0.3">
      <c r="A209" t="s">
        <v>342</v>
      </c>
      <c r="B209">
        <v>4</v>
      </c>
      <c r="C209" t="s">
        <v>437</v>
      </c>
      <c r="D209" t="s">
        <v>433</v>
      </c>
      <c r="E209" t="s">
        <v>73</v>
      </c>
    </row>
    <row r="210" spans="1:5" x14ac:dyDescent="0.3">
      <c r="A210" t="s">
        <v>344</v>
      </c>
      <c r="B210">
        <v>1</v>
      </c>
      <c r="C210" t="s">
        <v>432</v>
      </c>
      <c r="D210" t="s">
        <v>433</v>
      </c>
      <c r="E210" t="s">
        <v>48</v>
      </c>
    </row>
    <row r="211" spans="1:5" x14ac:dyDescent="0.3">
      <c r="A211" t="s">
        <v>344</v>
      </c>
      <c r="B211">
        <v>2</v>
      </c>
      <c r="C211" t="s">
        <v>434</v>
      </c>
      <c r="D211" t="s">
        <v>433</v>
      </c>
      <c r="E211" t="s">
        <v>48</v>
      </c>
    </row>
    <row r="212" spans="1:5" x14ac:dyDescent="0.3">
      <c r="A212" t="s">
        <v>344</v>
      </c>
      <c r="B212">
        <v>3</v>
      </c>
      <c r="C212" t="s">
        <v>438</v>
      </c>
      <c r="D212" t="s">
        <v>433</v>
      </c>
      <c r="E212" t="s">
        <v>31</v>
      </c>
    </row>
    <row r="213" spans="1:5" x14ac:dyDescent="0.3">
      <c r="A213" t="s">
        <v>345</v>
      </c>
      <c r="B213">
        <v>1</v>
      </c>
      <c r="C213" t="s">
        <v>434</v>
      </c>
      <c r="D213" t="s">
        <v>433</v>
      </c>
      <c r="E213" t="s">
        <v>31</v>
      </c>
    </row>
    <row r="214" spans="1:5" x14ac:dyDescent="0.3">
      <c r="A214" t="s">
        <v>347</v>
      </c>
      <c r="B214">
        <v>1</v>
      </c>
      <c r="C214" t="s">
        <v>435</v>
      </c>
      <c r="D214" t="s">
        <v>436</v>
      </c>
      <c r="E214" t="s">
        <v>48</v>
      </c>
    </row>
    <row r="215" spans="1:5" x14ac:dyDescent="0.3">
      <c r="A215" t="s">
        <v>350</v>
      </c>
      <c r="B215">
        <v>1</v>
      </c>
      <c r="C215" t="s">
        <v>439</v>
      </c>
      <c r="D215" t="s">
        <v>433</v>
      </c>
      <c r="E215" t="s">
        <v>48</v>
      </c>
    </row>
    <row r="216" spans="1:5" x14ac:dyDescent="0.3">
      <c r="A216" t="s">
        <v>350</v>
      </c>
      <c r="B216">
        <v>2</v>
      </c>
      <c r="C216" t="s">
        <v>438</v>
      </c>
      <c r="D216" t="s">
        <v>433</v>
      </c>
      <c r="E216" t="s">
        <v>31</v>
      </c>
    </row>
    <row r="217" spans="1:5" x14ac:dyDescent="0.3">
      <c r="A217" t="s">
        <v>350</v>
      </c>
      <c r="B217">
        <v>3</v>
      </c>
      <c r="C217" t="s">
        <v>440</v>
      </c>
      <c r="D217" t="s">
        <v>441</v>
      </c>
      <c r="E217" t="s">
        <v>73</v>
      </c>
    </row>
    <row r="218" spans="1:5" x14ac:dyDescent="0.3">
      <c r="A218" t="s">
        <v>352</v>
      </c>
      <c r="B218">
        <v>1</v>
      </c>
      <c r="C218" t="s">
        <v>439</v>
      </c>
      <c r="D218" t="s">
        <v>433</v>
      </c>
      <c r="E218" t="s">
        <v>48</v>
      </c>
    </row>
    <row r="219" spans="1:5" x14ac:dyDescent="0.3">
      <c r="A219" t="s">
        <v>352</v>
      </c>
      <c r="B219">
        <v>2</v>
      </c>
      <c r="C219" t="s">
        <v>440</v>
      </c>
      <c r="D219" t="s">
        <v>441</v>
      </c>
      <c r="E219" t="s">
        <v>31</v>
      </c>
    </row>
    <row r="220" spans="1:5" x14ac:dyDescent="0.3">
      <c r="A220" t="s">
        <v>355</v>
      </c>
      <c r="B220">
        <v>1</v>
      </c>
      <c r="C220" t="s">
        <v>434</v>
      </c>
      <c r="D220" t="s">
        <v>433</v>
      </c>
      <c r="E220" t="s">
        <v>48</v>
      </c>
    </row>
    <row r="221" spans="1:5" x14ac:dyDescent="0.3">
      <c r="A221" t="s">
        <v>357</v>
      </c>
      <c r="B221">
        <v>1</v>
      </c>
      <c r="C221" t="s">
        <v>432</v>
      </c>
      <c r="D221" t="s">
        <v>433</v>
      </c>
      <c r="E221" t="s">
        <v>48</v>
      </c>
    </row>
    <row r="222" spans="1:5" x14ac:dyDescent="0.3">
      <c r="A222" t="s">
        <v>357</v>
      </c>
      <c r="B222">
        <v>2</v>
      </c>
      <c r="C222" t="s">
        <v>434</v>
      </c>
      <c r="D222" t="s">
        <v>433</v>
      </c>
      <c r="E222" t="s">
        <v>31</v>
      </c>
    </row>
    <row r="223" spans="1:5" x14ac:dyDescent="0.3">
      <c r="A223" t="s">
        <v>357</v>
      </c>
      <c r="B223">
        <v>3</v>
      </c>
      <c r="C223" t="s">
        <v>438</v>
      </c>
      <c r="D223" t="s">
        <v>433</v>
      </c>
      <c r="E223" t="s">
        <v>31</v>
      </c>
    </row>
    <row r="224" spans="1:5" x14ac:dyDescent="0.3">
      <c r="A224" t="s">
        <v>363</v>
      </c>
      <c r="B224">
        <v>1</v>
      </c>
      <c r="C224" t="s">
        <v>439</v>
      </c>
      <c r="D224" t="s">
        <v>433</v>
      </c>
      <c r="E224" t="s">
        <v>48</v>
      </c>
    </row>
    <row r="225" spans="1:5" x14ac:dyDescent="0.3">
      <c r="A225" t="s">
        <v>363</v>
      </c>
      <c r="B225">
        <v>2</v>
      </c>
      <c r="C225" t="s">
        <v>440</v>
      </c>
      <c r="D225" t="s">
        <v>441</v>
      </c>
      <c r="E225" t="s">
        <v>31</v>
      </c>
    </row>
    <row r="226" spans="1:5" x14ac:dyDescent="0.3">
      <c r="A226" t="s">
        <v>363</v>
      </c>
      <c r="B226">
        <v>3</v>
      </c>
      <c r="C226" t="s">
        <v>435</v>
      </c>
      <c r="D226" t="s">
        <v>436</v>
      </c>
      <c r="E226" t="s">
        <v>31</v>
      </c>
    </row>
    <row r="227" spans="1:5" x14ac:dyDescent="0.3">
      <c r="A227" t="s">
        <v>367</v>
      </c>
      <c r="B227">
        <v>1</v>
      </c>
      <c r="C227" t="s">
        <v>432</v>
      </c>
      <c r="D227" t="s">
        <v>433</v>
      </c>
      <c r="E227" t="s">
        <v>48</v>
      </c>
    </row>
    <row r="228" spans="1:5" x14ac:dyDescent="0.3">
      <c r="A228" t="s">
        <v>369</v>
      </c>
      <c r="B228">
        <v>1</v>
      </c>
      <c r="C228" t="s">
        <v>435</v>
      </c>
      <c r="D228" t="s">
        <v>433</v>
      </c>
      <c r="E228" t="s">
        <v>31</v>
      </c>
    </row>
    <row r="229" spans="1:5" x14ac:dyDescent="0.3">
      <c r="A229" t="s">
        <v>369</v>
      </c>
      <c r="B229">
        <v>2</v>
      </c>
      <c r="C229" t="s">
        <v>439</v>
      </c>
      <c r="D229" t="s">
        <v>433</v>
      </c>
      <c r="E229" t="s">
        <v>48</v>
      </c>
    </row>
    <row r="230" spans="1:5" x14ac:dyDescent="0.3">
      <c r="A230" t="s">
        <v>369</v>
      </c>
      <c r="B230">
        <v>3</v>
      </c>
      <c r="C230" t="s">
        <v>437</v>
      </c>
      <c r="D230" t="s">
        <v>433</v>
      </c>
      <c r="E230" t="s">
        <v>31</v>
      </c>
    </row>
    <row r="231" spans="1:5" x14ac:dyDescent="0.3">
      <c r="A231" t="s">
        <v>372</v>
      </c>
      <c r="B231">
        <v>1</v>
      </c>
      <c r="C231" t="s">
        <v>439</v>
      </c>
      <c r="D231" t="s">
        <v>433</v>
      </c>
      <c r="E231" t="s">
        <v>48</v>
      </c>
    </row>
    <row r="232" spans="1:5" x14ac:dyDescent="0.3">
      <c r="A232" t="s">
        <v>372</v>
      </c>
      <c r="B232">
        <v>2</v>
      </c>
      <c r="C232" t="s">
        <v>440</v>
      </c>
      <c r="D232" t="s">
        <v>441</v>
      </c>
      <c r="E232" t="s">
        <v>31</v>
      </c>
    </row>
    <row r="233" spans="1:5" x14ac:dyDescent="0.3">
      <c r="A233" t="s">
        <v>372</v>
      </c>
      <c r="B233">
        <v>3</v>
      </c>
      <c r="C233" t="s">
        <v>438</v>
      </c>
      <c r="D233" t="s">
        <v>433</v>
      </c>
      <c r="E233" t="s">
        <v>31</v>
      </c>
    </row>
    <row r="234" spans="1:5" x14ac:dyDescent="0.3">
      <c r="A234" t="s">
        <v>374</v>
      </c>
      <c r="B234">
        <v>1</v>
      </c>
      <c r="C234" t="s">
        <v>434</v>
      </c>
      <c r="D234" t="s">
        <v>433</v>
      </c>
      <c r="E234" t="s">
        <v>48</v>
      </c>
    </row>
    <row r="235" spans="1:5" x14ac:dyDescent="0.3">
      <c r="A235" t="s">
        <v>374</v>
      </c>
      <c r="B235">
        <v>2</v>
      </c>
      <c r="C235" t="s">
        <v>437</v>
      </c>
      <c r="D235" t="s">
        <v>433</v>
      </c>
      <c r="E235" t="s">
        <v>31</v>
      </c>
    </row>
    <row r="236" spans="1:5" x14ac:dyDescent="0.3">
      <c r="A236" t="s">
        <v>374</v>
      </c>
      <c r="B236">
        <v>3</v>
      </c>
      <c r="C236" t="s">
        <v>435</v>
      </c>
      <c r="D236" t="s">
        <v>433</v>
      </c>
      <c r="E236" t="s">
        <v>31</v>
      </c>
    </row>
    <row r="237" spans="1:5" x14ac:dyDescent="0.3">
      <c r="A237" t="s">
        <v>377</v>
      </c>
      <c r="B237">
        <v>1</v>
      </c>
      <c r="C237" t="s">
        <v>432</v>
      </c>
      <c r="D237" t="s">
        <v>433</v>
      </c>
      <c r="E237" t="s">
        <v>48</v>
      </c>
    </row>
    <row r="238" spans="1:5" x14ac:dyDescent="0.3">
      <c r="A238" t="s">
        <v>377</v>
      </c>
      <c r="B238">
        <v>2</v>
      </c>
      <c r="C238" t="s">
        <v>434</v>
      </c>
      <c r="D238" t="s">
        <v>433</v>
      </c>
      <c r="E238" t="s">
        <v>31</v>
      </c>
    </row>
    <row r="239" spans="1:5" x14ac:dyDescent="0.3">
      <c r="A239" t="s">
        <v>379</v>
      </c>
      <c r="B239">
        <v>1</v>
      </c>
      <c r="C239" t="s">
        <v>432</v>
      </c>
      <c r="D239" t="s">
        <v>433</v>
      </c>
      <c r="E239" t="s">
        <v>48</v>
      </c>
    </row>
    <row r="240" spans="1:5" x14ac:dyDescent="0.3">
      <c r="A240" t="s">
        <v>379</v>
      </c>
      <c r="B240">
        <v>2</v>
      </c>
      <c r="C240" t="s">
        <v>434</v>
      </c>
      <c r="D240" t="s">
        <v>433</v>
      </c>
      <c r="E240" t="s">
        <v>31</v>
      </c>
    </row>
    <row r="241" spans="1:5" x14ac:dyDescent="0.3">
      <c r="A241" t="s">
        <v>379</v>
      </c>
      <c r="B241">
        <v>3</v>
      </c>
      <c r="C241" t="s">
        <v>437</v>
      </c>
      <c r="D241" t="s">
        <v>433</v>
      </c>
      <c r="E241" t="s">
        <v>31</v>
      </c>
    </row>
    <row r="242" spans="1:5" x14ac:dyDescent="0.3">
      <c r="A242" t="s">
        <v>379</v>
      </c>
      <c r="B242">
        <v>4</v>
      </c>
      <c r="C242" t="s">
        <v>438</v>
      </c>
      <c r="D242" t="s">
        <v>433</v>
      </c>
      <c r="E242" t="s">
        <v>31</v>
      </c>
    </row>
    <row r="243" spans="1:5" x14ac:dyDescent="0.3">
      <c r="A243" t="s">
        <v>381</v>
      </c>
      <c r="B243">
        <v>1</v>
      </c>
      <c r="C243" t="s">
        <v>440</v>
      </c>
      <c r="D243" t="s">
        <v>441</v>
      </c>
      <c r="E243" t="s">
        <v>48</v>
      </c>
    </row>
    <row r="244" spans="1:5" x14ac:dyDescent="0.3">
      <c r="A244" t="s">
        <v>381</v>
      </c>
      <c r="B244">
        <v>2</v>
      </c>
      <c r="C244" t="s">
        <v>434</v>
      </c>
      <c r="D244" t="s">
        <v>433</v>
      </c>
      <c r="E244" t="s">
        <v>48</v>
      </c>
    </row>
    <row r="245" spans="1:5" x14ac:dyDescent="0.3">
      <c r="A245" t="s">
        <v>381</v>
      </c>
      <c r="B245">
        <v>3</v>
      </c>
      <c r="C245" t="s">
        <v>438</v>
      </c>
      <c r="D245" t="s">
        <v>433</v>
      </c>
      <c r="E245" t="s">
        <v>48</v>
      </c>
    </row>
    <row r="246" spans="1:5" x14ac:dyDescent="0.3">
      <c r="A246" t="s">
        <v>381</v>
      </c>
      <c r="B246">
        <v>4</v>
      </c>
      <c r="C246" t="s">
        <v>439</v>
      </c>
      <c r="D246" t="s">
        <v>433</v>
      </c>
      <c r="E246" t="s">
        <v>31</v>
      </c>
    </row>
    <row r="247" spans="1:5" x14ac:dyDescent="0.3">
      <c r="A247" t="s">
        <v>384</v>
      </c>
      <c r="B247">
        <v>1</v>
      </c>
      <c r="C247" t="s">
        <v>435</v>
      </c>
      <c r="D247" t="s">
        <v>436</v>
      </c>
      <c r="E247" t="s">
        <v>48</v>
      </c>
    </row>
    <row r="248" spans="1:5" x14ac:dyDescent="0.3">
      <c r="A248" t="s">
        <v>384</v>
      </c>
      <c r="B248">
        <v>2</v>
      </c>
      <c r="C248" t="s">
        <v>437</v>
      </c>
      <c r="D248" t="s">
        <v>433</v>
      </c>
      <c r="E248" t="s">
        <v>31</v>
      </c>
    </row>
    <row r="249" spans="1:5" x14ac:dyDescent="0.3">
      <c r="A249" t="s">
        <v>384</v>
      </c>
      <c r="B249">
        <v>3</v>
      </c>
      <c r="C249" t="s">
        <v>434</v>
      </c>
      <c r="D249" t="s">
        <v>433</v>
      </c>
      <c r="E249" t="s">
        <v>31</v>
      </c>
    </row>
    <row r="250" spans="1:5" x14ac:dyDescent="0.3">
      <c r="A250" t="s">
        <v>388</v>
      </c>
      <c r="B250">
        <v>1</v>
      </c>
      <c r="C250" t="s">
        <v>432</v>
      </c>
      <c r="D250" t="s">
        <v>433</v>
      </c>
      <c r="E250" t="s">
        <v>48</v>
      </c>
    </row>
    <row r="251" spans="1:5" x14ac:dyDescent="0.3">
      <c r="A251" t="s">
        <v>388</v>
      </c>
      <c r="B251">
        <v>2</v>
      </c>
      <c r="C251" t="s">
        <v>434</v>
      </c>
      <c r="D251" t="s">
        <v>433</v>
      </c>
      <c r="E251" t="s">
        <v>48</v>
      </c>
    </row>
    <row r="252" spans="1:5" x14ac:dyDescent="0.3">
      <c r="A252" t="s">
        <v>388</v>
      </c>
      <c r="B252">
        <v>3</v>
      </c>
      <c r="C252" t="s">
        <v>438</v>
      </c>
      <c r="D252" t="s">
        <v>433</v>
      </c>
      <c r="E252" t="s">
        <v>48</v>
      </c>
    </row>
    <row r="253" spans="1:5" x14ac:dyDescent="0.3">
      <c r="A253" t="s">
        <v>391</v>
      </c>
      <c r="B253">
        <v>1</v>
      </c>
      <c r="C253" t="s">
        <v>435</v>
      </c>
      <c r="D253" t="s">
        <v>436</v>
      </c>
      <c r="E253" t="s">
        <v>48</v>
      </c>
    </row>
    <row r="254" spans="1:5" x14ac:dyDescent="0.3">
      <c r="A254" t="s">
        <v>393</v>
      </c>
      <c r="B254">
        <v>1</v>
      </c>
      <c r="C254" t="s">
        <v>432</v>
      </c>
      <c r="D254" t="s">
        <v>433</v>
      </c>
      <c r="E254" t="s">
        <v>48</v>
      </c>
    </row>
    <row r="255" spans="1:5" x14ac:dyDescent="0.3">
      <c r="A255" t="s">
        <v>393</v>
      </c>
      <c r="B255">
        <v>2</v>
      </c>
      <c r="C255" t="s">
        <v>434</v>
      </c>
      <c r="D255" t="s">
        <v>433</v>
      </c>
      <c r="E255" t="s">
        <v>48</v>
      </c>
    </row>
    <row r="256" spans="1:5" x14ac:dyDescent="0.3">
      <c r="A256" t="s">
        <v>395</v>
      </c>
      <c r="B256">
        <v>1</v>
      </c>
      <c r="C256" t="s">
        <v>439</v>
      </c>
      <c r="D256" t="s">
        <v>433</v>
      </c>
      <c r="E256" t="s">
        <v>48</v>
      </c>
    </row>
    <row r="257" spans="1:5" x14ac:dyDescent="0.3">
      <c r="A257" t="s">
        <v>395</v>
      </c>
      <c r="B257">
        <v>2</v>
      </c>
      <c r="C257" t="s">
        <v>435</v>
      </c>
      <c r="D257" t="s">
        <v>436</v>
      </c>
      <c r="E257" t="s">
        <v>31</v>
      </c>
    </row>
    <row r="258" spans="1:5" x14ac:dyDescent="0.3">
      <c r="A258" t="s">
        <v>395</v>
      </c>
      <c r="B258">
        <v>3</v>
      </c>
      <c r="C258" t="s">
        <v>440</v>
      </c>
      <c r="D258" t="s">
        <v>441</v>
      </c>
      <c r="E258" t="s">
        <v>73</v>
      </c>
    </row>
    <row r="259" spans="1:5" x14ac:dyDescent="0.3">
      <c r="A259" t="s">
        <v>397</v>
      </c>
      <c r="B259">
        <v>1</v>
      </c>
      <c r="C259" t="s">
        <v>435</v>
      </c>
      <c r="D259" t="s">
        <v>436</v>
      </c>
      <c r="E259" t="s">
        <v>48</v>
      </c>
    </row>
    <row r="260" spans="1:5" x14ac:dyDescent="0.3">
      <c r="A260" t="s">
        <v>397</v>
      </c>
      <c r="B260">
        <v>2</v>
      </c>
      <c r="C260" t="s">
        <v>438</v>
      </c>
      <c r="D260" t="s">
        <v>433</v>
      </c>
      <c r="E260" t="s">
        <v>48</v>
      </c>
    </row>
    <row r="261" spans="1:5" x14ac:dyDescent="0.3">
      <c r="A261" t="s">
        <v>397</v>
      </c>
      <c r="B261">
        <v>3</v>
      </c>
      <c r="C261" t="s">
        <v>434</v>
      </c>
      <c r="D261" t="s">
        <v>433</v>
      </c>
      <c r="E261" t="s">
        <v>31</v>
      </c>
    </row>
    <row r="262" spans="1:5" x14ac:dyDescent="0.3">
      <c r="A262" t="s">
        <v>399</v>
      </c>
      <c r="B262">
        <v>1</v>
      </c>
      <c r="C262" t="s">
        <v>432</v>
      </c>
      <c r="D262" t="s">
        <v>433</v>
      </c>
      <c r="E262" t="s">
        <v>48</v>
      </c>
    </row>
    <row r="263" spans="1:5" x14ac:dyDescent="0.3">
      <c r="A263" t="s">
        <v>403</v>
      </c>
      <c r="B263">
        <v>1</v>
      </c>
      <c r="C263" t="s">
        <v>434</v>
      </c>
      <c r="D263" t="s">
        <v>433</v>
      </c>
      <c r="E263" t="s">
        <v>48</v>
      </c>
    </row>
    <row r="264" spans="1:5" x14ac:dyDescent="0.3">
      <c r="A264" t="s">
        <v>403</v>
      </c>
      <c r="B264">
        <v>2</v>
      </c>
      <c r="C264" t="s">
        <v>438</v>
      </c>
      <c r="D264" t="s">
        <v>433</v>
      </c>
      <c r="E264" t="s">
        <v>31</v>
      </c>
    </row>
    <row r="265" spans="1:5" x14ac:dyDescent="0.3">
      <c r="A265" t="s">
        <v>403</v>
      </c>
      <c r="B265">
        <v>3</v>
      </c>
      <c r="C265" t="s">
        <v>439</v>
      </c>
      <c r="D265" t="s">
        <v>433</v>
      </c>
      <c r="E265" t="s">
        <v>31</v>
      </c>
    </row>
    <row r="266" spans="1:5" x14ac:dyDescent="0.3">
      <c r="A266" t="s">
        <v>406</v>
      </c>
      <c r="B266">
        <v>1</v>
      </c>
      <c r="C266" t="s">
        <v>435</v>
      </c>
      <c r="D266" t="s">
        <v>433</v>
      </c>
      <c r="E266" t="s">
        <v>48</v>
      </c>
    </row>
    <row r="267" spans="1:5" x14ac:dyDescent="0.3">
      <c r="A267" t="s">
        <v>406</v>
      </c>
      <c r="B267">
        <v>2</v>
      </c>
      <c r="C267" t="s">
        <v>437</v>
      </c>
      <c r="D267" t="s">
        <v>433</v>
      </c>
      <c r="E267" t="s">
        <v>31</v>
      </c>
    </row>
    <row r="268" spans="1:5" x14ac:dyDescent="0.3">
      <c r="A268" t="s">
        <v>411</v>
      </c>
      <c r="B268">
        <v>1</v>
      </c>
      <c r="C268" t="s">
        <v>439</v>
      </c>
      <c r="D268" t="s">
        <v>433</v>
      </c>
      <c r="E268" t="s">
        <v>48</v>
      </c>
    </row>
    <row r="269" spans="1:5" x14ac:dyDescent="0.3">
      <c r="A269" t="s">
        <v>413</v>
      </c>
      <c r="B269">
        <v>1</v>
      </c>
      <c r="C269" t="s">
        <v>432</v>
      </c>
      <c r="D269" t="s">
        <v>433</v>
      </c>
      <c r="E269" t="s">
        <v>48</v>
      </c>
    </row>
    <row r="270" spans="1:5" x14ac:dyDescent="0.3">
      <c r="A270" t="s">
        <v>413</v>
      </c>
      <c r="B270">
        <v>2</v>
      </c>
      <c r="C270" t="s">
        <v>434</v>
      </c>
      <c r="D270" t="s">
        <v>433</v>
      </c>
      <c r="E270" t="s">
        <v>48</v>
      </c>
    </row>
    <row r="271" spans="1:5" x14ac:dyDescent="0.3">
      <c r="A271" t="s">
        <v>413</v>
      </c>
      <c r="B271">
        <v>3</v>
      </c>
      <c r="C271" t="s">
        <v>437</v>
      </c>
      <c r="D271" t="s">
        <v>433</v>
      </c>
      <c r="E271" t="s">
        <v>48</v>
      </c>
    </row>
    <row r="272" spans="1:5" x14ac:dyDescent="0.3">
      <c r="A272" t="s">
        <v>417</v>
      </c>
      <c r="B272">
        <v>1</v>
      </c>
      <c r="C272" t="s">
        <v>432</v>
      </c>
      <c r="D272" t="s">
        <v>433</v>
      </c>
      <c r="E272" t="s">
        <v>48</v>
      </c>
    </row>
    <row r="273" spans="1:5" x14ac:dyDescent="0.3">
      <c r="A273" t="s">
        <v>417</v>
      </c>
      <c r="B273">
        <v>2</v>
      </c>
      <c r="C273" t="s">
        <v>434</v>
      </c>
      <c r="D273" t="s">
        <v>433</v>
      </c>
      <c r="E273" t="s">
        <v>48</v>
      </c>
    </row>
    <row r="274" spans="1:5" x14ac:dyDescent="0.3">
      <c r="A274" t="s">
        <v>419</v>
      </c>
      <c r="B274">
        <v>1</v>
      </c>
      <c r="C274" t="s">
        <v>434</v>
      </c>
      <c r="D274" t="s">
        <v>433</v>
      </c>
      <c r="E274" t="s">
        <v>48</v>
      </c>
    </row>
    <row r="275" spans="1:5" x14ac:dyDescent="0.3">
      <c r="A275" t="s">
        <v>419</v>
      </c>
      <c r="B275">
        <v>2</v>
      </c>
      <c r="C275" t="s">
        <v>438</v>
      </c>
      <c r="D275" t="s">
        <v>433</v>
      </c>
      <c r="E275" t="s">
        <v>48</v>
      </c>
    </row>
    <row r="276" spans="1:5" x14ac:dyDescent="0.3">
      <c r="A276" t="s">
        <v>419</v>
      </c>
      <c r="B276">
        <v>3</v>
      </c>
      <c r="C276" t="s">
        <v>439</v>
      </c>
      <c r="D276" t="s">
        <v>433</v>
      </c>
      <c r="E276" t="s">
        <v>31</v>
      </c>
    </row>
    <row r="277" spans="1:5" x14ac:dyDescent="0.3">
      <c r="A277" t="s">
        <v>419</v>
      </c>
      <c r="B277">
        <v>4</v>
      </c>
      <c r="C277" t="s">
        <v>440</v>
      </c>
      <c r="D277" t="s">
        <v>441</v>
      </c>
      <c r="E277" t="s">
        <v>31</v>
      </c>
    </row>
    <row r="278" spans="1:5" x14ac:dyDescent="0.3">
      <c r="A278" t="s">
        <v>422</v>
      </c>
      <c r="B278">
        <v>1</v>
      </c>
      <c r="C278" t="s">
        <v>434</v>
      </c>
      <c r="D278" t="s">
        <v>433</v>
      </c>
      <c r="E278" t="s">
        <v>48</v>
      </c>
    </row>
    <row r="279" spans="1:5" x14ac:dyDescent="0.3">
      <c r="A279" t="s">
        <v>422</v>
      </c>
      <c r="B279">
        <v>2</v>
      </c>
      <c r="C279" t="s">
        <v>439</v>
      </c>
      <c r="D279" t="s">
        <v>433</v>
      </c>
      <c r="E279" t="s">
        <v>31</v>
      </c>
    </row>
    <row r="280" spans="1:5" x14ac:dyDescent="0.3">
      <c r="A280" t="s">
        <v>422</v>
      </c>
      <c r="B280">
        <v>3</v>
      </c>
      <c r="C280" t="s">
        <v>438</v>
      </c>
      <c r="D280" t="s">
        <v>433</v>
      </c>
      <c r="E280" t="s">
        <v>31</v>
      </c>
    </row>
    <row r="281" spans="1:5" x14ac:dyDescent="0.3">
      <c r="A281" t="s">
        <v>426</v>
      </c>
      <c r="B281">
        <v>1</v>
      </c>
      <c r="C281" t="s">
        <v>439</v>
      </c>
      <c r="D281" t="s">
        <v>433</v>
      </c>
      <c r="E281" t="s">
        <v>48</v>
      </c>
    </row>
    <row r="282" spans="1:5" x14ac:dyDescent="0.3">
      <c r="A282" t="s">
        <v>426</v>
      </c>
      <c r="B282">
        <v>2</v>
      </c>
      <c r="C282" t="s">
        <v>434</v>
      </c>
      <c r="D282" t="s">
        <v>433</v>
      </c>
      <c r="E282" t="s">
        <v>48</v>
      </c>
    </row>
    <row r="283" spans="1:5" x14ac:dyDescent="0.3">
      <c r="A283" t="s">
        <v>426</v>
      </c>
      <c r="B283">
        <v>3</v>
      </c>
      <c r="C283" t="s">
        <v>438</v>
      </c>
      <c r="D283" t="s">
        <v>433</v>
      </c>
      <c r="E283" t="s">
        <v>31</v>
      </c>
    </row>
    <row r="284" spans="1:5" x14ac:dyDescent="0.3">
      <c r="A284" t="s">
        <v>25</v>
      </c>
      <c r="B284">
        <v>1</v>
      </c>
      <c r="C284" t="s">
        <v>432</v>
      </c>
      <c r="D284" t="s">
        <v>433</v>
      </c>
      <c r="E284" t="s">
        <v>48</v>
      </c>
    </row>
    <row r="285" spans="1:5" x14ac:dyDescent="0.3">
      <c r="A285" t="s">
        <v>25</v>
      </c>
      <c r="B285">
        <v>2</v>
      </c>
      <c r="C285" t="s">
        <v>434</v>
      </c>
      <c r="D285" t="s">
        <v>433</v>
      </c>
      <c r="E285" t="s">
        <v>31</v>
      </c>
    </row>
    <row r="286" spans="1:5" x14ac:dyDescent="0.3">
      <c r="A286" t="s">
        <v>34</v>
      </c>
      <c r="B286">
        <v>1</v>
      </c>
      <c r="C286" t="s">
        <v>435</v>
      </c>
      <c r="D286" t="s">
        <v>436</v>
      </c>
      <c r="E286" t="s">
        <v>48</v>
      </c>
    </row>
    <row r="287" spans="1:5" x14ac:dyDescent="0.3">
      <c r="A287" t="s">
        <v>42</v>
      </c>
      <c r="B287">
        <v>1</v>
      </c>
      <c r="C287" t="s">
        <v>432</v>
      </c>
      <c r="D287" t="s">
        <v>433</v>
      </c>
      <c r="E287" t="s">
        <v>48</v>
      </c>
    </row>
    <row r="288" spans="1:5" x14ac:dyDescent="0.3">
      <c r="A288" t="s">
        <v>42</v>
      </c>
      <c r="B288">
        <v>2</v>
      </c>
      <c r="C288" t="s">
        <v>434</v>
      </c>
      <c r="D288" t="s">
        <v>433</v>
      </c>
      <c r="E288" t="s">
        <v>48</v>
      </c>
    </row>
    <row r="289" spans="1:5" x14ac:dyDescent="0.3">
      <c r="A289" t="s">
        <v>42</v>
      </c>
      <c r="B289">
        <v>3</v>
      </c>
      <c r="C289" t="s">
        <v>437</v>
      </c>
      <c r="D289" t="s">
        <v>433</v>
      </c>
      <c r="E289" t="s">
        <v>48</v>
      </c>
    </row>
    <row r="290" spans="1:5" x14ac:dyDescent="0.3">
      <c r="A290" t="s">
        <v>42</v>
      </c>
      <c r="B290">
        <v>4</v>
      </c>
      <c r="C290" t="s">
        <v>438</v>
      </c>
      <c r="D290" t="s">
        <v>433</v>
      </c>
      <c r="E290" t="s">
        <v>31</v>
      </c>
    </row>
    <row r="291" spans="1:5" x14ac:dyDescent="0.3">
      <c r="A291" t="s">
        <v>50</v>
      </c>
      <c r="B291">
        <v>1</v>
      </c>
      <c r="C291" t="s">
        <v>435</v>
      </c>
      <c r="D291" t="s">
        <v>436</v>
      </c>
      <c r="E291" t="s">
        <v>48</v>
      </c>
    </row>
    <row r="292" spans="1:5" x14ac:dyDescent="0.3">
      <c r="A292" t="s">
        <v>56</v>
      </c>
      <c r="B292">
        <v>1</v>
      </c>
      <c r="C292" t="s">
        <v>435</v>
      </c>
      <c r="D292" t="s">
        <v>436</v>
      </c>
      <c r="E292" t="s">
        <v>31</v>
      </c>
    </row>
    <row r="293" spans="1:5" x14ac:dyDescent="0.3">
      <c r="A293" t="s">
        <v>56</v>
      </c>
      <c r="B293">
        <v>2</v>
      </c>
      <c r="C293" t="s">
        <v>437</v>
      </c>
      <c r="D293" t="s">
        <v>433</v>
      </c>
      <c r="E293" t="s">
        <v>31</v>
      </c>
    </row>
    <row r="294" spans="1:5" x14ac:dyDescent="0.3">
      <c r="A294" t="s">
        <v>62</v>
      </c>
      <c r="B294">
        <v>1</v>
      </c>
      <c r="C294" t="s">
        <v>435</v>
      </c>
      <c r="D294" t="s">
        <v>436</v>
      </c>
      <c r="E294" t="s">
        <v>48</v>
      </c>
    </row>
    <row r="295" spans="1:5" x14ac:dyDescent="0.3">
      <c r="A295" t="s">
        <v>69</v>
      </c>
      <c r="B295">
        <v>1</v>
      </c>
      <c r="C295" t="s">
        <v>437</v>
      </c>
      <c r="D295" t="s">
        <v>433</v>
      </c>
      <c r="E295" t="s">
        <v>48</v>
      </c>
    </row>
    <row r="296" spans="1:5" x14ac:dyDescent="0.3">
      <c r="A296" t="s">
        <v>69</v>
      </c>
      <c r="B296">
        <v>2</v>
      </c>
      <c r="C296" t="s">
        <v>439</v>
      </c>
      <c r="D296" t="s">
        <v>433</v>
      </c>
      <c r="E296" t="s">
        <v>48</v>
      </c>
    </row>
    <row r="297" spans="1:5" x14ac:dyDescent="0.3">
      <c r="A297" t="s">
        <v>74</v>
      </c>
      <c r="B297">
        <v>1</v>
      </c>
      <c r="C297" t="s">
        <v>432</v>
      </c>
      <c r="D297" t="s">
        <v>433</v>
      </c>
      <c r="E297" t="s">
        <v>48</v>
      </c>
    </row>
    <row r="298" spans="1:5" x14ac:dyDescent="0.3">
      <c r="A298" t="s">
        <v>74</v>
      </c>
      <c r="B298">
        <v>2</v>
      </c>
      <c r="C298" t="s">
        <v>434</v>
      </c>
      <c r="D298" t="s">
        <v>433</v>
      </c>
      <c r="E298" t="s">
        <v>31</v>
      </c>
    </row>
    <row r="299" spans="1:5" x14ac:dyDescent="0.3">
      <c r="A299" t="s">
        <v>74</v>
      </c>
      <c r="B299">
        <v>3</v>
      </c>
      <c r="C299" t="s">
        <v>437</v>
      </c>
      <c r="D299" t="s">
        <v>433</v>
      </c>
      <c r="E299" t="s">
        <v>31</v>
      </c>
    </row>
    <row r="300" spans="1:5" x14ac:dyDescent="0.3">
      <c r="A300" t="s">
        <v>74</v>
      </c>
      <c r="B300">
        <v>4</v>
      </c>
      <c r="C300" t="s">
        <v>438</v>
      </c>
      <c r="D300" t="s">
        <v>433</v>
      </c>
      <c r="E300" t="s">
        <v>31</v>
      </c>
    </row>
    <row r="301" spans="1:5" x14ac:dyDescent="0.3">
      <c r="A301" t="s">
        <v>80</v>
      </c>
      <c r="B301">
        <v>1</v>
      </c>
      <c r="C301" t="s">
        <v>432</v>
      </c>
      <c r="D301" t="s">
        <v>433</v>
      </c>
      <c r="E301" t="s">
        <v>48</v>
      </c>
    </row>
    <row r="302" spans="1:5" x14ac:dyDescent="0.3">
      <c r="A302" t="s">
        <v>80</v>
      </c>
      <c r="B302">
        <v>2</v>
      </c>
      <c r="C302" t="s">
        <v>434</v>
      </c>
      <c r="D302" t="s">
        <v>433</v>
      </c>
      <c r="E302" t="s">
        <v>48</v>
      </c>
    </row>
    <row r="303" spans="1:5" x14ac:dyDescent="0.3">
      <c r="A303" t="s">
        <v>80</v>
      </c>
      <c r="B303">
        <v>3</v>
      </c>
      <c r="C303" t="s">
        <v>438</v>
      </c>
      <c r="D303" t="s">
        <v>433</v>
      </c>
      <c r="E303" t="s">
        <v>31</v>
      </c>
    </row>
    <row r="304" spans="1:5" x14ac:dyDescent="0.3">
      <c r="A304" t="s">
        <v>84</v>
      </c>
      <c r="B304">
        <v>1</v>
      </c>
      <c r="C304" t="s">
        <v>437</v>
      </c>
      <c r="D304" t="s">
        <v>433</v>
      </c>
      <c r="E304" t="s">
        <v>48</v>
      </c>
    </row>
    <row r="305" spans="1:5" x14ac:dyDescent="0.3">
      <c r="A305" t="s">
        <v>90</v>
      </c>
      <c r="B305">
        <v>1</v>
      </c>
      <c r="C305" t="s">
        <v>435</v>
      </c>
      <c r="D305" t="s">
        <v>436</v>
      </c>
      <c r="E305" t="s">
        <v>48</v>
      </c>
    </row>
    <row r="306" spans="1:5" x14ac:dyDescent="0.3">
      <c r="A306" t="s">
        <v>92</v>
      </c>
      <c r="B306">
        <v>1</v>
      </c>
      <c r="C306" t="s">
        <v>432</v>
      </c>
      <c r="D306" t="s">
        <v>433</v>
      </c>
      <c r="E306" t="s">
        <v>48</v>
      </c>
    </row>
    <row r="307" spans="1:5" x14ac:dyDescent="0.3">
      <c r="A307" t="s">
        <v>92</v>
      </c>
      <c r="B307">
        <v>2</v>
      </c>
      <c r="C307" t="s">
        <v>434</v>
      </c>
      <c r="D307" t="s">
        <v>433</v>
      </c>
      <c r="E307" t="s">
        <v>48</v>
      </c>
    </row>
    <row r="308" spans="1:5" x14ac:dyDescent="0.3">
      <c r="A308" t="s">
        <v>92</v>
      </c>
      <c r="B308">
        <v>3</v>
      </c>
      <c r="C308" t="s">
        <v>438</v>
      </c>
      <c r="D308" t="s">
        <v>433</v>
      </c>
      <c r="E308" t="s">
        <v>31</v>
      </c>
    </row>
    <row r="309" spans="1:5" x14ac:dyDescent="0.3">
      <c r="A309" t="s">
        <v>95</v>
      </c>
      <c r="B309">
        <v>1</v>
      </c>
      <c r="C309" t="s">
        <v>432</v>
      </c>
      <c r="D309" t="s">
        <v>433</v>
      </c>
      <c r="E309" t="s">
        <v>48</v>
      </c>
    </row>
    <row r="310" spans="1:5" x14ac:dyDescent="0.3">
      <c r="A310" t="s">
        <v>95</v>
      </c>
      <c r="B310">
        <v>2</v>
      </c>
      <c r="C310" t="s">
        <v>434</v>
      </c>
      <c r="D310" t="s">
        <v>433</v>
      </c>
      <c r="E310" t="s">
        <v>48</v>
      </c>
    </row>
    <row r="311" spans="1:5" x14ac:dyDescent="0.3">
      <c r="A311" t="s">
        <v>95</v>
      </c>
      <c r="B311">
        <v>3</v>
      </c>
      <c r="C311" t="s">
        <v>438</v>
      </c>
      <c r="D311" t="s">
        <v>433</v>
      </c>
      <c r="E311" t="s">
        <v>31</v>
      </c>
    </row>
    <row r="312" spans="1:5" x14ac:dyDescent="0.3">
      <c r="A312" t="s">
        <v>95</v>
      </c>
      <c r="B312">
        <v>4</v>
      </c>
      <c r="C312" t="s">
        <v>439</v>
      </c>
      <c r="D312" t="s">
        <v>433</v>
      </c>
      <c r="E312" t="s">
        <v>31</v>
      </c>
    </row>
    <row r="313" spans="1:5" x14ac:dyDescent="0.3">
      <c r="A313" t="s">
        <v>100</v>
      </c>
      <c r="B313">
        <v>1</v>
      </c>
      <c r="C313" t="s">
        <v>432</v>
      </c>
      <c r="D313" t="s">
        <v>433</v>
      </c>
      <c r="E313" t="s">
        <v>48</v>
      </c>
    </row>
    <row r="314" spans="1:5" x14ac:dyDescent="0.3">
      <c r="A314" t="s">
        <v>100</v>
      </c>
      <c r="B314">
        <v>2</v>
      </c>
      <c r="C314" t="s">
        <v>434</v>
      </c>
      <c r="D314" t="s">
        <v>433</v>
      </c>
      <c r="E314" t="s">
        <v>48</v>
      </c>
    </row>
    <row r="315" spans="1:5" x14ac:dyDescent="0.3">
      <c r="A315" t="s">
        <v>104</v>
      </c>
      <c r="B315">
        <v>1</v>
      </c>
      <c r="C315" t="s">
        <v>432</v>
      </c>
      <c r="D315" t="s">
        <v>433</v>
      </c>
      <c r="E315" t="s">
        <v>48</v>
      </c>
    </row>
    <row r="316" spans="1:5" x14ac:dyDescent="0.3">
      <c r="A316" t="s">
        <v>104</v>
      </c>
      <c r="B316">
        <v>2</v>
      </c>
      <c r="C316" t="s">
        <v>434</v>
      </c>
      <c r="D316" t="s">
        <v>433</v>
      </c>
      <c r="E316" t="s">
        <v>48</v>
      </c>
    </row>
    <row r="317" spans="1:5" x14ac:dyDescent="0.3">
      <c r="A317" t="s">
        <v>104</v>
      </c>
      <c r="B317">
        <v>3</v>
      </c>
      <c r="C317" t="s">
        <v>437</v>
      </c>
      <c r="D317" t="s">
        <v>433</v>
      </c>
      <c r="E317" t="s">
        <v>31</v>
      </c>
    </row>
    <row r="318" spans="1:5" x14ac:dyDescent="0.3">
      <c r="A318" t="s">
        <v>104</v>
      </c>
      <c r="B318">
        <v>4</v>
      </c>
      <c r="C318" t="s">
        <v>440</v>
      </c>
      <c r="D318" t="s">
        <v>441</v>
      </c>
      <c r="E318" t="s">
        <v>31</v>
      </c>
    </row>
    <row r="319" spans="1:5" x14ac:dyDescent="0.3">
      <c r="A319" t="s">
        <v>110</v>
      </c>
      <c r="B319">
        <v>1</v>
      </c>
      <c r="C319" t="s">
        <v>435</v>
      </c>
      <c r="D319" t="s">
        <v>436</v>
      </c>
      <c r="E319" t="s">
        <v>48</v>
      </c>
    </row>
    <row r="320" spans="1:5" x14ac:dyDescent="0.3">
      <c r="A320" t="s">
        <v>115</v>
      </c>
      <c r="B320">
        <v>1</v>
      </c>
      <c r="C320" t="s">
        <v>434</v>
      </c>
      <c r="D320" t="s">
        <v>433</v>
      </c>
      <c r="E320" t="s">
        <v>48</v>
      </c>
    </row>
    <row r="321" spans="1:5" x14ac:dyDescent="0.3">
      <c r="A321" t="s">
        <v>121</v>
      </c>
      <c r="B321">
        <v>1</v>
      </c>
      <c r="C321" t="s">
        <v>437</v>
      </c>
      <c r="D321" t="s">
        <v>433</v>
      </c>
      <c r="E321" t="s">
        <v>48</v>
      </c>
    </row>
    <row r="322" spans="1:5" x14ac:dyDescent="0.3">
      <c r="A322" t="s">
        <v>121</v>
      </c>
      <c r="B322">
        <v>2</v>
      </c>
      <c r="C322" t="s">
        <v>434</v>
      </c>
      <c r="D322" t="s">
        <v>433</v>
      </c>
      <c r="E322" t="s">
        <v>31</v>
      </c>
    </row>
    <row r="323" spans="1:5" x14ac:dyDescent="0.3">
      <c r="A323" t="s">
        <v>121</v>
      </c>
      <c r="B323">
        <v>3</v>
      </c>
      <c r="C323" t="s">
        <v>435</v>
      </c>
      <c r="D323" t="s">
        <v>433</v>
      </c>
      <c r="E323" t="s">
        <v>31</v>
      </c>
    </row>
    <row r="324" spans="1:5" x14ac:dyDescent="0.3">
      <c r="A324" t="s">
        <v>127</v>
      </c>
      <c r="B324">
        <v>1</v>
      </c>
      <c r="C324" t="s">
        <v>442</v>
      </c>
      <c r="D324" t="s">
        <v>441</v>
      </c>
      <c r="E324" t="s">
        <v>48</v>
      </c>
    </row>
    <row r="325" spans="1:5" x14ac:dyDescent="0.3">
      <c r="A325" t="s">
        <v>127</v>
      </c>
      <c r="B325">
        <v>2</v>
      </c>
      <c r="C325" t="s">
        <v>438</v>
      </c>
      <c r="D325" t="s">
        <v>433</v>
      </c>
      <c r="E325" t="s">
        <v>48</v>
      </c>
    </row>
    <row r="326" spans="1:5" x14ac:dyDescent="0.3">
      <c r="A326" t="s">
        <v>127</v>
      </c>
      <c r="B326">
        <v>3</v>
      </c>
      <c r="C326" t="s">
        <v>439</v>
      </c>
      <c r="D326" t="s">
        <v>433</v>
      </c>
      <c r="E326" t="s">
        <v>31</v>
      </c>
    </row>
    <row r="327" spans="1:5" x14ac:dyDescent="0.3">
      <c r="A327" t="s">
        <v>131</v>
      </c>
      <c r="B327">
        <v>1</v>
      </c>
      <c r="C327" t="s">
        <v>435</v>
      </c>
      <c r="D327" t="s">
        <v>436</v>
      </c>
      <c r="E327" t="s">
        <v>48</v>
      </c>
    </row>
    <row r="328" spans="1:5" x14ac:dyDescent="0.3">
      <c r="A328" t="s">
        <v>131</v>
      </c>
      <c r="B328">
        <v>2</v>
      </c>
      <c r="C328" t="s">
        <v>438</v>
      </c>
      <c r="D328" t="s">
        <v>433</v>
      </c>
      <c r="E328" t="s">
        <v>48</v>
      </c>
    </row>
    <row r="329" spans="1:5" x14ac:dyDescent="0.3">
      <c r="A329" t="s">
        <v>131</v>
      </c>
      <c r="B329">
        <v>3</v>
      </c>
      <c r="C329" t="s">
        <v>434</v>
      </c>
      <c r="D329" t="s">
        <v>433</v>
      </c>
      <c r="E329" t="s">
        <v>31</v>
      </c>
    </row>
    <row r="330" spans="1:5" x14ac:dyDescent="0.3">
      <c r="A330" t="s">
        <v>137</v>
      </c>
      <c r="B330">
        <v>1</v>
      </c>
      <c r="C330" t="s">
        <v>437</v>
      </c>
      <c r="D330" t="s">
        <v>433</v>
      </c>
      <c r="E330" t="s">
        <v>48</v>
      </c>
    </row>
    <row r="331" spans="1:5" x14ac:dyDescent="0.3">
      <c r="A331" t="s">
        <v>137</v>
      </c>
      <c r="B331">
        <v>2</v>
      </c>
      <c r="C331" t="s">
        <v>434</v>
      </c>
      <c r="D331" t="s">
        <v>433</v>
      </c>
      <c r="E331" t="s">
        <v>31</v>
      </c>
    </row>
    <row r="332" spans="1:5" x14ac:dyDescent="0.3">
      <c r="A332" t="s">
        <v>143</v>
      </c>
      <c r="B332">
        <v>1</v>
      </c>
      <c r="C332" t="s">
        <v>432</v>
      </c>
      <c r="D332" t="s">
        <v>433</v>
      </c>
      <c r="E332" t="s">
        <v>48</v>
      </c>
    </row>
    <row r="333" spans="1:5" x14ac:dyDescent="0.3">
      <c r="A333" t="s">
        <v>143</v>
      </c>
      <c r="B333">
        <v>2</v>
      </c>
      <c r="C333" t="s">
        <v>434</v>
      </c>
      <c r="D333" t="s">
        <v>433</v>
      </c>
      <c r="E333" t="s">
        <v>31</v>
      </c>
    </row>
    <row r="334" spans="1:5" x14ac:dyDescent="0.3">
      <c r="A334" t="s">
        <v>146</v>
      </c>
      <c r="B334">
        <v>1</v>
      </c>
      <c r="C334" t="s">
        <v>434</v>
      </c>
      <c r="D334" t="s">
        <v>433</v>
      </c>
      <c r="E334" t="s">
        <v>48</v>
      </c>
    </row>
    <row r="335" spans="1:5" x14ac:dyDescent="0.3">
      <c r="A335" t="s">
        <v>146</v>
      </c>
      <c r="B335">
        <v>2</v>
      </c>
      <c r="C335" t="s">
        <v>435</v>
      </c>
      <c r="D335" t="s">
        <v>436</v>
      </c>
      <c r="E335" t="s">
        <v>31</v>
      </c>
    </row>
    <row r="336" spans="1:5" x14ac:dyDescent="0.3">
      <c r="A336" t="s">
        <v>146</v>
      </c>
      <c r="B336">
        <v>3</v>
      </c>
      <c r="C336" t="s">
        <v>438</v>
      </c>
      <c r="D336" t="s">
        <v>433</v>
      </c>
      <c r="E336" t="s">
        <v>31</v>
      </c>
    </row>
    <row r="337" spans="1:5" x14ac:dyDescent="0.3">
      <c r="A337" t="s">
        <v>150</v>
      </c>
      <c r="B337">
        <v>1</v>
      </c>
      <c r="C337" t="s">
        <v>435</v>
      </c>
      <c r="D337" t="s">
        <v>436</v>
      </c>
      <c r="E337" t="s">
        <v>31</v>
      </c>
    </row>
    <row r="338" spans="1:5" x14ac:dyDescent="0.3">
      <c r="A338" t="s">
        <v>150</v>
      </c>
      <c r="B338">
        <v>2</v>
      </c>
      <c r="C338" t="s">
        <v>438</v>
      </c>
      <c r="D338" t="s">
        <v>433</v>
      </c>
      <c r="E338" t="s">
        <v>31</v>
      </c>
    </row>
    <row r="339" spans="1:5" x14ac:dyDescent="0.3">
      <c r="A339" t="s">
        <v>150</v>
      </c>
      <c r="B339">
        <v>3</v>
      </c>
      <c r="C339" t="s">
        <v>434</v>
      </c>
      <c r="D339" t="s">
        <v>433</v>
      </c>
      <c r="E339" t="s">
        <v>73</v>
      </c>
    </row>
    <row r="340" spans="1:5" x14ac:dyDescent="0.3">
      <c r="A340" t="s">
        <v>153</v>
      </c>
      <c r="B340">
        <v>1</v>
      </c>
      <c r="C340" t="s">
        <v>432</v>
      </c>
      <c r="D340" t="s">
        <v>433</v>
      </c>
      <c r="E340" t="s">
        <v>48</v>
      </c>
    </row>
    <row r="341" spans="1:5" x14ac:dyDescent="0.3">
      <c r="A341" t="s">
        <v>153</v>
      </c>
      <c r="B341">
        <v>2</v>
      </c>
      <c r="C341" t="s">
        <v>434</v>
      </c>
      <c r="D341" t="s">
        <v>433</v>
      </c>
      <c r="E341" t="s">
        <v>48</v>
      </c>
    </row>
    <row r="342" spans="1:5" x14ac:dyDescent="0.3">
      <c r="A342" t="s">
        <v>153</v>
      </c>
      <c r="B342">
        <v>3</v>
      </c>
      <c r="C342" t="s">
        <v>438</v>
      </c>
      <c r="D342" t="s">
        <v>433</v>
      </c>
      <c r="E342" t="s">
        <v>31</v>
      </c>
    </row>
    <row r="343" spans="1:5" x14ac:dyDescent="0.3">
      <c r="A343" t="s">
        <v>153</v>
      </c>
      <c r="B343">
        <v>4</v>
      </c>
      <c r="C343" t="s">
        <v>437</v>
      </c>
      <c r="D343" t="s">
        <v>433</v>
      </c>
      <c r="E343" t="s">
        <v>31</v>
      </c>
    </row>
    <row r="344" spans="1:5" x14ac:dyDescent="0.3">
      <c r="A344" t="s">
        <v>159</v>
      </c>
      <c r="B344">
        <v>1</v>
      </c>
      <c r="C344" t="s">
        <v>439</v>
      </c>
      <c r="D344" t="s">
        <v>433</v>
      </c>
      <c r="E344" t="s">
        <v>48</v>
      </c>
    </row>
    <row r="345" spans="1:5" x14ac:dyDescent="0.3">
      <c r="A345" t="s">
        <v>164</v>
      </c>
      <c r="B345">
        <v>1</v>
      </c>
      <c r="C345" t="s">
        <v>439</v>
      </c>
      <c r="D345" t="s">
        <v>433</v>
      </c>
      <c r="E345" t="s">
        <v>48</v>
      </c>
    </row>
    <row r="346" spans="1:5" x14ac:dyDescent="0.3">
      <c r="A346" t="s">
        <v>164</v>
      </c>
      <c r="B346">
        <v>2</v>
      </c>
      <c r="C346" t="s">
        <v>440</v>
      </c>
      <c r="D346" t="s">
        <v>441</v>
      </c>
      <c r="E346" t="s">
        <v>31</v>
      </c>
    </row>
    <row r="347" spans="1:5" x14ac:dyDescent="0.3">
      <c r="A347" t="s">
        <v>164</v>
      </c>
      <c r="B347">
        <v>3</v>
      </c>
      <c r="C347" t="s">
        <v>438</v>
      </c>
      <c r="D347" t="s">
        <v>433</v>
      </c>
      <c r="E347" t="s">
        <v>31</v>
      </c>
    </row>
    <row r="348" spans="1:5" x14ac:dyDescent="0.3">
      <c r="A348" t="s">
        <v>170</v>
      </c>
      <c r="B348">
        <v>1</v>
      </c>
      <c r="C348" t="s">
        <v>432</v>
      </c>
      <c r="D348" t="s">
        <v>433</v>
      </c>
      <c r="E348" t="s">
        <v>48</v>
      </c>
    </row>
    <row r="349" spans="1:5" x14ac:dyDescent="0.3">
      <c r="A349" t="s">
        <v>170</v>
      </c>
      <c r="B349">
        <v>2</v>
      </c>
      <c r="C349" t="s">
        <v>434</v>
      </c>
      <c r="D349" t="s">
        <v>433</v>
      </c>
      <c r="E349" t="s">
        <v>48</v>
      </c>
    </row>
    <row r="350" spans="1:5" x14ac:dyDescent="0.3">
      <c r="A350" t="s">
        <v>170</v>
      </c>
      <c r="B350">
        <v>3</v>
      </c>
      <c r="C350" t="s">
        <v>435</v>
      </c>
      <c r="D350" t="s">
        <v>436</v>
      </c>
      <c r="E350" t="s">
        <v>31</v>
      </c>
    </row>
    <row r="351" spans="1:5" x14ac:dyDescent="0.3">
      <c r="A351" t="s">
        <v>173</v>
      </c>
      <c r="B351">
        <v>1</v>
      </c>
      <c r="C351" t="s">
        <v>437</v>
      </c>
      <c r="D351" t="s">
        <v>433</v>
      </c>
      <c r="E351" t="s">
        <v>48</v>
      </c>
    </row>
    <row r="352" spans="1:5" x14ac:dyDescent="0.3">
      <c r="A352" t="s">
        <v>173</v>
      </c>
      <c r="B352">
        <v>2</v>
      </c>
      <c r="C352" t="s">
        <v>434</v>
      </c>
      <c r="D352" t="s">
        <v>433</v>
      </c>
      <c r="E352" t="s">
        <v>31</v>
      </c>
    </row>
    <row r="353" spans="1:5" x14ac:dyDescent="0.3">
      <c r="A353" t="s">
        <v>175</v>
      </c>
      <c r="B353">
        <v>1</v>
      </c>
      <c r="C353" t="s">
        <v>435</v>
      </c>
      <c r="D353" t="s">
        <v>436</v>
      </c>
      <c r="E353" t="s">
        <v>48</v>
      </c>
    </row>
    <row r="354" spans="1:5" x14ac:dyDescent="0.3">
      <c r="A354" t="s">
        <v>175</v>
      </c>
      <c r="B354">
        <v>2</v>
      </c>
      <c r="C354" t="s">
        <v>440</v>
      </c>
      <c r="D354" t="s">
        <v>441</v>
      </c>
      <c r="E354" t="s">
        <v>31</v>
      </c>
    </row>
    <row r="355" spans="1:5" x14ac:dyDescent="0.3">
      <c r="A355" t="s">
        <v>175</v>
      </c>
      <c r="B355">
        <v>3</v>
      </c>
      <c r="C355" t="s">
        <v>439</v>
      </c>
      <c r="D355" t="s">
        <v>433</v>
      </c>
      <c r="E355" t="s">
        <v>31</v>
      </c>
    </row>
    <row r="356" spans="1:5" x14ac:dyDescent="0.3">
      <c r="A356" t="s">
        <v>178</v>
      </c>
      <c r="B356">
        <v>1</v>
      </c>
      <c r="C356" t="s">
        <v>439</v>
      </c>
      <c r="D356" t="s">
        <v>433</v>
      </c>
      <c r="E356" t="s">
        <v>48</v>
      </c>
    </row>
    <row r="357" spans="1:5" x14ac:dyDescent="0.3">
      <c r="A357" t="s">
        <v>178</v>
      </c>
      <c r="B357">
        <v>2</v>
      </c>
      <c r="C357" t="s">
        <v>440</v>
      </c>
      <c r="D357" t="s">
        <v>441</v>
      </c>
      <c r="E357" t="s">
        <v>31</v>
      </c>
    </row>
    <row r="358" spans="1:5" x14ac:dyDescent="0.3">
      <c r="A358" t="s">
        <v>178</v>
      </c>
      <c r="B358">
        <v>3</v>
      </c>
      <c r="C358" t="s">
        <v>434</v>
      </c>
      <c r="D358" t="s">
        <v>433</v>
      </c>
      <c r="E358" t="s">
        <v>31</v>
      </c>
    </row>
    <row r="359" spans="1:5" x14ac:dyDescent="0.3">
      <c r="A359" t="s">
        <v>182</v>
      </c>
      <c r="B359">
        <v>1</v>
      </c>
      <c r="C359" t="s">
        <v>435</v>
      </c>
      <c r="D359" t="s">
        <v>433</v>
      </c>
      <c r="E359" t="s">
        <v>48</v>
      </c>
    </row>
    <row r="360" spans="1:5" x14ac:dyDescent="0.3">
      <c r="A360" t="s">
        <v>182</v>
      </c>
      <c r="B360">
        <v>2</v>
      </c>
      <c r="C360" t="s">
        <v>437</v>
      </c>
      <c r="D360" t="s">
        <v>433</v>
      </c>
      <c r="E360" t="s">
        <v>31</v>
      </c>
    </row>
    <row r="361" spans="1:5" x14ac:dyDescent="0.3">
      <c r="A361" t="s">
        <v>182</v>
      </c>
      <c r="B361">
        <v>3</v>
      </c>
      <c r="C361" t="s">
        <v>439</v>
      </c>
      <c r="D361" t="s">
        <v>433</v>
      </c>
      <c r="E361" t="s">
        <v>31</v>
      </c>
    </row>
    <row r="362" spans="1:5" x14ac:dyDescent="0.3">
      <c r="A362" t="s">
        <v>188</v>
      </c>
      <c r="B362">
        <v>1</v>
      </c>
      <c r="C362" t="s">
        <v>432</v>
      </c>
      <c r="D362" t="s">
        <v>433</v>
      </c>
      <c r="E362" t="s">
        <v>48</v>
      </c>
    </row>
    <row r="363" spans="1:5" x14ac:dyDescent="0.3">
      <c r="A363" t="s">
        <v>188</v>
      </c>
      <c r="B363">
        <v>2</v>
      </c>
      <c r="C363" t="s">
        <v>434</v>
      </c>
      <c r="D363" t="s">
        <v>433</v>
      </c>
      <c r="E363" t="s">
        <v>48</v>
      </c>
    </row>
    <row r="364" spans="1:5" x14ac:dyDescent="0.3">
      <c r="A364" t="s">
        <v>192</v>
      </c>
      <c r="B364">
        <v>1</v>
      </c>
      <c r="C364" t="s">
        <v>438</v>
      </c>
      <c r="D364" t="s">
        <v>433</v>
      </c>
      <c r="E364" t="s">
        <v>48</v>
      </c>
    </row>
    <row r="365" spans="1:5" x14ac:dyDescent="0.3">
      <c r="A365" t="s">
        <v>192</v>
      </c>
      <c r="B365">
        <v>2</v>
      </c>
      <c r="C365" t="s">
        <v>439</v>
      </c>
      <c r="D365" t="s">
        <v>433</v>
      </c>
      <c r="E365" t="s">
        <v>31</v>
      </c>
    </row>
    <row r="366" spans="1:5" x14ac:dyDescent="0.3">
      <c r="A366" t="s">
        <v>192</v>
      </c>
      <c r="B366">
        <v>3</v>
      </c>
      <c r="C366" t="s">
        <v>442</v>
      </c>
      <c r="D366" t="s">
        <v>441</v>
      </c>
      <c r="E366" t="s">
        <v>31</v>
      </c>
    </row>
    <row r="367" spans="1:5" x14ac:dyDescent="0.3">
      <c r="A367" t="s">
        <v>195</v>
      </c>
      <c r="B367">
        <v>1</v>
      </c>
      <c r="C367" t="s">
        <v>435</v>
      </c>
      <c r="D367" t="s">
        <v>436</v>
      </c>
      <c r="E367" t="s">
        <v>48</v>
      </c>
    </row>
    <row r="368" spans="1:5" x14ac:dyDescent="0.3">
      <c r="A368" t="s">
        <v>195</v>
      </c>
      <c r="B368">
        <v>2</v>
      </c>
      <c r="C368" t="s">
        <v>440</v>
      </c>
      <c r="D368" t="s">
        <v>441</v>
      </c>
      <c r="E368" t="s">
        <v>31</v>
      </c>
    </row>
    <row r="369" spans="1:5" x14ac:dyDescent="0.3">
      <c r="A369" t="s">
        <v>195</v>
      </c>
      <c r="B369">
        <v>3</v>
      </c>
      <c r="C369" t="s">
        <v>437</v>
      </c>
      <c r="D369" t="s">
        <v>433</v>
      </c>
      <c r="E369" t="s">
        <v>31</v>
      </c>
    </row>
    <row r="370" spans="1:5" x14ac:dyDescent="0.3">
      <c r="A370" t="s">
        <v>200</v>
      </c>
      <c r="B370">
        <v>1</v>
      </c>
      <c r="C370" t="s">
        <v>435</v>
      </c>
      <c r="D370" t="s">
        <v>436</v>
      </c>
      <c r="E370" t="s">
        <v>48</v>
      </c>
    </row>
    <row r="371" spans="1:5" x14ac:dyDescent="0.3">
      <c r="A371" t="s">
        <v>200</v>
      </c>
      <c r="B371">
        <v>2</v>
      </c>
      <c r="C371" t="s">
        <v>439</v>
      </c>
      <c r="D371" t="s">
        <v>433</v>
      </c>
      <c r="E371" t="s">
        <v>48</v>
      </c>
    </row>
    <row r="372" spans="1:5" x14ac:dyDescent="0.3">
      <c r="A372" t="s">
        <v>204</v>
      </c>
      <c r="B372">
        <v>1</v>
      </c>
      <c r="C372" t="s">
        <v>439</v>
      </c>
      <c r="D372" t="s">
        <v>433</v>
      </c>
      <c r="E372" t="s">
        <v>48</v>
      </c>
    </row>
    <row r="373" spans="1:5" x14ac:dyDescent="0.3">
      <c r="A373" t="s">
        <v>204</v>
      </c>
      <c r="B373">
        <v>2</v>
      </c>
      <c r="C373" t="s">
        <v>440</v>
      </c>
      <c r="D373" t="s">
        <v>441</v>
      </c>
      <c r="E373" t="s">
        <v>48</v>
      </c>
    </row>
    <row r="374" spans="1:5" x14ac:dyDescent="0.3">
      <c r="A374" t="s">
        <v>207</v>
      </c>
      <c r="B374">
        <v>1</v>
      </c>
      <c r="C374" t="s">
        <v>435</v>
      </c>
      <c r="D374" t="s">
        <v>436</v>
      </c>
      <c r="E374" t="s">
        <v>48</v>
      </c>
    </row>
    <row r="375" spans="1:5" x14ac:dyDescent="0.3">
      <c r="A375" t="s">
        <v>207</v>
      </c>
      <c r="B375">
        <v>2</v>
      </c>
      <c r="C375" t="s">
        <v>437</v>
      </c>
      <c r="D375" t="s">
        <v>433</v>
      </c>
      <c r="E375" t="s">
        <v>31</v>
      </c>
    </row>
    <row r="376" spans="1:5" x14ac:dyDescent="0.3">
      <c r="A376" t="s">
        <v>207</v>
      </c>
      <c r="B376">
        <v>3</v>
      </c>
      <c r="C376" t="s">
        <v>439</v>
      </c>
      <c r="D376" t="s">
        <v>433</v>
      </c>
      <c r="E376" t="s">
        <v>31</v>
      </c>
    </row>
    <row r="377" spans="1:5" x14ac:dyDescent="0.3">
      <c r="A377" t="s">
        <v>211</v>
      </c>
      <c r="B377">
        <v>1</v>
      </c>
      <c r="C377" t="s">
        <v>432</v>
      </c>
      <c r="D377" t="s">
        <v>433</v>
      </c>
      <c r="E377" t="s">
        <v>48</v>
      </c>
    </row>
    <row r="378" spans="1:5" x14ac:dyDescent="0.3">
      <c r="A378" t="s">
        <v>211</v>
      </c>
      <c r="B378">
        <v>2</v>
      </c>
      <c r="C378" t="s">
        <v>434</v>
      </c>
      <c r="D378" t="s">
        <v>433</v>
      </c>
      <c r="E378" t="s">
        <v>48</v>
      </c>
    </row>
    <row r="379" spans="1:5" x14ac:dyDescent="0.3">
      <c r="A379" t="s">
        <v>214</v>
      </c>
      <c r="B379">
        <v>1</v>
      </c>
      <c r="C379" t="s">
        <v>437</v>
      </c>
      <c r="D379" t="s">
        <v>433</v>
      </c>
      <c r="E379" t="s">
        <v>48</v>
      </c>
    </row>
    <row r="380" spans="1:5" x14ac:dyDescent="0.3">
      <c r="A380" t="s">
        <v>214</v>
      </c>
      <c r="B380">
        <v>2</v>
      </c>
      <c r="C380" t="s">
        <v>434</v>
      </c>
      <c r="D380" t="s">
        <v>433</v>
      </c>
      <c r="E380" t="s">
        <v>31</v>
      </c>
    </row>
    <row r="381" spans="1:5" x14ac:dyDescent="0.3">
      <c r="A381" t="s">
        <v>217</v>
      </c>
      <c r="B381">
        <v>1</v>
      </c>
      <c r="C381" t="s">
        <v>439</v>
      </c>
      <c r="D381" t="s">
        <v>433</v>
      </c>
      <c r="E381" t="s">
        <v>48</v>
      </c>
    </row>
    <row r="382" spans="1:5" x14ac:dyDescent="0.3">
      <c r="A382" t="s">
        <v>219</v>
      </c>
      <c r="B382">
        <v>1</v>
      </c>
      <c r="C382" t="s">
        <v>438</v>
      </c>
      <c r="D382" t="s">
        <v>433</v>
      </c>
      <c r="E382" t="s">
        <v>48</v>
      </c>
    </row>
    <row r="383" spans="1:5" x14ac:dyDescent="0.3">
      <c r="A383" t="s">
        <v>219</v>
      </c>
      <c r="B383">
        <v>2</v>
      </c>
      <c r="C383" t="s">
        <v>439</v>
      </c>
      <c r="D383" t="s">
        <v>433</v>
      </c>
      <c r="E383" t="s">
        <v>48</v>
      </c>
    </row>
    <row r="384" spans="1:5" x14ac:dyDescent="0.3">
      <c r="A384" t="s">
        <v>221</v>
      </c>
      <c r="B384">
        <v>1</v>
      </c>
      <c r="C384" t="s">
        <v>432</v>
      </c>
      <c r="D384" t="s">
        <v>433</v>
      </c>
      <c r="E384" t="s">
        <v>48</v>
      </c>
    </row>
    <row r="385" spans="1:5" x14ac:dyDescent="0.3">
      <c r="A385" t="s">
        <v>223</v>
      </c>
      <c r="B385">
        <v>1</v>
      </c>
      <c r="C385" t="s">
        <v>432</v>
      </c>
      <c r="D385" t="s">
        <v>433</v>
      </c>
      <c r="E385" t="s">
        <v>48</v>
      </c>
    </row>
    <row r="386" spans="1:5" x14ac:dyDescent="0.3">
      <c r="A386" t="s">
        <v>225</v>
      </c>
      <c r="B386">
        <v>1</v>
      </c>
      <c r="C386" t="s">
        <v>434</v>
      </c>
      <c r="D386" t="s">
        <v>433</v>
      </c>
      <c r="E386" t="s">
        <v>48</v>
      </c>
    </row>
    <row r="387" spans="1:5" x14ac:dyDescent="0.3">
      <c r="A387" t="s">
        <v>225</v>
      </c>
      <c r="B387">
        <v>2</v>
      </c>
      <c r="C387" t="s">
        <v>437</v>
      </c>
      <c r="D387" t="s">
        <v>433</v>
      </c>
      <c r="E387" t="s">
        <v>31</v>
      </c>
    </row>
    <row r="388" spans="1:5" x14ac:dyDescent="0.3">
      <c r="A388" t="s">
        <v>227</v>
      </c>
      <c r="B388">
        <v>1</v>
      </c>
      <c r="C388" t="s">
        <v>435</v>
      </c>
      <c r="D388" t="s">
        <v>436</v>
      </c>
      <c r="E388" t="s">
        <v>48</v>
      </c>
    </row>
    <row r="389" spans="1:5" x14ac:dyDescent="0.3">
      <c r="A389" t="s">
        <v>227</v>
      </c>
      <c r="B389">
        <v>2</v>
      </c>
      <c r="C389" t="s">
        <v>434</v>
      </c>
      <c r="D389" t="s">
        <v>433</v>
      </c>
      <c r="E389" t="s">
        <v>31</v>
      </c>
    </row>
    <row r="390" spans="1:5" x14ac:dyDescent="0.3">
      <c r="A390" t="s">
        <v>231</v>
      </c>
      <c r="B390">
        <v>1</v>
      </c>
      <c r="C390" t="s">
        <v>438</v>
      </c>
      <c r="D390" t="s">
        <v>433</v>
      </c>
      <c r="E390" t="s">
        <v>48</v>
      </c>
    </row>
    <row r="391" spans="1:5" x14ac:dyDescent="0.3">
      <c r="A391" t="s">
        <v>231</v>
      </c>
      <c r="B391">
        <v>2</v>
      </c>
      <c r="C391" t="s">
        <v>439</v>
      </c>
      <c r="D391" t="s">
        <v>433</v>
      </c>
      <c r="E391" t="s">
        <v>48</v>
      </c>
    </row>
    <row r="392" spans="1:5" x14ac:dyDescent="0.3">
      <c r="A392" t="s">
        <v>231</v>
      </c>
      <c r="B392">
        <v>3</v>
      </c>
      <c r="C392" t="s">
        <v>434</v>
      </c>
      <c r="D392" t="s">
        <v>433</v>
      </c>
      <c r="E392" t="s">
        <v>31</v>
      </c>
    </row>
    <row r="393" spans="1:5" x14ac:dyDescent="0.3">
      <c r="A393" t="s">
        <v>231</v>
      </c>
      <c r="B393">
        <v>4</v>
      </c>
      <c r="C393" t="s">
        <v>440</v>
      </c>
      <c r="D393" t="s">
        <v>441</v>
      </c>
      <c r="E393" t="s">
        <v>31</v>
      </c>
    </row>
    <row r="394" spans="1:5" x14ac:dyDescent="0.3">
      <c r="A394" t="s">
        <v>237</v>
      </c>
      <c r="B394">
        <v>1</v>
      </c>
      <c r="C394" t="s">
        <v>439</v>
      </c>
      <c r="D394" t="s">
        <v>433</v>
      </c>
      <c r="E394" t="s">
        <v>48</v>
      </c>
    </row>
    <row r="395" spans="1:5" x14ac:dyDescent="0.3">
      <c r="A395" t="s">
        <v>237</v>
      </c>
      <c r="B395">
        <v>2</v>
      </c>
      <c r="C395" t="s">
        <v>438</v>
      </c>
      <c r="D395" t="s">
        <v>433</v>
      </c>
      <c r="E395" t="s">
        <v>48</v>
      </c>
    </row>
    <row r="396" spans="1:5" x14ac:dyDescent="0.3">
      <c r="A396" t="s">
        <v>237</v>
      </c>
      <c r="B396">
        <v>3</v>
      </c>
      <c r="C396" t="s">
        <v>440</v>
      </c>
      <c r="D396" t="s">
        <v>441</v>
      </c>
      <c r="E396" t="s">
        <v>31</v>
      </c>
    </row>
    <row r="397" spans="1:5" x14ac:dyDescent="0.3">
      <c r="A397" t="s">
        <v>241</v>
      </c>
      <c r="B397">
        <v>1</v>
      </c>
      <c r="C397" t="s">
        <v>438</v>
      </c>
      <c r="D397" t="s">
        <v>433</v>
      </c>
      <c r="E397" t="s">
        <v>48</v>
      </c>
    </row>
    <row r="398" spans="1:5" x14ac:dyDescent="0.3">
      <c r="A398" t="s">
        <v>241</v>
      </c>
      <c r="B398">
        <v>2</v>
      </c>
      <c r="C398" t="s">
        <v>440</v>
      </c>
      <c r="D398" t="s">
        <v>441</v>
      </c>
      <c r="E398" t="s">
        <v>31</v>
      </c>
    </row>
    <row r="399" spans="1:5" x14ac:dyDescent="0.3">
      <c r="A399" t="s">
        <v>241</v>
      </c>
      <c r="B399">
        <v>3</v>
      </c>
      <c r="C399" t="s">
        <v>439</v>
      </c>
      <c r="D399" t="s">
        <v>433</v>
      </c>
      <c r="E399" t="s">
        <v>31</v>
      </c>
    </row>
    <row r="400" spans="1:5" x14ac:dyDescent="0.3">
      <c r="A400" t="s">
        <v>244</v>
      </c>
      <c r="B400">
        <v>1</v>
      </c>
      <c r="C400" t="s">
        <v>432</v>
      </c>
      <c r="D400" t="s">
        <v>433</v>
      </c>
      <c r="E400" t="s">
        <v>48</v>
      </c>
    </row>
    <row r="401" spans="1:5" x14ac:dyDescent="0.3">
      <c r="A401" t="s">
        <v>244</v>
      </c>
      <c r="B401">
        <v>2</v>
      </c>
      <c r="C401" t="s">
        <v>435</v>
      </c>
      <c r="D401" t="s">
        <v>433</v>
      </c>
      <c r="E401" t="s">
        <v>31</v>
      </c>
    </row>
    <row r="402" spans="1:5" x14ac:dyDescent="0.3">
      <c r="A402" t="s">
        <v>244</v>
      </c>
      <c r="B402">
        <v>3</v>
      </c>
      <c r="C402" t="s">
        <v>437</v>
      </c>
      <c r="D402" t="s">
        <v>433</v>
      </c>
      <c r="E402" t="s">
        <v>31</v>
      </c>
    </row>
    <row r="403" spans="1:5" x14ac:dyDescent="0.3">
      <c r="A403" t="s">
        <v>244</v>
      </c>
      <c r="B403">
        <v>4</v>
      </c>
      <c r="C403" t="s">
        <v>434</v>
      </c>
      <c r="D403" t="s">
        <v>433</v>
      </c>
      <c r="E403" t="s">
        <v>31</v>
      </c>
    </row>
    <row r="404" spans="1:5" x14ac:dyDescent="0.3">
      <c r="A404" t="s">
        <v>247</v>
      </c>
      <c r="B404">
        <v>1</v>
      </c>
      <c r="C404" t="s">
        <v>439</v>
      </c>
      <c r="D404" t="s">
        <v>433</v>
      </c>
      <c r="E404" t="s">
        <v>48</v>
      </c>
    </row>
    <row r="405" spans="1:5" x14ac:dyDescent="0.3">
      <c r="A405" t="s">
        <v>247</v>
      </c>
      <c r="B405">
        <v>2</v>
      </c>
      <c r="C405" t="s">
        <v>440</v>
      </c>
      <c r="D405" t="s">
        <v>441</v>
      </c>
      <c r="E405" t="s">
        <v>31</v>
      </c>
    </row>
    <row r="406" spans="1:5" x14ac:dyDescent="0.3">
      <c r="A406" t="s">
        <v>247</v>
      </c>
      <c r="B406">
        <v>3</v>
      </c>
      <c r="C406" t="s">
        <v>438</v>
      </c>
      <c r="D406" t="s">
        <v>433</v>
      </c>
      <c r="E406" t="s">
        <v>31</v>
      </c>
    </row>
    <row r="407" spans="1:5" x14ac:dyDescent="0.3">
      <c r="A407" t="s">
        <v>250</v>
      </c>
      <c r="B407">
        <v>1</v>
      </c>
      <c r="C407" t="s">
        <v>432</v>
      </c>
      <c r="D407" t="s">
        <v>433</v>
      </c>
      <c r="E407" t="s">
        <v>48</v>
      </c>
    </row>
    <row r="408" spans="1:5" x14ac:dyDescent="0.3">
      <c r="A408" t="s">
        <v>250</v>
      </c>
      <c r="B408">
        <v>2</v>
      </c>
      <c r="C408" t="s">
        <v>434</v>
      </c>
      <c r="D408" t="s">
        <v>433</v>
      </c>
      <c r="E408" t="s">
        <v>48</v>
      </c>
    </row>
    <row r="409" spans="1:5" x14ac:dyDescent="0.3">
      <c r="A409" t="s">
        <v>250</v>
      </c>
      <c r="B409">
        <v>3</v>
      </c>
      <c r="C409" t="s">
        <v>438</v>
      </c>
      <c r="D409" t="s">
        <v>433</v>
      </c>
      <c r="E409" t="s">
        <v>31</v>
      </c>
    </row>
    <row r="410" spans="1:5" x14ac:dyDescent="0.3">
      <c r="A410" t="s">
        <v>252</v>
      </c>
      <c r="B410">
        <v>1</v>
      </c>
      <c r="C410" t="s">
        <v>435</v>
      </c>
      <c r="D410" t="s">
        <v>436</v>
      </c>
      <c r="E410" t="s">
        <v>48</v>
      </c>
    </row>
    <row r="411" spans="1:5" x14ac:dyDescent="0.3">
      <c r="A411" t="s">
        <v>252</v>
      </c>
      <c r="B411">
        <v>2</v>
      </c>
      <c r="C411" t="s">
        <v>440</v>
      </c>
      <c r="D411" t="s">
        <v>441</v>
      </c>
      <c r="E411" t="s">
        <v>31</v>
      </c>
    </row>
    <row r="412" spans="1:5" x14ac:dyDescent="0.3">
      <c r="A412" t="s">
        <v>252</v>
      </c>
      <c r="B412">
        <v>3</v>
      </c>
      <c r="C412" t="s">
        <v>439</v>
      </c>
      <c r="D412" t="s">
        <v>433</v>
      </c>
      <c r="E412" t="s">
        <v>31</v>
      </c>
    </row>
    <row r="413" spans="1:5" x14ac:dyDescent="0.3">
      <c r="A413" t="s">
        <v>255</v>
      </c>
      <c r="B413">
        <v>1</v>
      </c>
      <c r="C413" t="s">
        <v>434</v>
      </c>
      <c r="D413" t="s">
        <v>433</v>
      </c>
      <c r="E413" t="s">
        <v>48</v>
      </c>
    </row>
    <row r="414" spans="1:5" x14ac:dyDescent="0.3">
      <c r="A414" t="s">
        <v>255</v>
      </c>
      <c r="B414">
        <v>2</v>
      </c>
      <c r="C414" t="s">
        <v>437</v>
      </c>
      <c r="D414" t="s">
        <v>433</v>
      </c>
      <c r="E414" t="s">
        <v>31</v>
      </c>
    </row>
    <row r="415" spans="1:5" x14ac:dyDescent="0.3">
      <c r="A415" t="s">
        <v>258</v>
      </c>
      <c r="B415">
        <v>1</v>
      </c>
      <c r="C415" t="s">
        <v>439</v>
      </c>
      <c r="D415" t="s">
        <v>433</v>
      </c>
      <c r="E415" t="s">
        <v>48</v>
      </c>
    </row>
    <row r="416" spans="1:5" x14ac:dyDescent="0.3">
      <c r="A416" t="s">
        <v>258</v>
      </c>
      <c r="B416">
        <v>2</v>
      </c>
      <c r="C416" t="s">
        <v>437</v>
      </c>
      <c r="D416" t="s">
        <v>433</v>
      </c>
      <c r="E416" t="s">
        <v>31</v>
      </c>
    </row>
    <row r="417" spans="1:5" x14ac:dyDescent="0.3">
      <c r="A417" t="s">
        <v>258</v>
      </c>
      <c r="B417">
        <v>3</v>
      </c>
      <c r="C417" t="s">
        <v>438</v>
      </c>
      <c r="D417" t="s">
        <v>433</v>
      </c>
      <c r="E417" t="s">
        <v>31</v>
      </c>
    </row>
    <row r="418" spans="1:5" x14ac:dyDescent="0.3">
      <c r="A418" t="s">
        <v>261</v>
      </c>
      <c r="B418">
        <v>1</v>
      </c>
      <c r="C418" t="s">
        <v>432</v>
      </c>
      <c r="D418" t="s">
        <v>433</v>
      </c>
      <c r="E418" t="s">
        <v>48</v>
      </c>
    </row>
    <row r="419" spans="1:5" x14ac:dyDescent="0.3">
      <c r="A419" t="s">
        <v>261</v>
      </c>
      <c r="B419">
        <v>2</v>
      </c>
      <c r="C419" t="s">
        <v>434</v>
      </c>
      <c r="D419" t="s">
        <v>433</v>
      </c>
      <c r="E419" t="s">
        <v>48</v>
      </c>
    </row>
    <row r="420" spans="1:5" x14ac:dyDescent="0.3">
      <c r="A420" t="s">
        <v>261</v>
      </c>
      <c r="B420">
        <v>3</v>
      </c>
      <c r="C420" t="s">
        <v>437</v>
      </c>
      <c r="D420" t="s">
        <v>433</v>
      </c>
      <c r="E420" t="s">
        <v>31</v>
      </c>
    </row>
    <row r="421" spans="1:5" x14ac:dyDescent="0.3">
      <c r="A421" t="s">
        <v>264</v>
      </c>
      <c r="B421">
        <v>1</v>
      </c>
      <c r="C421" t="s">
        <v>432</v>
      </c>
      <c r="D421" t="s">
        <v>433</v>
      </c>
      <c r="E421" t="s">
        <v>48</v>
      </c>
    </row>
    <row r="422" spans="1:5" x14ac:dyDescent="0.3">
      <c r="A422" t="s">
        <v>264</v>
      </c>
      <c r="B422">
        <v>2</v>
      </c>
      <c r="C422" t="s">
        <v>434</v>
      </c>
      <c r="D422" t="s">
        <v>433</v>
      </c>
      <c r="E422" t="s">
        <v>48</v>
      </c>
    </row>
    <row r="423" spans="1:5" x14ac:dyDescent="0.3">
      <c r="A423" t="s">
        <v>264</v>
      </c>
      <c r="B423">
        <v>3</v>
      </c>
      <c r="C423" t="s">
        <v>438</v>
      </c>
      <c r="D423" t="s">
        <v>433</v>
      </c>
      <c r="E423" t="s">
        <v>31</v>
      </c>
    </row>
    <row r="424" spans="1:5" x14ac:dyDescent="0.3">
      <c r="A424" t="s">
        <v>266</v>
      </c>
      <c r="B424">
        <v>1</v>
      </c>
      <c r="C424" t="s">
        <v>435</v>
      </c>
      <c r="D424" t="s">
        <v>436</v>
      </c>
      <c r="E424" t="s">
        <v>48</v>
      </c>
    </row>
    <row r="425" spans="1:5" x14ac:dyDescent="0.3">
      <c r="A425" t="s">
        <v>266</v>
      </c>
      <c r="B425">
        <v>2</v>
      </c>
      <c r="C425" t="s">
        <v>439</v>
      </c>
      <c r="D425" t="s">
        <v>433</v>
      </c>
      <c r="E425" t="s">
        <v>31</v>
      </c>
    </row>
    <row r="426" spans="1:5" x14ac:dyDescent="0.3">
      <c r="A426" t="s">
        <v>270</v>
      </c>
      <c r="B426">
        <v>1</v>
      </c>
      <c r="C426" t="s">
        <v>439</v>
      </c>
      <c r="D426" t="s">
        <v>433</v>
      </c>
      <c r="E426" t="s">
        <v>48</v>
      </c>
    </row>
    <row r="427" spans="1:5" x14ac:dyDescent="0.3">
      <c r="A427" t="s">
        <v>270</v>
      </c>
      <c r="B427">
        <v>2</v>
      </c>
      <c r="C427" t="s">
        <v>437</v>
      </c>
      <c r="D427" t="s">
        <v>433</v>
      </c>
      <c r="E427" t="s">
        <v>31</v>
      </c>
    </row>
    <row r="428" spans="1:5" x14ac:dyDescent="0.3">
      <c r="A428" t="s">
        <v>270</v>
      </c>
      <c r="B428">
        <v>3</v>
      </c>
      <c r="C428" t="s">
        <v>435</v>
      </c>
      <c r="D428" t="s">
        <v>433</v>
      </c>
      <c r="E428" t="s">
        <v>73</v>
      </c>
    </row>
    <row r="429" spans="1:5" x14ac:dyDescent="0.3">
      <c r="A429" t="s">
        <v>274</v>
      </c>
      <c r="B429">
        <v>1</v>
      </c>
      <c r="C429" t="s">
        <v>435</v>
      </c>
      <c r="D429" t="s">
        <v>436</v>
      </c>
      <c r="E429" t="s">
        <v>48</v>
      </c>
    </row>
    <row r="430" spans="1:5" x14ac:dyDescent="0.3">
      <c r="A430" t="s">
        <v>274</v>
      </c>
      <c r="B430">
        <v>2</v>
      </c>
      <c r="C430" t="s">
        <v>434</v>
      </c>
      <c r="D430" t="s">
        <v>433</v>
      </c>
      <c r="E430" t="s">
        <v>31</v>
      </c>
    </row>
    <row r="431" spans="1:5" x14ac:dyDescent="0.3">
      <c r="A431" t="s">
        <v>274</v>
      </c>
      <c r="B431">
        <v>3</v>
      </c>
      <c r="C431" t="s">
        <v>438</v>
      </c>
      <c r="D431" t="s">
        <v>433</v>
      </c>
      <c r="E431" t="s">
        <v>31</v>
      </c>
    </row>
    <row r="432" spans="1:5" x14ac:dyDescent="0.3">
      <c r="A432" t="s">
        <v>277</v>
      </c>
      <c r="B432">
        <v>1</v>
      </c>
      <c r="C432" t="s">
        <v>432</v>
      </c>
      <c r="D432" t="s">
        <v>433</v>
      </c>
      <c r="E432" t="s">
        <v>48</v>
      </c>
    </row>
    <row r="433" spans="1:5" x14ac:dyDescent="0.3">
      <c r="A433" t="s">
        <v>277</v>
      </c>
      <c r="B433">
        <v>2</v>
      </c>
      <c r="C433" t="s">
        <v>434</v>
      </c>
      <c r="D433" t="s">
        <v>433</v>
      </c>
      <c r="E433" t="s">
        <v>48</v>
      </c>
    </row>
    <row r="434" spans="1:5" x14ac:dyDescent="0.3">
      <c r="A434" t="s">
        <v>277</v>
      </c>
      <c r="B434">
        <v>3</v>
      </c>
      <c r="C434" t="s">
        <v>437</v>
      </c>
      <c r="D434" t="s">
        <v>433</v>
      </c>
      <c r="E434" t="s">
        <v>31</v>
      </c>
    </row>
    <row r="435" spans="1:5" x14ac:dyDescent="0.3">
      <c r="A435" t="s">
        <v>279</v>
      </c>
      <c r="B435">
        <v>1</v>
      </c>
      <c r="C435" t="s">
        <v>434</v>
      </c>
      <c r="D435" t="s">
        <v>433</v>
      </c>
      <c r="E435" t="s">
        <v>48</v>
      </c>
    </row>
    <row r="436" spans="1:5" x14ac:dyDescent="0.3">
      <c r="A436" t="s">
        <v>279</v>
      </c>
      <c r="B436">
        <v>2</v>
      </c>
      <c r="C436" t="s">
        <v>438</v>
      </c>
      <c r="D436" t="s">
        <v>433</v>
      </c>
      <c r="E436" t="s">
        <v>31</v>
      </c>
    </row>
    <row r="437" spans="1:5" x14ac:dyDescent="0.3">
      <c r="A437" t="s">
        <v>279</v>
      </c>
      <c r="B437">
        <v>3</v>
      </c>
      <c r="C437" t="s">
        <v>439</v>
      </c>
      <c r="D437" t="s">
        <v>433</v>
      </c>
      <c r="E437" t="s">
        <v>31</v>
      </c>
    </row>
    <row r="438" spans="1:5" x14ac:dyDescent="0.3">
      <c r="A438" t="s">
        <v>283</v>
      </c>
      <c r="B438">
        <v>1</v>
      </c>
      <c r="C438" t="s">
        <v>437</v>
      </c>
      <c r="D438" t="s">
        <v>433</v>
      </c>
      <c r="E438" t="s">
        <v>48</v>
      </c>
    </row>
    <row r="439" spans="1:5" x14ac:dyDescent="0.3">
      <c r="A439" t="s">
        <v>283</v>
      </c>
      <c r="B439">
        <v>2</v>
      </c>
      <c r="C439" t="s">
        <v>439</v>
      </c>
      <c r="D439" t="s">
        <v>433</v>
      </c>
      <c r="E439" t="s">
        <v>48</v>
      </c>
    </row>
    <row r="440" spans="1:5" x14ac:dyDescent="0.3">
      <c r="A440" t="s">
        <v>286</v>
      </c>
      <c r="B440">
        <v>1</v>
      </c>
      <c r="C440" t="s">
        <v>437</v>
      </c>
      <c r="D440" t="s">
        <v>433</v>
      </c>
      <c r="E440" t="s">
        <v>31</v>
      </c>
    </row>
    <row r="441" spans="1:5" x14ac:dyDescent="0.3">
      <c r="A441" t="s">
        <v>286</v>
      </c>
      <c r="B441">
        <v>2</v>
      </c>
      <c r="C441" t="s">
        <v>435</v>
      </c>
      <c r="D441" t="s">
        <v>433</v>
      </c>
      <c r="E441" t="s">
        <v>31</v>
      </c>
    </row>
    <row r="442" spans="1:5" x14ac:dyDescent="0.3">
      <c r="A442" t="s">
        <v>286</v>
      </c>
      <c r="B442">
        <v>3</v>
      </c>
      <c r="C442" t="s">
        <v>434</v>
      </c>
      <c r="D442" t="s">
        <v>433</v>
      </c>
      <c r="E442" t="s">
        <v>31</v>
      </c>
    </row>
    <row r="443" spans="1:5" x14ac:dyDescent="0.3">
      <c r="A443" t="s">
        <v>288</v>
      </c>
      <c r="B443">
        <v>1</v>
      </c>
      <c r="C443" t="s">
        <v>432</v>
      </c>
      <c r="D443" t="s">
        <v>433</v>
      </c>
      <c r="E443" t="s">
        <v>48</v>
      </c>
    </row>
    <row r="444" spans="1:5" x14ac:dyDescent="0.3">
      <c r="A444" t="s">
        <v>288</v>
      </c>
      <c r="B444">
        <v>2</v>
      </c>
      <c r="C444" t="s">
        <v>434</v>
      </c>
      <c r="D444" t="s">
        <v>433</v>
      </c>
      <c r="E444" t="s">
        <v>48</v>
      </c>
    </row>
    <row r="445" spans="1:5" x14ac:dyDescent="0.3">
      <c r="A445" t="s">
        <v>288</v>
      </c>
      <c r="B445">
        <v>3</v>
      </c>
      <c r="C445" t="s">
        <v>435</v>
      </c>
      <c r="D445" t="s">
        <v>436</v>
      </c>
      <c r="E445" t="s">
        <v>31</v>
      </c>
    </row>
    <row r="446" spans="1:5" x14ac:dyDescent="0.3">
      <c r="A446" t="s">
        <v>288</v>
      </c>
      <c r="B446">
        <v>4</v>
      </c>
      <c r="C446" t="s">
        <v>440</v>
      </c>
      <c r="D446" t="s">
        <v>441</v>
      </c>
      <c r="E446" t="s">
        <v>31</v>
      </c>
    </row>
    <row r="447" spans="1:5" x14ac:dyDescent="0.3">
      <c r="A447" t="s">
        <v>292</v>
      </c>
      <c r="B447">
        <v>1</v>
      </c>
      <c r="C447" t="s">
        <v>435</v>
      </c>
      <c r="D447" t="s">
        <v>436</v>
      </c>
      <c r="E447" t="s">
        <v>48</v>
      </c>
    </row>
    <row r="448" spans="1:5" x14ac:dyDescent="0.3">
      <c r="A448" t="s">
        <v>292</v>
      </c>
      <c r="B448">
        <v>2</v>
      </c>
      <c r="C448" t="s">
        <v>438</v>
      </c>
      <c r="D448" t="s">
        <v>433</v>
      </c>
      <c r="E448" t="s">
        <v>48</v>
      </c>
    </row>
    <row r="449" spans="1:5" x14ac:dyDescent="0.3">
      <c r="A449" t="s">
        <v>295</v>
      </c>
      <c r="B449">
        <v>1</v>
      </c>
      <c r="C449" t="s">
        <v>435</v>
      </c>
      <c r="D449" t="s">
        <v>436</v>
      </c>
      <c r="E449" t="s">
        <v>31</v>
      </c>
    </row>
    <row r="450" spans="1:5" x14ac:dyDescent="0.3">
      <c r="A450" t="s">
        <v>295</v>
      </c>
      <c r="B450">
        <v>2</v>
      </c>
      <c r="C450" t="s">
        <v>438</v>
      </c>
      <c r="D450" t="s">
        <v>433</v>
      </c>
      <c r="E450" t="s">
        <v>48</v>
      </c>
    </row>
    <row r="451" spans="1:5" x14ac:dyDescent="0.3">
      <c r="A451" t="s">
        <v>295</v>
      </c>
      <c r="B451">
        <v>3</v>
      </c>
      <c r="C451" t="s">
        <v>434</v>
      </c>
      <c r="D451" t="s">
        <v>433</v>
      </c>
      <c r="E451" t="s">
        <v>31</v>
      </c>
    </row>
    <row r="452" spans="1:5" x14ac:dyDescent="0.3">
      <c r="A452" t="s">
        <v>297</v>
      </c>
      <c r="B452">
        <v>1</v>
      </c>
      <c r="C452" t="s">
        <v>434</v>
      </c>
      <c r="D452" t="s">
        <v>433</v>
      </c>
      <c r="E452" t="s">
        <v>48</v>
      </c>
    </row>
    <row r="453" spans="1:5" x14ac:dyDescent="0.3">
      <c r="A453" t="s">
        <v>297</v>
      </c>
      <c r="B453">
        <v>2</v>
      </c>
      <c r="C453" t="s">
        <v>437</v>
      </c>
      <c r="D453" t="s">
        <v>433</v>
      </c>
      <c r="E453" t="s">
        <v>48</v>
      </c>
    </row>
    <row r="454" spans="1:5" x14ac:dyDescent="0.3">
      <c r="A454" t="s">
        <v>297</v>
      </c>
      <c r="B454">
        <v>3</v>
      </c>
      <c r="C454" t="s">
        <v>432</v>
      </c>
      <c r="D454" t="s">
        <v>433</v>
      </c>
      <c r="E454" t="s">
        <v>31</v>
      </c>
    </row>
    <row r="455" spans="1:5" x14ac:dyDescent="0.3">
      <c r="A455" t="s">
        <v>301</v>
      </c>
      <c r="B455">
        <v>1</v>
      </c>
      <c r="C455" t="s">
        <v>438</v>
      </c>
      <c r="D455" t="s">
        <v>433</v>
      </c>
      <c r="E455" t="s">
        <v>48</v>
      </c>
    </row>
    <row r="456" spans="1:5" x14ac:dyDescent="0.3">
      <c r="A456" t="s">
        <v>301</v>
      </c>
      <c r="B456">
        <v>2</v>
      </c>
      <c r="C456" t="s">
        <v>439</v>
      </c>
      <c r="D456" t="s">
        <v>433</v>
      </c>
      <c r="E456" t="s">
        <v>48</v>
      </c>
    </row>
    <row r="457" spans="1:5" x14ac:dyDescent="0.3">
      <c r="A457" t="s">
        <v>301</v>
      </c>
      <c r="B457">
        <v>3</v>
      </c>
      <c r="C457" t="s">
        <v>442</v>
      </c>
      <c r="D457" t="s">
        <v>441</v>
      </c>
      <c r="E457" t="s">
        <v>31</v>
      </c>
    </row>
    <row r="458" spans="1:5" x14ac:dyDescent="0.3">
      <c r="A458" t="s">
        <v>303</v>
      </c>
      <c r="B458">
        <v>1</v>
      </c>
      <c r="C458" t="s">
        <v>439</v>
      </c>
      <c r="D458" t="s">
        <v>433</v>
      </c>
      <c r="E458" t="s">
        <v>48</v>
      </c>
    </row>
    <row r="459" spans="1:5" x14ac:dyDescent="0.3">
      <c r="A459" t="s">
        <v>303</v>
      </c>
      <c r="B459">
        <v>2</v>
      </c>
      <c r="C459" t="s">
        <v>440</v>
      </c>
      <c r="D459" t="s">
        <v>441</v>
      </c>
      <c r="E459" t="s">
        <v>31</v>
      </c>
    </row>
    <row r="460" spans="1:5" x14ac:dyDescent="0.3">
      <c r="A460" t="s">
        <v>306</v>
      </c>
      <c r="B460">
        <v>1</v>
      </c>
      <c r="C460" t="s">
        <v>439</v>
      </c>
      <c r="D460" t="s">
        <v>433</v>
      </c>
      <c r="E460" t="s">
        <v>48</v>
      </c>
    </row>
    <row r="461" spans="1:5" x14ac:dyDescent="0.3">
      <c r="A461" t="s">
        <v>306</v>
      </c>
      <c r="B461">
        <v>2</v>
      </c>
      <c r="C461" t="s">
        <v>440</v>
      </c>
      <c r="D461" t="s">
        <v>441</v>
      </c>
      <c r="E461" t="s">
        <v>31</v>
      </c>
    </row>
    <row r="462" spans="1:5" x14ac:dyDescent="0.3">
      <c r="A462" t="s">
        <v>310</v>
      </c>
      <c r="B462">
        <v>1</v>
      </c>
      <c r="C462" t="s">
        <v>432</v>
      </c>
      <c r="D462" t="s">
        <v>433</v>
      </c>
      <c r="E462" t="s">
        <v>48</v>
      </c>
    </row>
    <row r="463" spans="1:5" x14ac:dyDescent="0.3">
      <c r="A463" t="s">
        <v>310</v>
      </c>
      <c r="B463">
        <v>2</v>
      </c>
      <c r="C463" t="s">
        <v>434</v>
      </c>
      <c r="D463" t="s">
        <v>433</v>
      </c>
      <c r="E463" t="s">
        <v>48</v>
      </c>
    </row>
    <row r="464" spans="1:5" x14ac:dyDescent="0.3">
      <c r="A464" t="s">
        <v>310</v>
      </c>
      <c r="B464">
        <v>3</v>
      </c>
      <c r="C464" t="s">
        <v>438</v>
      </c>
      <c r="D464" t="s">
        <v>433</v>
      </c>
      <c r="E464" t="s">
        <v>31</v>
      </c>
    </row>
    <row r="465" spans="1:5" x14ac:dyDescent="0.3">
      <c r="A465" t="s">
        <v>312</v>
      </c>
      <c r="B465">
        <v>1</v>
      </c>
      <c r="C465" t="s">
        <v>435</v>
      </c>
      <c r="D465" t="s">
        <v>436</v>
      </c>
      <c r="E465" t="s">
        <v>48</v>
      </c>
    </row>
    <row r="466" spans="1:5" x14ac:dyDescent="0.3">
      <c r="A466" t="s">
        <v>315</v>
      </c>
      <c r="B466">
        <v>1</v>
      </c>
      <c r="C466" t="s">
        <v>432</v>
      </c>
      <c r="D466" t="s">
        <v>433</v>
      </c>
      <c r="E466" t="s">
        <v>48</v>
      </c>
    </row>
    <row r="467" spans="1:5" x14ac:dyDescent="0.3">
      <c r="A467" t="s">
        <v>315</v>
      </c>
      <c r="B467">
        <v>2</v>
      </c>
      <c r="C467" t="s">
        <v>434</v>
      </c>
      <c r="D467" t="s">
        <v>433</v>
      </c>
      <c r="E467" t="s">
        <v>48</v>
      </c>
    </row>
    <row r="468" spans="1:5" x14ac:dyDescent="0.3">
      <c r="A468" t="s">
        <v>315</v>
      </c>
      <c r="B468">
        <v>3</v>
      </c>
      <c r="C468" t="s">
        <v>442</v>
      </c>
      <c r="D468" t="s">
        <v>441</v>
      </c>
      <c r="E468" t="s">
        <v>31</v>
      </c>
    </row>
    <row r="469" spans="1:5" x14ac:dyDescent="0.3">
      <c r="A469" t="s">
        <v>315</v>
      </c>
      <c r="B469">
        <v>4</v>
      </c>
      <c r="C469" t="s">
        <v>440</v>
      </c>
      <c r="D469" t="s">
        <v>441</v>
      </c>
      <c r="E469" t="s">
        <v>31</v>
      </c>
    </row>
    <row r="470" spans="1:5" x14ac:dyDescent="0.3">
      <c r="A470" t="s">
        <v>321</v>
      </c>
      <c r="B470">
        <v>1</v>
      </c>
      <c r="C470" t="s">
        <v>434</v>
      </c>
      <c r="D470" t="s">
        <v>433</v>
      </c>
      <c r="E470" t="s">
        <v>48</v>
      </c>
    </row>
    <row r="471" spans="1:5" x14ac:dyDescent="0.3">
      <c r="A471" t="s">
        <v>321</v>
      </c>
      <c r="B471">
        <v>2</v>
      </c>
      <c r="C471" t="s">
        <v>437</v>
      </c>
      <c r="D471" t="s">
        <v>433</v>
      </c>
      <c r="E471" t="s">
        <v>48</v>
      </c>
    </row>
    <row r="472" spans="1:5" x14ac:dyDescent="0.3">
      <c r="A472" t="s">
        <v>324</v>
      </c>
      <c r="B472">
        <v>1</v>
      </c>
      <c r="C472" t="s">
        <v>434</v>
      </c>
      <c r="D472" t="s">
        <v>433</v>
      </c>
      <c r="E472" t="s">
        <v>48</v>
      </c>
    </row>
    <row r="473" spans="1:5" x14ac:dyDescent="0.3">
      <c r="A473" t="s">
        <v>324</v>
      </c>
      <c r="B473">
        <v>2</v>
      </c>
      <c r="C473" t="s">
        <v>438</v>
      </c>
      <c r="D473" t="s">
        <v>433</v>
      </c>
      <c r="E473" t="s">
        <v>31</v>
      </c>
    </row>
    <row r="474" spans="1:5" x14ac:dyDescent="0.3">
      <c r="A474" t="s">
        <v>324</v>
      </c>
      <c r="B474">
        <v>3</v>
      </c>
      <c r="C474" t="s">
        <v>439</v>
      </c>
      <c r="D474" t="s">
        <v>433</v>
      </c>
      <c r="E474" t="s">
        <v>31</v>
      </c>
    </row>
    <row r="475" spans="1:5" x14ac:dyDescent="0.3">
      <c r="A475" t="s">
        <v>327</v>
      </c>
      <c r="B475">
        <v>1</v>
      </c>
      <c r="C475" t="s">
        <v>435</v>
      </c>
      <c r="D475" t="s">
        <v>436</v>
      </c>
      <c r="E475" t="s">
        <v>48</v>
      </c>
    </row>
    <row r="476" spans="1:5" x14ac:dyDescent="0.3">
      <c r="A476" t="s">
        <v>329</v>
      </c>
      <c r="B476">
        <v>1</v>
      </c>
      <c r="C476" t="s">
        <v>432</v>
      </c>
      <c r="D476" t="s">
        <v>433</v>
      </c>
      <c r="E476" t="s">
        <v>48</v>
      </c>
    </row>
    <row r="477" spans="1:5" x14ac:dyDescent="0.3">
      <c r="A477" t="s">
        <v>329</v>
      </c>
      <c r="B477">
        <v>2</v>
      </c>
      <c r="C477" t="s">
        <v>434</v>
      </c>
      <c r="D477" t="s">
        <v>433</v>
      </c>
      <c r="E477" t="s">
        <v>48</v>
      </c>
    </row>
    <row r="478" spans="1:5" x14ac:dyDescent="0.3">
      <c r="A478" t="s">
        <v>329</v>
      </c>
      <c r="B478">
        <v>3</v>
      </c>
      <c r="C478" t="s">
        <v>438</v>
      </c>
      <c r="D478" t="s">
        <v>433</v>
      </c>
      <c r="E478" t="s">
        <v>31</v>
      </c>
    </row>
    <row r="479" spans="1:5" x14ac:dyDescent="0.3">
      <c r="A479" t="s">
        <v>329</v>
      </c>
      <c r="B479">
        <v>4</v>
      </c>
      <c r="C479" t="s">
        <v>439</v>
      </c>
      <c r="D479" t="s">
        <v>433</v>
      </c>
      <c r="E479" t="s">
        <v>31</v>
      </c>
    </row>
    <row r="480" spans="1:5" x14ac:dyDescent="0.3">
      <c r="A480" t="s">
        <v>331</v>
      </c>
      <c r="B480">
        <v>1</v>
      </c>
      <c r="C480" t="s">
        <v>434</v>
      </c>
      <c r="D480" t="s">
        <v>433</v>
      </c>
      <c r="E480" t="s">
        <v>48</v>
      </c>
    </row>
    <row r="481" spans="1:5" x14ac:dyDescent="0.3">
      <c r="A481" t="s">
        <v>333</v>
      </c>
      <c r="B481">
        <v>1</v>
      </c>
      <c r="C481" t="s">
        <v>432</v>
      </c>
      <c r="D481" t="s">
        <v>433</v>
      </c>
      <c r="E481" t="s">
        <v>48</v>
      </c>
    </row>
    <row r="482" spans="1:5" x14ac:dyDescent="0.3">
      <c r="A482" t="s">
        <v>333</v>
      </c>
      <c r="B482">
        <v>2</v>
      </c>
      <c r="C482" t="s">
        <v>434</v>
      </c>
      <c r="D482" t="s">
        <v>433</v>
      </c>
      <c r="E482" t="s">
        <v>31</v>
      </c>
    </row>
    <row r="483" spans="1:5" x14ac:dyDescent="0.3">
      <c r="A483" t="s">
        <v>335</v>
      </c>
      <c r="B483">
        <v>1</v>
      </c>
      <c r="C483" t="s">
        <v>439</v>
      </c>
      <c r="D483" t="s">
        <v>433</v>
      </c>
      <c r="E483" t="s">
        <v>48</v>
      </c>
    </row>
    <row r="484" spans="1:5" x14ac:dyDescent="0.3">
      <c r="A484" t="s">
        <v>335</v>
      </c>
      <c r="B484">
        <v>2</v>
      </c>
      <c r="C484" t="s">
        <v>434</v>
      </c>
      <c r="D484" t="s">
        <v>433</v>
      </c>
      <c r="E484" t="s">
        <v>31</v>
      </c>
    </row>
    <row r="485" spans="1:5" x14ac:dyDescent="0.3">
      <c r="A485" t="s">
        <v>335</v>
      </c>
      <c r="B485">
        <v>3</v>
      </c>
      <c r="C485" t="s">
        <v>438</v>
      </c>
      <c r="D485" t="s">
        <v>433</v>
      </c>
      <c r="E485" t="s">
        <v>31</v>
      </c>
    </row>
    <row r="486" spans="1:5" x14ac:dyDescent="0.3">
      <c r="A486" t="s">
        <v>339</v>
      </c>
      <c r="B486">
        <v>1</v>
      </c>
      <c r="C486" t="s">
        <v>437</v>
      </c>
      <c r="D486" t="s">
        <v>433</v>
      </c>
      <c r="E486" t="s">
        <v>48</v>
      </c>
    </row>
    <row r="487" spans="1:5" x14ac:dyDescent="0.3">
      <c r="A487" t="s">
        <v>339</v>
      </c>
      <c r="B487">
        <v>2</v>
      </c>
      <c r="C487" t="s">
        <v>434</v>
      </c>
      <c r="D487" t="s">
        <v>433</v>
      </c>
      <c r="E487" t="s">
        <v>31</v>
      </c>
    </row>
    <row r="488" spans="1:5" x14ac:dyDescent="0.3">
      <c r="A488" t="s">
        <v>342</v>
      </c>
      <c r="B488">
        <v>1</v>
      </c>
      <c r="C488" t="s">
        <v>432</v>
      </c>
      <c r="D488" t="s">
        <v>433</v>
      </c>
      <c r="E488" t="s">
        <v>48</v>
      </c>
    </row>
    <row r="489" spans="1:5" x14ac:dyDescent="0.3">
      <c r="A489" t="s">
        <v>342</v>
      </c>
      <c r="B489">
        <v>2</v>
      </c>
      <c r="C489" t="s">
        <v>434</v>
      </c>
      <c r="D489" t="s">
        <v>433</v>
      </c>
      <c r="E489" t="s">
        <v>31</v>
      </c>
    </row>
    <row r="490" spans="1:5" x14ac:dyDescent="0.3">
      <c r="A490" t="s">
        <v>342</v>
      </c>
      <c r="B490">
        <v>3</v>
      </c>
      <c r="C490" t="s">
        <v>438</v>
      </c>
      <c r="D490" t="s">
        <v>433</v>
      </c>
      <c r="E490" t="s">
        <v>31</v>
      </c>
    </row>
    <row r="491" spans="1:5" x14ac:dyDescent="0.3">
      <c r="A491" t="s">
        <v>342</v>
      </c>
      <c r="B491">
        <v>4</v>
      </c>
      <c r="C491" t="s">
        <v>437</v>
      </c>
      <c r="D491" t="s">
        <v>433</v>
      </c>
      <c r="E491" t="s">
        <v>73</v>
      </c>
    </row>
    <row r="492" spans="1:5" x14ac:dyDescent="0.3">
      <c r="A492" t="s">
        <v>344</v>
      </c>
      <c r="B492">
        <v>1</v>
      </c>
      <c r="C492" t="s">
        <v>432</v>
      </c>
      <c r="D492" t="s">
        <v>433</v>
      </c>
      <c r="E492" t="s">
        <v>48</v>
      </c>
    </row>
    <row r="493" spans="1:5" x14ac:dyDescent="0.3">
      <c r="A493" t="s">
        <v>344</v>
      </c>
      <c r="B493">
        <v>2</v>
      </c>
      <c r="C493" t="s">
        <v>434</v>
      </c>
      <c r="D493" t="s">
        <v>433</v>
      </c>
      <c r="E493" t="s">
        <v>48</v>
      </c>
    </row>
    <row r="494" spans="1:5" x14ac:dyDescent="0.3">
      <c r="A494" t="s">
        <v>344</v>
      </c>
      <c r="B494">
        <v>3</v>
      </c>
      <c r="C494" t="s">
        <v>438</v>
      </c>
      <c r="D494" t="s">
        <v>433</v>
      </c>
      <c r="E494" t="s">
        <v>31</v>
      </c>
    </row>
    <row r="495" spans="1:5" x14ac:dyDescent="0.3">
      <c r="A495" t="s">
        <v>345</v>
      </c>
      <c r="B495">
        <v>1</v>
      </c>
      <c r="C495" t="s">
        <v>434</v>
      </c>
      <c r="D495" t="s">
        <v>433</v>
      </c>
      <c r="E495" t="s">
        <v>31</v>
      </c>
    </row>
    <row r="496" spans="1:5" x14ac:dyDescent="0.3">
      <c r="A496" t="s">
        <v>347</v>
      </c>
      <c r="B496">
        <v>1</v>
      </c>
      <c r="C496" t="s">
        <v>435</v>
      </c>
      <c r="D496" t="s">
        <v>436</v>
      </c>
      <c r="E496" t="s">
        <v>48</v>
      </c>
    </row>
    <row r="497" spans="1:5" x14ac:dyDescent="0.3">
      <c r="A497" t="s">
        <v>350</v>
      </c>
      <c r="B497">
        <v>1</v>
      </c>
      <c r="C497" t="s">
        <v>439</v>
      </c>
      <c r="D497" t="s">
        <v>433</v>
      </c>
      <c r="E497" t="s">
        <v>48</v>
      </c>
    </row>
    <row r="498" spans="1:5" x14ac:dyDescent="0.3">
      <c r="A498" t="s">
        <v>350</v>
      </c>
      <c r="B498">
        <v>2</v>
      </c>
      <c r="C498" t="s">
        <v>438</v>
      </c>
      <c r="D498" t="s">
        <v>433</v>
      </c>
      <c r="E498" t="s">
        <v>31</v>
      </c>
    </row>
    <row r="499" spans="1:5" x14ac:dyDescent="0.3">
      <c r="A499" t="s">
        <v>350</v>
      </c>
      <c r="B499">
        <v>3</v>
      </c>
      <c r="C499" t="s">
        <v>440</v>
      </c>
      <c r="D499" t="s">
        <v>441</v>
      </c>
      <c r="E499" t="s">
        <v>73</v>
      </c>
    </row>
    <row r="500" spans="1:5" x14ac:dyDescent="0.3">
      <c r="A500" t="s">
        <v>352</v>
      </c>
      <c r="B500">
        <v>1</v>
      </c>
      <c r="C500" t="s">
        <v>439</v>
      </c>
      <c r="D500" t="s">
        <v>433</v>
      </c>
      <c r="E500" t="s">
        <v>48</v>
      </c>
    </row>
    <row r="501" spans="1:5" x14ac:dyDescent="0.3">
      <c r="A501" t="s">
        <v>352</v>
      </c>
      <c r="B501">
        <v>2</v>
      </c>
      <c r="C501" t="s">
        <v>440</v>
      </c>
      <c r="D501" t="s">
        <v>441</v>
      </c>
      <c r="E501" t="s">
        <v>31</v>
      </c>
    </row>
    <row r="502" spans="1:5" x14ac:dyDescent="0.3">
      <c r="A502" t="s">
        <v>355</v>
      </c>
      <c r="B502">
        <v>1</v>
      </c>
      <c r="C502" t="s">
        <v>434</v>
      </c>
      <c r="D502" t="s">
        <v>433</v>
      </c>
      <c r="E502" t="s">
        <v>48</v>
      </c>
    </row>
    <row r="503" spans="1:5" x14ac:dyDescent="0.3">
      <c r="A503" t="s">
        <v>357</v>
      </c>
      <c r="B503">
        <v>1</v>
      </c>
      <c r="C503" t="s">
        <v>432</v>
      </c>
      <c r="D503" t="s">
        <v>433</v>
      </c>
      <c r="E503" t="s">
        <v>48</v>
      </c>
    </row>
    <row r="504" spans="1:5" x14ac:dyDescent="0.3">
      <c r="A504" t="s">
        <v>357</v>
      </c>
      <c r="B504">
        <v>2</v>
      </c>
      <c r="C504" t="s">
        <v>434</v>
      </c>
      <c r="D504" t="s">
        <v>433</v>
      </c>
      <c r="E504" t="s">
        <v>31</v>
      </c>
    </row>
    <row r="505" spans="1:5" x14ac:dyDescent="0.3">
      <c r="A505" t="s">
        <v>357</v>
      </c>
      <c r="B505">
        <v>3</v>
      </c>
      <c r="C505" t="s">
        <v>438</v>
      </c>
      <c r="D505" t="s">
        <v>433</v>
      </c>
      <c r="E505" t="s">
        <v>31</v>
      </c>
    </row>
    <row r="506" spans="1:5" x14ac:dyDescent="0.3">
      <c r="A506" t="s">
        <v>363</v>
      </c>
      <c r="B506">
        <v>1</v>
      </c>
      <c r="C506" t="s">
        <v>439</v>
      </c>
      <c r="D506" t="s">
        <v>433</v>
      </c>
      <c r="E506" t="s">
        <v>48</v>
      </c>
    </row>
    <row r="507" spans="1:5" x14ac:dyDescent="0.3">
      <c r="A507" t="s">
        <v>363</v>
      </c>
      <c r="B507">
        <v>2</v>
      </c>
      <c r="C507" t="s">
        <v>440</v>
      </c>
      <c r="D507" t="s">
        <v>441</v>
      </c>
      <c r="E507" t="s">
        <v>31</v>
      </c>
    </row>
    <row r="508" spans="1:5" x14ac:dyDescent="0.3">
      <c r="A508" t="s">
        <v>363</v>
      </c>
      <c r="B508">
        <v>3</v>
      </c>
      <c r="C508" t="s">
        <v>435</v>
      </c>
      <c r="D508" t="s">
        <v>436</v>
      </c>
      <c r="E508" t="s">
        <v>31</v>
      </c>
    </row>
    <row r="509" spans="1:5" x14ac:dyDescent="0.3">
      <c r="A509" t="s">
        <v>367</v>
      </c>
      <c r="B509">
        <v>1</v>
      </c>
      <c r="C509" t="s">
        <v>432</v>
      </c>
      <c r="D509" t="s">
        <v>433</v>
      </c>
      <c r="E509" t="s">
        <v>48</v>
      </c>
    </row>
    <row r="510" spans="1:5" x14ac:dyDescent="0.3">
      <c r="A510" t="s">
        <v>369</v>
      </c>
      <c r="B510">
        <v>1</v>
      </c>
      <c r="C510" t="s">
        <v>435</v>
      </c>
      <c r="D510" t="s">
        <v>433</v>
      </c>
      <c r="E510" t="s">
        <v>31</v>
      </c>
    </row>
    <row r="511" spans="1:5" x14ac:dyDescent="0.3">
      <c r="A511" t="s">
        <v>369</v>
      </c>
      <c r="B511">
        <v>2</v>
      </c>
      <c r="C511" t="s">
        <v>439</v>
      </c>
      <c r="D511" t="s">
        <v>433</v>
      </c>
      <c r="E511" t="s">
        <v>48</v>
      </c>
    </row>
    <row r="512" spans="1:5" x14ac:dyDescent="0.3">
      <c r="A512" t="s">
        <v>369</v>
      </c>
      <c r="B512">
        <v>3</v>
      </c>
      <c r="C512" t="s">
        <v>437</v>
      </c>
      <c r="D512" t="s">
        <v>433</v>
      </c>
      <c r="E512" t="s">
        <v>31</v>
      </c>
    </row>
    <row r="513" spans="1:5" x14ac:dyDescent="0.3">
      <c r="A513" t="s">
        <v>372</v>
      </c>
      <c r="B513">
        <v>1</v>
      </c>
      <c r="C513" t="s">
        <v>439</v>
      </c>
      <c r="D513" t="s">
        <v>433</v>
      </c>
      <c r="E513" t="s">
        <v>48</v>
      </c>
    </row>
    <row r="514" spans="1:5" x14ac:dyDescent="0.3">
      <c r="A514" t="s">
        <v>372</v>
      </c>
      <c r="B514">
        <v>2</v>
      </c>
      <c r="C514" t="s">
        <v>440</v>
      </c>
      <c r="D514" t="s">
        <v>441</v>
      </c>
      <c r="E514" t="s">
        <v>31</v>
      </c>
    </row>
    <row r="515" spans="1:5" x14ac:dyDescent="0.3">
      <c r="A515" t="s">
        <v>372</v>
      </c>
      <c r="B515">
        <v>3</v>
      </c>
      <c r="C515" t="s">
        <v>438</v>
      </c>
      <c r="D515" t="s">
        <v>433</v>
      </c>
      <c r="E515" t="s">
        <v>31</v>
      </c>
    </row>
    <row r="516" spans="1:5" x14ac:dyDescent="0.3">
      <c r="A516" t="s">
        <v>374</v>
      </c>
      <c r="B516">
        <v>1</v>
      </c>
      <c r="C516" t="s">
        <v>434</v>
      </c>
      <c r="D516" t="s">
        <v>433</v>
      </c>
      <c r="E516" t="s">
        <v>48</v>
      </c>
    </row>
    <row r="517" spans="1:5" x14ac:dyDescent="0.3">
      <c r="A517" t="s">
        <v>374</v>
      </c>
      <c r="B517">
        <v>2</v>
      </c>
      <c r="C517" t="s">
        <v>437</v>
      </c>
      <c r="D517" t="s">
        <v>433</v>
      </c>
      <c r="E517" t="s">
        <v>31</v>
      </c>
    </row>
    <row r="518" spans="1:5" x14ac:dyDescent="0.3">
      <c r="A518" t="s">
        <v>374</v>
      </c>
      <c r="B518">
        <v>3</v>
      </c>
      <c r="C518" t="s">
        <v>435</v>
      </c>
      <c r="D518" t="s">
        <v>433</v>
      </c>
      <c r="E518" t="s">
        <v>31</v>
      </c>
    </row>
    <row r="519" spans="1:5" x14ac:dyDescent="0.3">
      <c r="A519" t="s">
        <v>377</v>
      </c>
      <c r="B519">
        <v>1</v>
      </c>
      <c r="C519" t="s">
        <v>432</v>
      </c>
      <c r="D519" t="s">
        <v>433</v>
      </c>
      <c r="E519" t="s">
        <v>48</v>
      </c>
    </row>
    <row r="520" spans="1:5" x14ac:dyDescent="0.3">
      <c r="A520" t="s">
        <v>377</v>
      </c>
      <c r="B520">
        <v>2</v>
      </c>
      <c r="C520" t="s">
        <v>434</v>
      </c>
      <c r="D520" t="s">
        <v>433</v>
      </c>
      <c r="E520" t="s">
        <v>31</v>
      </c>
    </row>
    <row r="521" spans="1:5" x14ac:dyDescent="0.3">
      <c r="A521" t="s">
        <v>379</v>
      </c>
      <c r="B521">
        <v>1</v>
      </c>
      <c r="C521" t="s">
        <v>432</v>
      </c>
      <c r="D521" t="s">
        <v>433</v>
      </c>
      <c r="E521" t="s">
        <v>48</v>
      </c>
    </row>
    <row r="522" spans="1:5" x14ac:dyDescent="0.3">
      <c r="A522" t="s">
        <v>379</v>
      </c>
      <c r="B522">
        <v>2</v>
      </c>
      <c r="C522" t="s">
        <v>434</v>
      </c>
      <c r="D522" t="s">
        <v>433</v>
      </c>
      <c r="E522" t="s">
        <v>31</v>
      </c>
    </row>
    <row r="523" spans="1:5" x14ac:dyDescent="0.3">
      <c r="A523" t="s">
        <v>379</v>
      </c>
      <c r="B523">
        <v>3</v>
      </c>
      <c r="C523" t="s">
        <v>437</v>
      </c>
      <c r="D523" t="s">
        <v>433</v>
      </c>
      <c r="E523" t="s">
        <v>31</v>
      </c>
    </row>
    <row r="524" spans="1:5" x14ac:dyDescent="0.3">
      <c r="A524" t="s">
        <v>379</v>
      </c>
      <c r="B524">
        <v>4</v>
      </c>
      <c r="C524" t="s">
        <v>438</v>
      </c>
      <c r="D524" t="s">
        <v>433</v>
      </c>
      <c r="E524" t="s">
        <v>31</v>
      </c>
    </row>
    <row r="525" spans="1:5" x14ac:dyDescent="0.3">
      <c r="A525" t="s">
        <v>381</v>
      </c>
      <c r="B525">
        <v>1</v>
      </c>
      <c r="C525" t="s">
        <v>440</v>
      </c>
      <c r="D525" t="s">
        <v>441</v>
      </c>
      <c r="E525" t="s">
        <v>48</v>
      </c>
    </row>
    <row r="526" spans="1:5" x14ac:dyDescent="0.3">
      <c r="A526" t="s">
        <v>381</v>
      </c>
      <c r="B526">
        <v>2</v>
      </c>
      <c r="C526" t="s">
        <v>434</v>
      </c>
      <c r="D526" t="s">
        <v>433</v>
      </c>
      <c r="E526" t="s">
        <v>48</v>
      </c>
    </row>
    <row r="527" spans="1:5" x14ac:dyDescent="0.3">
      <c r="A527" t="s">
        <v>381</v>
      </c>
      <c r="B527">
        <v>3</v>
      </c>
      <c r="C527" t="s">
        <v>438</v>
      </c>
      <c r="D527" t="s">
        <v>433</v>
      </c>
      <c r="E527" t="s">
        <v>48</v>
      </c>
    </row>
    <row r="528" spans="1:5" x14ac:dyDescent="0.3">
      <c r="A528" t="s">
        <v>381</v>
      </c>
      <c r="B528">
        <v>4</v>
      </c>
      <c r="C528" t="s">
        <v>439</v>
      </c>
      <c r="D528" t="s">
        <v>433</v>
      </c>
      <c r="E528" t="s">
        <v>31</v>
      </c>
    </row>
    <row r="529" spans="1:5" x14ac:dyDescent="0.3">
      <c r="A529" t="s">
        <v>384</v>
      </c>
      <c r="B529">
        <v>1</v>
      </c>
      <c r="C529" t="s">
        <v>435</v>
      </c>
      <c r="D529" t="s">
        <v>436</v>
      </c>
      <c r="E529" t="s">
        <v>48</v>
      </c>
    </row>
    <row r="530" spans="1:5" x14ac:dyDescent="0.3">
      <c r="A530" t="s">
        <v>384</v>
      </c>
      <c r="B530">
        <v>2</v>
      </c>
      <c r="C530" t="s">
        <v>437</v>
      </c>
      <c r="D530" t="s">
        <v>433</v>
      </c>
      <c r="E530" t="s">
        <v>31</v>
      </c>
    </row>
    <row r="531" spans="1:5" x14ac:dyDescent="0.3">
      <c r="A531" t="s">
        <v>384</v>
      </c>
      <c r="B531">
        <v>3</v>
      </c>
      <c r="C531" t="s">
        <v>434</v>
      </c>
      <c r="D531" t="s">
        <v>433</v>
      </c>
      <c r="E531" t="s">
        <v>31</v>
      </c>
    </row>
    <row r="532" spans="1:5" x14ac:dyDescent="0.3">
      <c r="A532" t="s">
        <v>388</v>
      </c>
      <c r="B532">
        <v>1</v>
      </c>
      <c r="C532" t="s">
        <v>432</v>
      </c>
      <c r="D532" t="s">
        <v>433</v>
      </c>
      <c r="E532" t="s">
        <v>48</v>
      </c>
    </row>
    <row r="533" spans="1:5" x14ac:dyDescent="0.3">
      <c r="A533" t="s">
        <v>388</v>
      </c>
      <c r="B533">
        <v>2</v>
      </c>
      <c r="C533" t="s">
        <v>434</v>
      </c>
      <c r="D533" t="s">
        <v>433</v>
      </c>
      <c r="E533" t="s">
        <v>48</v>
      </c>
    </row>
    <row r="534" spans="1:5" x14ac:dyDescent="0.3">
      <c r="A534" t="s">
        <v>388</v>
      </c>
      <c r="B534">
        <v>3</v>
      </c>
      <c r="C534" t="s">
        <v>438</v>
      </c>
      <c r="D534" t="s">
        <v>433</v>
      </c>
      <c r="E534" t="s">
        <v>48</v>
      </c>
    </row>
    <row r="535" spans="1:5" x14ac:dyDescent="0.3">
      <c r="A535" t="s">
        <v>391</v>
      </c>
      <c r="B535">
        <v>1</v>
      </c>
      <c r="C535" t="s">
        <v>435</v>
      </c>
      <c r="D535" t="s">
        <v>436</v>
      </c>
      <c r="E535" t="s">
        <v>48</v>
      </c>
    </row>
    <row r="536" spans="1:5" x14ac:dyDescent="0.3">
      <c r="A536" t="s">
        <v>393</v>
      </c>
      <c r="B536">
        <v>1</v>
      </c>
      <c r="C536" t="s">
        <v>432</v>
      </c>
      <c r="D536" t="s">
        <v>433</v>
      </c>
      <c r="E536" t="s">
        <v>48</v>
      </c>
    </row>
    <row r="537" spans="1:5" x14ac:dyDescent="0.3">
      <c r="A537" t="s">
        <v>393</v>
      </c>
      <c r="B537">
        <v>2</v>
      </c>
      <c r="C537" t="s">
        <v>434</v>
      </c>
      <c r="D537" t="s">
        <v>433</v>
      </c>
      <c r="E537" t="s">
        <v>48</v>
      </c>
    </row>
    <row r="538" spans="1:5" x14ac:dyDescent="0.3">
      <c r="A538" t="s">
        <v>395</v>
      </c>
      <c r="B538">
        <v>1</v>
      </c>
      <c r="C538" t="s">
        <v>439</v>
      </c>
      <c r="D538" t="s">
        <v>433</v>
      </c>
      <c r="E538" t="s">
        <v>48</v>
      </c>
    </row>
    <row r="539" spans="1:5" x14ac:dyDescent="0.3">
      <c r="A539" t="s">
        <v>395</v>
      </c>
      <c r="B539">
        <v>2</v>
      </c>
      <c r="C539" t="s">
        <v>435</v>
      </c>
      <c r="D539" t="s">
        <v>436</v>
      </c>
      <c r="E539" t="s">
        <v>31</v>
      </c>
    </row>
    <row r="540" spans="1:5" x14ac:dyDescent="0.3">
      <c r="A540" t="s">
        <v>395</v>
      </c>
      <c r="B540">
        <v>3</v>
      </c>
      <c r="C540" t="s">
        <v>440</v>
      </c>
      <c r="D540" t="s">
        <v>441</v>
      </c>
      <c r="E540" t="s">
        <v>73</v>
      </c>
    </row>
    <row r="541" spans="1:5" x14ac:dyDescent="0.3">
      <c r="A541" t="s">
        <v>397</v>
      </c>
      <c r="B541">
        <v>1</v>
      </c>
      <c r="C541" t="s">
        <v>435</v>
      </c>
      <c r="D541" t="s">
        <v>436</v>
      </c>
      <c r="E541" t="s">
        <v>48</v>
      </c>
    </row>
    <row r="542" spans="1:5" x14ac:dyDescent="0.3">
      <c r="A542" t="s">
        <v>397</v>
      </c>
      <c r="B542">
        <v>2</v>
      </c>
      <c r="C542" t="s">
        <v>438</v>
      </c>
      <c r="D542" t="s">
        <v>433</v>
      </c>
      <c r="E542" t="s">
        <v>48</v>
      </c>
    </row>
    <row r="543" spans="1:5" x14ac:dyDescent="0.3">
      <c r="A543" t="s">
        <v>397</v>
      </c>
      <c r="B543">
        <v>3</v>
      </c>
      <c r="C543" t="s">
        <v>434</v>
      </c>
      <c r="D543" t="s">
        <v>433</v>
      </c>
      <c r="E543" t="s">
        <v>31</v>
      </c>
    </row>
    <row r="544" spans="1:5" x14ac:dyDescent="0.3">
      <c r="A544" t="s">
        <v>399</v>
      </c>
      <c r="B544">
        <v>1</v>
      </c>
      <c r="C544" t="s">
        <v>432</v>
      </c>
      <c r="D544" t="s">
        <v>433</v>
      </c>
      <c r="E544" t="s">
        <v>48</v>
      </c>
    </row>
    <row r="545" spans="1:5" x14ac:dyDescent="0.3">
      <c r="A545" t="s">
        <v>403</v>
      </c>
      <c r="B545">
        <v>1</v>
      </c>
      <c r="C545" t="s">
        <v>434</v>
      </c>
      <c r="D545" t="s">
        <v>433</v>
      </c>
      <c r="E545" t="s">
        <v>48</v>
      </c>
    </row>
    <row r="546" spans="1:5" x14ac:dyDescent="0.3">
      <c r="A546" t="s">
        <v>403</v>
      </c>
      <c r="B546">
        <v>2</v>
      </c>
      <c r="C546" t="s">
        <v>438</v>
      </c>
      <c r="D546" t="s">
        <v>433</v>
      </c>
      <c r="E546" t="s">
        <v>31</v>
      </c>
    </row>
    <row r="547" spans="1:5" x14ac:dyDescent="0.3">
      <c r="A547" t="s">
        <v>403</v>
      </c>
      <c r="B547">
        <v>3</v>
      </c>
      <c r="C547" t="s">
        <v>439</v>
      </c>
      <c r="D547" t="s">
        <v>433</v>
      </c>
      <c r="E547" t="s">
        <v>31</v>
      </c>
    </row>
    <row r="548" spans="1:5" x14ac:dyDescent="0.3">
      <c r="A548" t="s">
        <v>406</v>
      </c>
      <c r="B548">
        <v>1</v>
      </c>
      <c r="C548" t="s">
        <v>435</v>
      </c>
      <c r="D548" t="s">
        <v>433</v>
      </c>
      <c r="E548" t="s">
        <v>48</v>
      </c>
    </row>
    <row r="549" spans="1:5" x14ac:dyDescent="0.3">
      <c r="A549" t="s">
        <v>406</v>
      </c>
      <c r="B549">
        <v>2</v>
      </c>
      <c r="C549" t="s">
        <v>437</v>
      </c>
      <c r="D549" t="s">
        <v>433</v>
      </c>
      <c r="E549" t="s">
        <v>31</v>
      </c>
    </row>
    <row r="550" spans="1:5" x14ac:dyDescent="0.3">
      <c r="A550" t="s">
        <v>411</v>
      </c>
      <c r="B550">
        <v>1</v>
      </c>
      <c r="C550" t="s">
        <v>439</v>
      </c>
      <c r="D550" t="s">
        <v>433</v>
      </c>
      <c r="E550" t="s">
        <v>48</v>
      </c>
    </row>
    <row r="551" spans="1:5" x14ac:dyDescent="0.3">
      <c r="A551" t="s">
        <v>413</v>
      </c>
      <c r="B551">
        <v>1</v>
      </c>
      <c r="C551" t="s">
        <v>432</v>
      </c>
      <c r="D551" t="s">
        <v>433</v>
      </c>
      <c r="E551" t="s">
        <v>48</v>
      </c>
    </row>
    <row r="552" spans="1:5" x14ac:dyDescent="0.3">
      <c r="A552" t="s">
        <v>413</v>
      </c>
      <c r="B552">
        <v>2</v>
      </c>
      <c r="C552" t="s">
        <v>434</v>
      </c>
      <c r="D552" t="s">
        <v>433</v>
      </c>
      <c r="E552" t="s">
        <v>48</v>
      </c>
    </row>
    <row r="553" spans="1:5" x14ac:dyDescent="0.3">
      <c r="A553" t="s">
        <v>413</v>
      </c>
      <c r="B553">
        <v>3</v>
      </c>
      <c r="C553" t="s">
        <v>437</v>
      </c>
      <c r="D553" t="s">
        <v>433</v>
      </c>
      <c r="E553" t="s">
        <v>48</v>
      </c>
    </row>
    <row r="554" spans="1:5" x14ac:dyDescent="0.3">
      <c r="A554" t="s">
        <v>417</v>
      </c>
      <c r="B554">
        <v>1</v>
      </c>
      <c r="C554" t="s">
        <v>432</v>
      </c>
      <c r="D554" t="s">
        <v>433</v>
      </c>
      <c r="E554" t="s">
        <v>48</v>
      </c>
    </row>
    <row r="555" spans="1:5" x14ac:dyDescent="0.3">
      <c r="A555" t="s">
        <v>417</v>
      </c>
      <c r="B555">
        <v>2</v>
      </c>
      <c r="C555" t="s">
        <v>434</v>
      </c>
      <c r="D555" t="s">
        <v>433</v>
      </c>
      <c r="E555" t="s">
        <v>48</v>
      </c>
    </row>
    <row r="556" spans="1:5" x14ac:dyDescent="0.3">
      <c r="A556" t="s">
        <v>419</v>
      </c>
      <c r="B556">
        <v>1</v>
      </c>
      <c r="C556" t="s">
        <v>434</v>
      </c>
      <c r="D556" t="s">
        <v>433</v>
      </c>
      <c r="E556" t="s">
        <v>48</v>
      </c>
    </row>
    <row r="557" spans="1:5" x14ac:dyDescent="0.3">
      <c r="A557" t="s">
        <v>419</v>
      </c>
      <c r="B557">
        <v>2</v>
      </c>
      <c r="C557" t="s">
        <v>438</v>
      </c>
      <c r="D557" t="s">
        <v>433</v>
      </c>
      <c r="E557" t="s">
        <v>48</v>
      </c>
    </row>
    <row r="558" spans="1:5" x14ac:dyDescent="0.3">
      <c r="A558" t="s">
        <v>419</v>
      </c>
      <c r="B558">
        <v>3</v>
      </c>
      <c r="C558" t="s">
        <v>439</v>
      </c>
      <c r="D558" t="s">
        <v>433</v>
      </c>
      <c r="E558" t="s">
        <v>31</v>
      </c>
    </row>
    <row r="559" spans="1:5" x14ac:dyDescent="0.3">
      <c r="A559" t="s">
        <v>419</v>
      </c>
      <c r="B559">
        <v>4</v>
      </c>
      <c r="C559" t="s">
        <v>440</v>
      </c>
      <c r="D559" t="s">
        <v>441</v>
      </c>
      <c r="E559" t="s">
        <v>31</v>
      </c>
    </row>
    <row r="560" spans="1:5" x14ac:dyDescent="0.3">
      <c r="A560" t="s">
        <v>422</v>
      </c>
      <c r="B560">
        <v>1</v>
      </c>
      <c r="C560" t="s">
        <v>434</v>
      </c>
      <c r="D560" t="s">
        <v>433</v>
      </c>
      <c r="E560" t="s">
        <v>48</v>
      </c>
    </row>
    <row r="561" spans="1:5" x14ac:dyDescent="0.3">
      <c r="A561" t="s">
        <v>422</v>
      </c>
      <c r="B561">
        <v>2</v>
      </c>
      <c r="C561" t="s">
        <v>439</v>
      </c>
      <c r="D561" t="s">
        <v>433</v>
      </c>
      <c r="E561" t="s">
        <v>31</v>
      </c>
    </row>
    <row r="562" spans="1:5" x14ac:dyDescent="0.3">
      <c r="A562" t="s">
        <v>422</v>
      </c>
      <c r="B562">
        <v>3</v>
      </c>
      <c r="C562" t="s">
        <v>438</v>
      </c>
      <c r="D562" t="s">
        <v>433</v>
      </c>
      <c r="E562" t="s">
        <v>31</v>
      </c>
    </row>
    <row r="563" spans="1:5" x14ac:dyDescent="0.3">
      <c r="A563" t="s">
        <v>426</v>
      </c>
      <c r="B563">
        <v>1</v>
      </c>
      <c r="C563" t="s">
        <v>439</v>
      </c>
      <c r="D563" t="s">
        <v>433</v>
      </c>
      <c r="E563" t="s">
        <v>48</v>
      </c>
    </row>
    <row r="564" spans="1:5" x14ac:dyDescent="0.3">
      <c r="A564" t="s">
        <v>426</v>
      </c>
      <c r="B564">
        <v>2</v>
      </c>
      <c r="C564" t="s">
        <v>434</v>
      </c>
      <c r="D564" t="s">
        <v>433</v>
      </c>
      <c r="E564" t="s">
        <v>48</v>
      </c>
    </row>
    <row r="565" spans="1:5" x14ac:dyDescent="0.3">
      <c r="A565" t="s">
        <v>426</v>
      </c>
      <c r="B565">
        <v>3</v>
      </c>
      <c r="C565" t="s">
        <v>438</v>
      </c>
      <c r="D565" t="s">
        <v>433</v>
      </c>
      <c r="E565" t="s">
        <v>31</v>
      </c>
    </row>
  </sheetData>
  <autoFilter ref="D1:D565" xr:uid="{00000000-0001-0000-0100-000000000000}"/>
  <sortState xmlns:xlrd2="http://schemas.microsoft.com/office/spreadsheetml/2017/richdata2" ref="I2:J567">
    <sortCondition ref="J2:J567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2"/>
  <sheetViews>
    <sheetView workbookViewId="0">
      <selection activeCell="F1" sqref="F1:F1048576"/>
    </sheetView>
  </sheetViews>
  <sheetFormatPr defaultRowHeight="14.4" x14ac:dyDescent="0.3"/>
  <sheetData>
    <row r="1" spans="1:25" x14ac:dyDescent="0.3">
      <c r="A1" s="1" t="s">
        <v>4</v>
      </c>
      <c r="B1" s="1" t="s">
        <v>15</v>
      </c>
      <c r="C1" s="1" t="s">
        <v>443</v>
      </c>
      <c r="D1" s="1" t="s">
        <v>21</v>
      </c>
      <c r="E1" s="1" t="s">
        <v>19</v>
      </c>
      <c r="F1" s="1" t="s">
        <v>20</v>
      </c>
      <c r="G1" s="1" t="s">
        <v>444</v>
      </c>
      <c r="H1" s="1" t="s">
        <v>445</v>
      </c>
      <c r="I1" s="1" t="s">
        <v>446</v>
      </c>
      <c r="J1" s="1" t="s">
        <v>22</v>
      </c>
      <c r="K1" s="1" t="s">
        <v>23</v>
      </c>
      <c r="L1" s="1" t="s">
        <v>447</v>
      </c>
      <c r="M1" s="1" t="s">
        <v>448</v>
      </c>
      <c r="N1" s="1" t="s">
        <v>449</v>
      </c>
      <c r="O1" s="1" t="s">
        <v>450</v>
      </c>
      <c r="P1" s="1" t="s">
        <v>451</v>
      </c>
      <c r="Q1" s="1" t="s">
        <v>24</v>
      </c>
      <c r="R1" s="1" t="s">
        <v>452</v>
      </c>
      <c r="S1" s="1" t="s">
        <v>16</v>
      </c>
      <c r="T1" s="1" t="s">
        <v>17</v>
      </c>
      <c r="U1" s="1" t="s">
        <v>18</v>
      </c>
      <c r="Y1" s="1" t="s">
        <v>4</v>
      </c>
    </row>
    <row r="2" spans="1:25" x14ac:dyDescent="0.3">
      <c r="A2" t="s">
        <v>29</v>
      </c>
      <c r="B2" t="s">
        <v>32</v>
      </c>
      <c r="C2">
        <v>5</v>
      </c>
      <c r="D2">
        <v>30000</v>
      </c>
      <c r="E2">
        <v>66.900000000000006</v>
      </c>
      <c r="F2">
        <v>0.27100000000000002</v>
      </c>
      <c r="G2">
        <v>0</v>
      </c>
      <c r="H2">
        <v>0</v>
      </c>
      <c r="I2">
        <v>5</v>
      </c>
      <c r="J2">
        <v>0.27300000000000002</v>
      </c>
      <c r="K2">
        <v>7.3899999999999993E-2</v>
      </c>
      <c r="L2">
        <v>1.4</v>
      </c>
      <c r="M2">
        <v>0.46700000000000003</v>
      </c>
      <c r="N2">
        <v>0.72899999999999998</v>
      </c>
      <c r="O2">
        <v>0.66900000000000004</v>
      </c>
      <c r="P2">
        <v>0.70499999999999996</v>
      </c>
      <c r="Q2">
        <v>0.58599999999999997</v>
      </c>
      <c r="R2">
        <v>3.0599999999999999E-2</v>
      </c>
      <c r="S2">
        <v>100</v>
      </c>
      <c r="T2">
        <v>1</v>
      </c>
      <c r="U2" t="s">
        <v>33</v>
      </c>
      <c r="V2" t="s">
        <v>29</v>
      </c>
      <c r="W2">
        <v>100</v>
      </c>
      <c r="Y2" t="s">
        <v>29</v>
      </c>
    </row>
    <row r="3" spans="1:25" x14ac:dyDescent="0.3">
      <c r="A3" t="s">
        <v>125</v>
      </c>
      <c r="B3" t="s">
        <v>126</v>
      </c>
      <c r="C3">
        <v>6</v>
      </c>
      <c r="D3">
        <v>18100</v>
      </c>
      <c r="E3">
        <v>65</v>
      </c>
      <c r="F3">
        <v>0.31900000000000001</v>
      </c>
      <c r="G3">
        <v>0</v>
      </c>
      <c r="H3">
        <v>0</v>
      </c>
      <c r="I3">
        <v>6</v>
      </c>
      <c r="J3">
        <v>0.191</v>
      </c>
      <c r="K3">
        <v>6.08E-2</v>
      </c>
      <c r="L3">
        <v>1.2</v>
      </c>
      <c r="M3">
        <v>0.4</v>
      </c>
      <c r="N3">
        <v>0.68100000000000005</v>
      </c>
      <c r="O3">
        <v>0.65</v>
      </c>
      <c r="P3">
        <v>0.66900000000000004</v>
      </c>
      <c r="Q3">
        <v>0.53400000000000003</v>
      </c>
      <c r="R3">
        <v>2.8299999999999999E-2</v>
      </c>
      <c r="S3">
        <v>92.3</v>
      </c>
      <c r="T3">
        <v>2</v>
      </c>
      <c r="U3" t="s">
        <v>33</v>
      </c>
      <c r="V3" t="s">
        <v>125</v>
      </c>
      <c r="W3">
        <v>92.3</v>
      </c>
      <c r="Y3" t="s">
        <v>125</v>
      </c>
    </row>
    <row r="4" spans="1:25" x14ac:dyDescent="0.3">
      <c r="A4" t="s">
        <v>54</v>
      </c>
      <c r="B4" t="s">
        <v>55</v>
      </c>
      <c r="C4">
        <v>6</v>
      </c>
      <c r="D4">
        <v>142000</v>
      </c>
      <c r="E4">
        <v>68.400000000000006</v>
      </c>
      <c r="F4">
        <v>0.25900000000000001</v>
      </c>
      <c r="G4">
        <v>2</v>
      </c>
      <c r="H4">
        <v>0</v>
      </c>
      <c r="I4">
        <v>4</v>
      </c>
      <c r="J4">
        <v>0.6</v>
      </c>
      <c r="K4">
        <v>0.15540000000000001</v>
      </c>
      <c r="L4">
        <v>2.8</v>
      </c>
      <c r="M4">
        <v>0.93300000000000005</v>
      </c>
      <c r="N4">
        <v>0.74099999999999999</v>
      </c>
      <c r="O4">
        <v>0.68400000000000005</v>
      </c>
      <c r="P4">
        <v>0.71799999999999997</v>
      </c>
      <c r="Q4">
        <v>0.82599999999999996</v>
      </c>
      <c r="R4">
        <v>2.7099999999999999E-2</v>
      </c>
      <c r="S4">
        <v>88.3</v>
      </c>
      <c r="T4">
        <v>3</v>
      </c>
      <c r="U4" t="s">
        <v>33</v>
      </c>
      <c r="V4" t="s">
        <v>54</v>
      </c>
      <c r="W4">
        <v>88.3</v>
      </c>
      <c r="Y4" t="s">
        <v>54</v>
      </c>
    </row>
    <row r="5" spans="1:25" x14ac:dyDescent="0.3">
      <c r="A5" t="s">
        <v>409</v>
      </c>
      <c r="B5" t="s">
        <v>410</v>
      </c>
      <c r="C5">
        <v>1</v>
      </c>
      <c r="D5">
        <v>7500</v>
      </c>
      <c r="E5">
        <v>47.3</v>
      </c>
      <c r="F5">
        <v>0.63200000000000001</v>
      </c>
      <c r="G5">
        <v>0</v>
      </c>
      <c r="H5">
        <v>0</v>
      </c>
      <c r="I5">
        <v>1</v>
      </c>
      <c r="J5">
        <v>7.9000000000000001E-2</v>
      </c>
      <c r="K5">
        <v>4.99E-2</v>
      </c>
      <c r="L5">
        <v>1.9</v>
      </c>
      <c r="M5">
        <v>0.63300000000000001</v>
      </c>
      <c r="N5">
        <v>0.36799999999999999</v>
      </c>
      <c r="O5">
        <v>0.47299999999999998</v>
      </c>
      <c r="P5">
        <v>0.41</v>
      </c>
      <c r="Q5">
        <v>0.52200000000000002</v>
      </c>
      <c r="R5">
        <v>2.3900000000000001E-2</v>
      </c>
      <c r="S5">
        <v>77.5</v>
      </c>
      <c r="T5">
        <v>4</v>
      </c>
      <c r="U5" t="s">
        <v>33</v>
      </c>
      <c r="V5" t="s">
        <v>409</v>
      </c>
      <c r="W5">
        <v>77.5</v>
      </c>
      <c r="Y5" t="s">
        <v>409</v>
      </c>
    </row>
    <row r="6" spans="1:25" x14ac:dyDescent="0.3">
      <c r="A6" t="s">
        <v>198</v>
      </c>
      <c r="B6" t="s">
        <v>199</v>
      </c>
      <c r="C6">
        <v>1</v>
      </c>
      <c r="D6">
        <v>7500</v>
      </c>
      <c r="E6">
        <v>55</v>
      </c>
      <c r="F6">
        <v>0.49</v>
      </c>
      <c r="G6">
        <v>0</v>
      </c>
      <c r="H6">
        <v>0</v>
      </c>
      <c r="I6">
        <v>1</v>
      </c>
      <c r="J6">
        <v>9.4E-2</v>
      </c>
      <c r="K6">
        <v>4.5900000000000003E-2</v>
      </c>
      <c r="L6">
        <v>1.6</v>
      </c>
      <c r="M6">
        <v>0.53300000000000003</v>
      </c>
      <c r="N6">
        <v>0.51</v>
      </c>
      <c r="O6">
        <v>0.55000000000000004</v>
      </c>
      <c r="P6">
        <v>0.52600000000000002</v>
      </c>
      <c r="Q6">
        <v>0.53</v>
      </c>
      <c r="R6">
        <v>2.1600000000000001E-2</v>
      </c>
      <c r="S6">
        <v>69.8</v>
      </c>
      <c r="T6">
        <v>5</v>
      </c>
      <c r="U6" t="s">
        <v>33</v>
      </c>
      <c r="V6" t="s">
        <v>198</v>
      </c>
      <c r="W6">
        <v>69.8</v>
      </c>
      <c r="Y6" t="s">
        <v>198</v>
      </c>
    </row>
    <row r="7" spans="1:25" x14ac:dyDescent="0.3">
      <c r="A7" t="s">
        <v>168</v>
      </c>
      <c r="B7" t="s">
        <v>169</v>
      </c>
      <c r="C7">
        <v>10</v>
      </c>
      <c r="D7">
        <v>23000</v>
      </c>
      <c r="E7">
        <v>54.9</v>
      </c>
      <c r="F7">
        <v>0.47499999999999998</v>
      </c>
      <c r="G7">
        <v>1</v>
      </c>
      <c r="H7">
        <v>0</v>
      </c>
      <c r="I7">
        <v>9</v>
      </c>
      <c r="J7">
        <v>0.17699999999999999</v>
      </c>
      <c r="K7">
        <v>8.4000000000000005E-2</v>
      </c>
      <c r="L7">
        <v>4.2</v>
      </c>
      <c r="M7">
        <v>1</v>
      </c>
      <c r="N7">
        <v>0.52500000000000002</v>
      </c>
      <c r="O7">
        <v>0.54900000000000004</v>
      </c>
      <c r="P7">
        <v>0.53500000000000003</v>
      </c>
      <c r="Q7">
        <v>0.76700000000000002</v>
      </c>
      <c r="R7">
        <v>1.9599999999999999E-2</v>
      </c>
      <c r="S7">
        <v>63.1</v>
      </c>
      <c r="T7">
        <v>6</v>
      </c>
      <c r="U7" t="s">
        <v>39</v>
      </c>
      <c r="V7" t="s">
        <v>168</v>
      </c>
      <c r="W7">
        <v>63.1</v>
      </c>
      <c r="Y7" t="s">
        <v>168</v>
      </c>
    </row>
    <row r="8" spans="1:25" x14ac:dyDescent="0.3">
      <c r="A8" t="s">
        <v>108</v>
      </c>
      <c r="B8" t="s">
        <v>109</v>
      </c>
      <c r="C8">
        <v>6</v>
      </c>
      <c r="D8">
        <v>26500</v>
      </c>
      <c r="E8">
        <v>73.599999999999994</v>
      </c>
      <c r="F8">
        <v>0.218</v>
      </c>
      <c r="G8">
        <v>0</v>
      </c>
      <c r="H8">
        <v>0</v>
      </c>
      <c r="I8">
        <v>6</v>
      </c>
      <c r="J8">
        <v>0.24099999999999999</v>
      </c>
      <c r="K8">
        <v>5.2499999999999998E-2</v>
      </c>
      <c r="L8">
        <v>1.5</v>
      </c>
      <c r="M8">
        <v>0.5</v>
      </c>
      <c r="N8">
        <v>0.78200000000000003</v>
      </c>
      <c r="O8">
        <v>0.73599999999999999</v>
      </c>
      <c r="P8">
        <v>0.76400000000000001</v>
      </c>
      <c r="Q8">
        <v>0.63200000000000001</v>
      </c>
      <c r="R8">
        <v>1.9300000000000001E-2</v>
      </c>
      <c r="S8">
        <v>62.1</v>
      </c>
      <c r="T8">
        <v>7</v>
      </c>
      <c r="U8" t="s">
        <v>39</v>
      </c>
      <c r="V8" t="s">
        <v>108</v>
      </c>
      <c r="W8">
        <v>62.1</v>
      </c>
      <c r="Y8" t="s">
        <v>108</v>
      </c>
    </row>
    <row r="9" spans="1:25" x14ac:dyDescent="0.3">
      <c r="A9" t="s">
        <v>191</v>
      </c>
      <c r="B9" t="s">
        <v>190</v>
      </c>
      <c r="C9">
        <v>4</v>
      </c>
      <c r="D9">
        <v>15750</v>
      </c>
      <c r="E9">
        <v>68.099999999999994</v>
      </c>
      <c r="F9">
        <v>0.254</v>
      </c>
      <c r="G9">
        <v>0</v>
      </c>
      <c r="H9">
        <v>0</v>
      </c>
      <c r="I9">
        <v>4</v>
      </c>
      <c r="J9">
        <v>0.21</v>
      </c>
      <c r="K9">
        <v>5.33E-2</v>
      </c>
      <c r="L9">
        <v>2.4</v>
      </c>
      <c r="M9">
        <v>0.8</v>
      </c>
      <c r="N9">
        <v>0.746</v>
      </c>
      <c r="O9">
        <v>0.68100000000000005</v>
      </c>
      <c r="P9">
        <v>0.72</v>
      </c>
      <c r="Q9">
        <v>0.76</v>
      </c>
      <c r="R9">
        <v>1.2800000000000001E-2</v>
      </c>
      <c r="S9">
        <v>40.299999999999997</v>
      </c>
      <c r="T9">
        <v>8</v>
      </c>
      <c r="U9" t="s">
        <v>39</v>
      </c>
      <c r="V9" t="s">
        <v>191</v>
      </c>
      <c r="W9">
        <v>40.299999999999997</v>
      </c>
      <c r="Y9" t="s">
        <v>191</v>
      </c>
    </row>
    <row r="10" spans="1:25" x14ac:dyDescent="0.3">
      <c r="A10" t="s">
        <v>88</v>
      </c>
      <c r="B10" t="s">
        <v>89</v>
      </c>
      <c r="C10">
        <v>6</v>
      </c>
      <c r="D10">
        <v>15950</v>
      </c>
      <c r="E10">
        <v>73.3</v>
      </c>
      <c r="F10">
        <v>0.21299999999999999</v>
      </c>
      <c r="G10">
        <v>0</v>
      </c>
      <c r="H10">
        <v>0</v>
      </c>
      <c r="I10">
        <v>6</v>
      </c>
      <c r="J10">
        <v>0.17699999999999999</v>
      </c>
      <c r="K10">
        <v>3.7699999999999997E-2</v>
      </c>
      <c r="L10">
        <v>1.8</v>
      </c>
      <c r="M10">
        <v>0.6</v>
      </c>
      <c r="N10">
        <v>0.78700000000000003</v>
      </c>
      <c r="O10">
        <v>0.73299999999999998</v>
      </c>
      <c r="P10">
        <v>0.76500000000000001</v>
      </c>
      <c r="Q10">
        <v>0.68300000000000005</v>
      </c>
      <c r="R10">
        <v>1.2E-2</v>
      </c>
      <c r="S10">
        <v>37.6</v>
      </c>
      <c r="T10">
        <v>9</v>
      </c>
      <c r="U10" t="s">
        <v>39</v>
      </c>
      <c r="V10" t="s">
        <v>88</v>
      </c>
      <c r="W10">
        <v>37.6</v>
      </c>
      <c r="Y10" t="s">
        <v>88</v>
      </c>
    </row>
    <row r="11" spans="1:25" x14ac:dyDescent="0.3">
      <c r="A11" t="s">
        <v>319</v>
      </c>
      <c r="B11" t="s">
        <v>320</v>
      </c>
      <c r="C11">
        <v>1</v>
      </c>
      <c r="D11">
        <v>12000</v>
      </c>
      <c r="E11">
        <v>78.2</v>
      </c>
      <c r="F11">
        <v>0.16200000000000001</v>
      </c>
      <c r="G11">
        <v>0</v>
      </c>
      <c r="H11">
        <v>0</v>
      </c>
      <c r="I11">
        <v>1</v>
      </c>
      <c r="J11">
        <v>0.185</v>
      </c>
      <c r="K11">
        <v>2.9899999999999999E-2</v>
      </c>
      <c r="L11">
        <v>1.4</v>
      </c>
      <c r="M11">
        <v>0.46700000000000003</v>
      </c>
      <c r="N11">
        <v>0.83799999999999997</v>
      </c>
      <c r="O11">
        <v>0.78200000000000003</v>
      </c>
      <c r="P11">
        <v>0.81599999999999995</v>
      </c>
      <c r="Q11">
        <v>0.64100000000000001</v>
      </c>
      <c r="R11">
        <v>1.0699999999999999E-2</v>
      </c>
      <c r="S11">
        <v>33.200000000000003</v>
      </c>
      <c r="T11">
        <v>10</v>
      </c>
      <c r="U11" t="s">
        <v>39</v>
      </c>
      <c r="V11" t="s">
        <v>319</v>
      </c>
      <c r="W11">
        <v>33.200000000000003</v>
      </c>
      <c r="Y11" t="s">
        <v>319</v>
      </c>
    </row>
    <row r="12" spans="1:25" x14ac:dyDescent="0.3">
      <c r="A12" t="s">
        <v>135</v>
      </c>
      <c r="B12" t="s">
        <v>136</v>
      </c>
      <c r="C12">
        <v>14</v>
      </c>
      <c r="D12">
        <v>67450</v>
      </c>
      <c r="E12">
        <v>60.1</v>
      </c>
      <c r="F12">
        <v>0.38600000000000001</v>
      </c>
      <c r="G12">
        <v>3</v>
      </c>
      <c r="H12">
        <v>0</v>
      </c>
      <c r="I12">
        <v>11</v>
      </c>
      <c r="J12">
        <v>0.13</v>
      </c>
      <c r="K12">
        <v>5.0099999999999999E-2</v>
      </c>
      <c r="L12">
        <v>5.6</v>
      </c>
      <c r="M12">
        <v>1</v>
      </c>
      <c r="N12">
        <v>0.61399999999999999</v>
      </c>
      <c r="O12">
        <v>0.60099999999999998</v>
      </c>
      <c r="P12">
        <v>0.60899999999999999</v>
      </c>
      <c r="Q12">
        <v>0.80400000000000005</v>
      </c>
      <c r="R12">
        <v>9.7999999999999997E-3</v>
      </c>
      <c r="S12">
        <v>30.2</v>
      </c>
      <c r="T12">
        <v>11</v>
      </c>
      <c r="U12" t="s">
        <v>41</v>
      </c>
      <c r="V12" t="s">
        <v>135</v>
      </c>
      <c r="W12">
        <v>30.2</v>
      </c>
      <c r="Y12" t="s">
        <v>135</v>
      </c>
    </row>
    <row r="13" spans="1:25" x14ac:dyDescent="0.3">
      <c r="A13" t="s">
        <v>114</v>
      </c>
      <c r="B13" t="s">
        <v>113</v>
      </c>
      <c r="C13">
        <v>3</v>
      </c>
      <c r="D13">
        <v>12000</v>
      </c>
      <c r="E13">
        <v>50.1</v>
      </c>
      <c r="F13">
        <v>0.502</v>
      </c>
      <c r="G13">
        <v>1</v>
      </c>
      <c r="H13">
        <v>0</v>
      </c>
      <c r="I13">
        <v>2</v>
      </c>
      <c r="J13">
        <v>0.04</v>
      </c>
      <c r="K13">
        <v>2.01E-2</v>
      </c>
      <c r="L13">
        <v>2</v>
      </c>
      <c r="M13">
        <v>0.66700000000000004</v>
      </c>
      <c r="N13">
        <v>0.498</v>
      </c>
      <c r="O13">
        <v>0.501</v>
      </c>
      <c r="P13">
        <v>0.499</v>
      </c>
      <c r="Q13">
        <v>0.58299999999999996</v>
      </c>
      <c r="R13">
        <v>8.3999999999999995E-3</v>
      </c>
      <c r="S13">
        <v>25.5</v>
      </c>
      <c r="T13">
        <v>12</v>
      </c>
      <c r="U13" t="s">
        <v>41</v>
      </c>
      <c r="V13" t="s">
        <v>114</v>
      </c>
      <c r="W13">
        <v>25.5</v>
      </c>
      <c r="Y13" t="s">
        <v>114</v>
      </c>
    </row>
    <row r="14" spans="1:25" x14ac:dyDescent="0.3">
      <c r="A14" t="s">
        <v>251</v>
      </c>
      <c r="B14" t="s">
        <v>103</v>
      </c>
      <c r="C14">
        <v>1</v>
      </c>
      <c r="D14">
        <v>12000</v>
      </c>
      <c r="E14">
        <v>70</v>
      </c>
      <c r="F14">
        <v>0.23</v>
      </c>
      <c r="G14">
        <v>0</v>
      </c>
      <c r="H14">
        <v>0</v>
      </c>
      <c r="I14">
        <v>1</v>
      </c>
      <c r="J14">
        <v>0.218</v>
      </c>
      <c r="K14">
        <v>5.0200000000000002E-2</v>
      </c>
      <c r="L14">
        <v>2.8</v>
      </c>
      <c r="M14">
        <v>0.93300000000000005</v>
      </c>
      <c r="N14">
        <v>0.77</v>
      </c>
      <c r="O14">
        <v>0.7</v>
      </c>
      <c r="P14">
        <v>0.74199999999999999</v>
      </c>
      <c r="Q14">
        <v>0.83799999999999997</v>
      </c>
      <c r="R14">
        <v>8.0999999999999996E-3</v>
      </c>
      <c r="S14">
        <v>24.5</v>
      </c>
      <c r="T14">
        <v>13</v>
      </c>
      <c r="U14" t="s">
        <v>41</v>
      </c>
      <c r="V14" t="s">
        <v>251</v>
      </c>
      <c r="W14">
        <v>24.5</v>
      </c>
      <c r="Y14" t="s">
        <v>251</v>
      </c>
    </row>
    <row r="15" spans="1:25" x14ac:dyDescent="0.3">
      <c r="A15" t="s">
        <v>46</v>
      </c>
      <c r="B15" t="s">
        <v>49</v>
      </c>
      <c r="C15">
        <v>1</v>
      </c>
      <c r="D15">
        <v>8000</v>
      </c>
      <c r="E15">
        <v>70.5</v>
      </c>
      <c r="F15">
        <v>0.23499999999999999</v>
      </c>
      <c r="G15">
        <v>0</v>
      </c>
      <c r="H15">
        <v>0</v>
      </c>
      <c r="I15">
        <v>1</v>
      </c>
      <c r="J15">
        <v>8.4000000000000005E-2</v>
      </c>
      <c r="K15">
        <v>1.9800000000000002E-2</v>
      </c>
      <c r="L15">
        <v>1.8</v>
      </c>
      <c r="M15">
        <v>0.6</v>
      </c>
      <c r="N15">
        <v>0.76500000000000001</v>
      </c>
      <c r="O15">
        <v>0.70499999999999996</v>
      </c>
      <c r="P15">
        <v>0.74099999999999999</v>
      </c>
      <c r="Q15">
        <v>0.67</v>
      </c>
      <c r="R15">
        <v>6.4999999999999997E-3</v>
      </c>
      <c r="S15">
        <v>19.100000000000001</v>
      </c>
      <c r="T15">
        <v>14</v>
      </c>
      <c r="U15" t="s">
        <v>41</v>
      </c>
      <c r="V15" t="s">
        <v>46</v>
      </c>
      <c r="W15">
        <v>19.100000000000001</v>
      </c>
      <c r="Y15" t="s">
        <v>46</v>
      </c>
    </row>
    <row r="16" spans="1:25" x14ac:dyDescent="0.3">
      <c r="A16" t="s">
        <v>157</v>
      </c>
      <c r="B16" t="s">
        <v>158</v>
      </c>
      <c r="C16">
        <v>4</v>
      </c>
      <c r="D16">
        <v>12000</v>
      </c>
      <c r="E16">
        <v>74.5</v>
      </c>
      <c r="F16">
        <v>0.19900000000000001</v>
      </c>
      <c r="G16">
        <v>0</v>
      </c>
      <c r="H16">
        <v>0</v>
      </c>
      <c r="I16">
        <v>4</v>
      </c>
      <c r="J16">
        <v>8.5999999999999993E-2</v>
      </c>
      <c r="K16">
        <v>1.7100000000000001E-2</v>
      </c>
      <c r="L16">
        <v>1.5</v>
      </c>
      <c r="M16">
        <v>0.5</v>
      </c>
      <c r="N16">
        <v>0.80100000000000005</v>
      </c>
      <c r="O16">
        <v>0.745</v>
      </c>
      <c r="P16">
        <v>0.77900000000000003</v>
      </c>
      <c r="Q16">
        <v>0.63900000000000001</v>
      </c>
      <c r="R16">
        <v>6.1999999999999998E-3</v>
      </c>
      <c r="S16">
        <v>18.100000000000001</v>
      </c>
      <c r="T16">
        <v>15</v>
      </c>
      <c r="U16" t="s">
        <v>41</v>
      </c>
      <c r="V16" t="s">
        <v>157</v>
      </c>
      <c r="W16">
        <v>18.100000000000001</v>
      </c>
      <c r="Y16" t="s">
        <v>157</v>
      </c>
    </row>
    <row r="17" spans="1:25" x14ac:dyDescent="0.3">
      <c r="A17" t="s">
        <v>119</v>
      </c>
      <c r="B17" t="s">
        <v>120</v>
      </c>
      <c r="C17">
        <v>7</v>
      </c>
      <c r="D17">
        <v>31300</v>
      </c>
      <c r="E17">
        <v>77</v>
      </c>
      <c r="F17">
        <v>0.16400000000000001</v>
      </c>
      <c r="G17">
        <v>0</v>
      </c>
      <c r="H17">
        <v>0</v>
      </c>
      <c r="I17">
        <v>7</v>
      </c>
      <c r="J17">
        <v>0.125</v>
      </c>
      <c r="K17">
        <v>2.0500000000000001E-2</v>
      </c>
      <c r="L17">
        <v>1.8</v>
      </c>
      <c r="M17">
        <v>0.6</v>
      </c>
      <c r="N17">
        <v>0.83599999999999997</v>
      </c>
      <c r="O17">
        <v>0.77</v>
      </c>
      <c r="P17">
        <v>0.81</v>
      </c>
      <c r="Q17">
        <v>0.70499999999999996</v>
      </c>
      <c r="R17">
        <v>6.1000000000000004E-3</v>
      </c>
      <c r="S17">
        <v>17.8</v>
      </c>
      <c r="T17">
        <v>16</v>
      </c>
      <c r="U17" t="s">
        <v>41</v>
      </c>
      <c r="V17" t="s">
        <v>119</v>
      </c>
      <c r="W17">
        <v>17.8</v>
      </c>
      <c r="Y17" t="s">
        <v>119</v>
      </c>
    </row>
    <row r="18" spans="1:25" x14ac:dyDescent="0.3">
      <c r="A18" t="s">
        <v>141</v>
      </c>
      <c r="B18" t="s">
        <v>142</v>
      </c>
      <c r="C18">
        <v>6</v>
      </c>
      <c r="D18">
        <v>22500</v>
      </c>
      <c r="E18">
        <v>78.2</v>
      </c>
      <c r="F18">
        <v>0.15</v>
      </c>
      <c r="G18">
        <v>0</v>
      </c>
      <c r="H18">
        <v>0</v>
      </c>
      <c r="I18">
        <v>6</v>
      </c>
      <c r="J18">
        <v>0.10199999999999999</v>
      </c>
      <c r="K18">
        <v>1.5299999999999999E-2</v>
      </c>
      <c r="L18">
        <v>1.4</v>
      </c>
      <c r="M18">
        <v>0.46700000000000003</v>
      </c>
      <c r="N18">
        <v>0.85</v>
      </c>
      <c r="O18">
        <v>0.78200000000000003</v>
      </c>
      <c r="P18">
        <v>0.82299999999999995</v>
      </c>
      <c r="Q18">
        <v>0.64500000000000002</v>
      </c>
      <c r="R18">
        <v>5.4999999999999997E-3</v>
      </c>
      <c r="S18">
        <v>15.8</v>
      </c>
      <c r="T18">
        <v>17</v>
      </c>
      <c r="U18" t="s">
        <v>41</v>
      </c>
      <c r="V18" t="s">
        <v>141</v>
      </c>
      <c r="W18">
        <v>15.8</v>
      </c>
      <c r="Y18" t="s">
        <v>141</v>
      </c>
    </row>
    <row r="19" spans="1:25" x14ac:dyDescent="0.3">
      <c r="A19" t="s">
        <v>99</v>
      </c>
      <c r="B19" t="s">
        <v>98</v>
      </c>
      <c r="C19">
        <v>2</v>
      </c>
      <c r="D19">
        <v>15000</v>
      </c>
      <c r="E19">
        <v>70.5</v>
      </c>
      <c r="F19">
        <v>0.22700000000000001</v>
      </c>
      <c r="G19">
        <v>0</v>
      </c>
      <c r="H19">
        <v>0</v>
      </c>
      <c r="I19">
        <v>2</v>
      </c>
      <c r="J19">
        <v>8.3000000000000004E-2</v>
      </c>
      <c r="K19">
        <v>1.89E-2</v>
      </c>
      <c r="L19">
        <v>2.2000000000000002</v>
      </c>
      <c r="M19">
        <v>0.73299999999999998</v>
      </c>
      <c r="N19">
        <v>0.77300000000000002</v>
      </c>
      <c r="O19">
        <v>0.70499999999999996</v>
      </c>
      <c r="P19">
        <v>0.746</v>
      </c>
      <c r="Q19">
        <v>0.74</v>
      </c>
      <c r="R19">
        <v>4.8999999999999998E-3</v>
      </c>
      <c r="S19">
        <v>13.8</v>
      </c>
      <c r="T19">
        <v>18</v>
      </c>
      <c r="U19" t="s">
        <v>41</v>
      </c>
      <c r="V19" t="s">
        <v>99</v>
      </c>
      <c r="W19">
        <v>13.8</v>
      </c>
      <c r="Y19" t="s">
        <v>99</v>
      </c>
    </row>
    <row r="20" spans="1:25" x14ac:dyDescent="0.3">
      <c r="A20" t="s">
        <v>60</v>
      </c>
      <c r="B20" t="s">
        <v>61</v>
      </c>
      <c r="C20">
        <v>4</v>
      </c>
      <c r="D20">
        <v>16750</v>
      </c>
      <c r="E20">
        <v>64.599999999999994</v>
      </c>
      <c r="F20">
        <v>0.315</v>
      </c>
      <c r="G20">
        <v>0</v>
      </c>
      <c r="H20">
        <v>0</v>
      </c>
      <c r="I20">
        <v>4</v>
      </c>
      <c r="J20">
        <v>9.2999999999999999E-2</v>
      </c>
      <c r="K20">
        <v>2.93E-2</v>
      </c>
      <c r="L20">
        <v>3.1</v>
      </c>
      <c r="M20">
        <v>1</v>
      </c>
      <c r="N20">
        <v>0.68500000000000005</v>
      </c>
      <c r="O20">
        <v>0.64600000000000002</v>
      </c>
      <c r="P20">
        <v>0.66900000000000004</v>
      </c>
      <c r="Q20">
        <v>0.83499999999999996</v>
      </c>
      <c r="R20">
        <v>4.7999999999999996E-3</v>
      </c>
      <c r="S20">
        <v>13.4</v>
      </c>
      <c r="T20">
        <v>19</v>
      </c>
      <c r="U20" t="s">
        <v>41</v>
      </c>
      <c r="V20" t="s">
        <v>60</v>
      </c>
      <c r="W20">
        <v>13.4</v>
      </c>
      <c r="Y20" t="s">
        <v>60</v>
      </c>
    </row>
    <row r="21" spans="1:25" x14ac:dyDescent="0.3">
      <c r="A21" t="s">
        <v>78</v>
      </c>
      <c r="B21" t="s">
        <v>79</v>
      </c>
      <c r="C21">
        <v>4</v>
      </c>
      <c r="D21">
        <v>9000</v>
      </c>
      <c r="E21">
        <v>67.599999999999994</v>
      </c>
      <c r="F21">
        <v>0.28599999999999998</v>
      </c>
      <c r="G21">
        <v>0</v>
      </c>
      <c r="H21">
        <v>0</v>
      </c>
      <c r="I21">
        <v>4</v>
      </c>
      <c r="J21">
        <v>5.6000000000000001E-2</v>
      </c>
      <c r="K21">
        <v>1.61E-2</v>
      </c>
      <c r="L21">
        <v>2.1</v>
      </c>
      <c r="M21">
        <v>0.7</v>
      </c>
      <c r="N21">
        <v>0.71399999999999997</v>
      </c>
      <c r="O21">
        <v>0.67600000000000005</v>
      </c>
      <c r="P21">
        <v>0.69899999999999995</v>
      </c>
      <c r="Q21">
        <v>0.69899999999999995</v>
      </c>
      <c r="R21">
        <v>4.7999999999999996E-3</v>
      </c>
      <c r="S21">
        <v>13.4</v>
      </c>
      <c r="T21">
        <v>20</v>
      </c>
      <c r="U21" t="s">
        <v>41</v>
      </c>
      <c r="V21" t="s">
        <v>78</v>
      </c>
      <c r="W21">
        <v>13.4</v>
      </c>
      <c r="Y21" t="s">
        <v>78</v>
      </c>
    </row>
    <row r="22" spans="1:25" x14ac:dyDescent="0.3">
      <c r="A22" t="s">
        <v>66</v>
      </c>
      <c r="B22" t="s">
        <v>68</v>
      </c>
      <c r="C22">
        <v>3</v>
      </c>
      <c r="D22">
        <v>2650</v>
      </c>
      <c r="E22">
        <v>55</v>
      </c>
      <c r="F22">
        <v>0.44500000000000001</v>
      </c>
      <c r="G22">
        <v>1</v>
      </c>
      <c r="H22">
        <v>0</v>
      </c>
      <c r="I22">
        <v>2</v>
      </c>
      <c r="J22">
        <v>2.4E-2</v>
      </c>
      <c r="K22">
        <v>1.0699999999999999E-2</v>
      </c>
      <c r="L22">
        <v>1.9</v>
      </c>
      <c r="M22">
        <v>0.63300000000000001</v>
      </c>
      <c r="N22">
        <v>0.55500000000000005</v>
      </c>
      <c r="O22">
        <v>0.55000000000000004</v>
      </c>
      <c r="P22">
        <v>0.55300000000000005</v>
      </c>
      <c r="Q22">
        <v>0.59299999999999997</v>
      </c>
      <c r="R22">
        <v>4.4000000000000003E-3</v>
      </c>
      <c r="S22">
        <v>12.1</v>
      </c>
      <c r="T22">
        <v>21</v>
      </c>
      <c r="U22" t="s">
        <v>41</v>
      </c>
      <c r="V22" t="s">
        <v>66</v>
      </c>
      <c r="W22">
        <v>12.1</v>
      </c>
      <c r="Y22" t="s">
        <v>66</v>
      </c>
    </row>
    <row r="23" spans="1:25" x14ac:dyDescent="0.3">
      <c r="A23" t="s">
        <v>186</v>
      </c>
      <c r="B23" t="s">
        <v>187</v>
      </c>
      <c r="C23">
        <v>1</v>
      </c>
      <c r="D23">
        <v>3500</v>
      </c>
      <c r="E23">
        <v>55.4</v>
      </c>
      <c r="F23">
        <v>0.50600000000000001</v>
      </c>
      <c r="G23">
        <v>0</v>
      </c>
      <c r="H23">
        <v>0</v>
      </c>
      <c r="I23">
        <v>1</v>
      </c>
      <c r="J23">
        <v>2.5000000000000001E-2</v>
      </c>
      <c r="K23">
        <v>1.2699999999999999E-2</v>
      </c>
      <c r="L23">
        <v>2.8</v>
      </c>
      <c r="M23">
        <v>0.93300000000000005</v>
      </c>
      <c r="N23">
        <v>0.49399999999999999</v>
      </c>
      <c r="O23">
        <v>0.55400000000000005</v>
      </c>
      <c r="P23">
        <v>0.51800000000000002</v>
      </c>
      <c r="Q23">
        <v>0.72599999999999998</v>
      </c>
      <c r="R23">
        <v>3.5000000000000001E-3</v>
      </c>
      <c r="S23">
        <v>9.1</v>
      </c>
      <c r="T23">
        <v>22</v>
      </c>
      <c r="U23" t="s">
        <v>41</v>
      </c>
      <c r="V23" t="s">
        <v>186</v>
      </c>
      <c r="W23">
        <v>9.1</v>
      </c>
      <c r="Y23" t="s">
        <v>186</v>
      </c>
    </row>
    <row r="24" spans="1:25" x14ac:dyDescent="0.3">
      <c r="A24" t="s">
        <v>38</v>
      </c>
      <c r="B24" t="s">
        <v>40</v>
      </c>
      <c r="C24">
        <v>7</v>
      </c>
      <c r="D24">
        <v>20700</v>
      </c>
      <c r="E24">
        <v>60.8</v>
      </c>
      <c r="F24">
        <v>0.36799999999999999</v>
      </c>
      <c r="G24">
        <v>1</v>
      </c>
      <c r="H24">
        <v>0</v>
      </c>
      <c r="I24">
        <v>6</v>
      </c>
      <c r="J24">
        <v>4.9000000000000002E-2</v>
      </c>
      <c r="K24">
        <v>1.8100000000000002E-2</v>
      </c>
      <c r="L24">
        <v>3.4</v>
      </c>
      <c r="M24">
        <v>1</v>
      </c>
      <c r="N24">
        <v>0.63200000000000001</v>
      </c>
      <c r="O24">
        <v>0.60799999999999998</v>
      </c>
      <c r="P24">
        <v>0.622</v>
      </c>
      <c r="Q24">
        <v>0.81100000000000005</v>
      </c>
      <c r="R24">
        <v>3.3999999999999998E-3</v>
      </c>
      <c r="S24">
        <v>8.6999999999999993</v>
      </c>
      <c r="T24">
        <v>23</v>
      </c>
      <c r="U24" t="s">
        <v>41</v>
      </c>
      <c r="V24" t="s">
        <v>38</v>
      </c>
      <c r="W24">
        <v>8.6999999999999993</v>
      </c>
      <c r="Y24" t="s">
        <v>38</v>
      </c>
    </row>
    <row r="25" spans="1:25" x14ac:dyDescent="0.3">
      <c r="A25" t="s">
        <v>163</v>
      </c>
      <c r="B25" t="s">
        <v>162</v>
      </c>
      <c r="C25">
        <v>6</v>
      </c>
      <c r="D25">
        <v>10950</v>
      </c>
      <c r="E25">
        <v>76.5</v>
      </c>
      <c r="F25">
        <v>0.185</v>
      </c>
      <c r="G25">
        <v>0</v>
      </c>
      <c r="H25">
        <v>0</v>
      </c>
      <c r="I25">
        <v>6</v>
      </c>
      <c r="J25">
        <v>9.0999999999999998E-2</v>
      </c>
      <c r="K25">
        <v>1.6899999999999998E-2</v>
      </c>
      <c r="L25">
        <v>2.5</v>
      </c>
      <c r="M25">
        <v>0.83299999999999996</v>
      </c>
      <c r="N25">
        <v>0.81499999999999995</v>
      </c>
      <c r="O25">
        <v>0.76500000000000001</v>
      </c>
      <c r="P25">
        <v>0.79500000000000004</v>
      </c>
      <c r="Q25">
        <v>0.81399999999999995</v>
      </c>
      <c r="R25">
        <v>3.0999999999999999E-3</v>
      </c>
      <c r="S25">
        <v>7.7</v>
      </c>
      <c r="T25">
        <v>24</v>
      </c>
      <c r="U25" t="s">
        <v>41</v>
      </c>
      <c r="V25" t="s">
        <v>163</v>
      </c>
      <c r="W25">
        <v>7.7</v>
      </c>
      <c r="Y25" t="s">
        <v>163</v>
      </c>
    </row>
    <row r="26" spans="1:25" x14ac:dyDescent="0.3">
      <c r="A26" t="s">
        <v>235</v>
      </c>
      <c r="B26" t="s">
        <v>236</v>
      </c>
      <c r="C26">
        <v>3</v>
      </c>
      <c r="D26">
        <v>5950</v>
      </c>
      <c r="E26">
        <v>82.4</v>
      </c>
      <c r="F26">
        <v>0.107</v>
      </c>
      <c r="G26">
        <v>0</v>
      </c>
      <c r="H26">
        <v>0</v>
      </c>
      <c r="I26">
        <v>3</v>
      </c>
      <c r="J26">
        <v>7.0000000000000007E-2</v>
      </c>
      <c r="K26">
        <v>7.4999999999999997E-3</v>
      </c>
      <c r="L26">
        <v>1.6</v>
      </c>
      <c r="M26">
        <v>0.53300000000000003</v>
      </c>
      <c r="N26">
        <v>0.89300000000000002</v>
      </c>
      <c r="O26">
        <v>0.82399999999999995</v>
      </c>
      <c r="P26">
        <v>0.86499999999999999</v>
      </c>
      <c r="Q26">
        <v>0.69899999999999995</v>
      </c>
      <c r="R26">
        <v>2.3E-3</v>
      </c>
      <c r="S26">
        <v>5</v>
      </c>
      <c r="T26">
        <v>25</v>
      </c>
      <c r="U26" t="s">
        <v>41</v>
      </c>
      <c r="V26" t="s">
        <v>235</v>
      </c>
      <c r="W26">
        <v>5</v>
      </c>
      <c r="Y26" t="s">
        <v>235</v>
      </c>
    </row>
    <row r="27" spans="1:25" x14ac:dyDescent="0.3">
      <c r="A27" t="s">
        <v>361</v>
      </c>
      <c r="B27" t="s">
        <v>362</v>
      </c>
      <c r="C27">
        <v>1</v>
      </c>
      <c r="D27">
        <v>6000</v>
      </c>
      <c r="E27">
        <v>69</v>
      </c>
      <c r="F27">
        <v>0.24</v>
      </c>
      <c r="G27">
        <v>0</v>
      </c>
      <c r="H27">
        <v>0</v>
      </c>
      <c r="I27">
        <v>1</v>
      </c>
      <c r="J27">
        <v>2.1000000000000001E-2</v>
      </c>
      <c r="K27">
        <v>5.1000000000000004E-3</v>
      </c>
      <c r="L27">
        <v>2.9</v>
      </c>
      <c r="M27">
        <v>0.96699999999999997</v>
      </c>
      <c r="N27">
        <v>0.76</v>
      </c>
      <c r="O27">
        <v>0.69</v>
      </c>
      <c r="P27">
        <v>0.73199999999999998</v>
      </c>
      <c r="Q27">
        <v>0.84899999999999998</v>
      </c>
      <c r="R27">
        <v>8.0000000000000004E-4</v>
      </c>
      <c r="S27">
        <v>0</v>
      </c>
      <c r="T27">
        <v>26</v>
      </c>
      <c r="U27" t="s">
        <v>41</v>
      </c>
      <c r="V27" t="s">
        <v>361</v>
      </c>
      <c r="W27">
        <v>0</v>
      </c>
      <c r="Y27" t="s">
        <v>361</v>
      </c>
    </row>
    <row r="28" spans="1:25" x14ac:dyDescent="0.3">
      <c r="A28" t="s">
        <v>108</v>
      </c>
      <c r="B28" t="s">
        <v>109</v>
      </c>
      <c r="C28">
        <v>3</v>
      </c>
      <c r="D28">
        <v>25000</v>
      </c>
      <c r="E28">
        <v>73.3</v>
      </c>
      <c r="F28">
        <v>0.20300000000000001</v>
      </c>
      <c r="G28">
        <v>0</v>
      </c>
      <c r="H28">
        <v>0</v>
      </c>
      <c r="I28">
        <v>3</v>
      </c>
      <c r="J28">
        <v>0.22700000000000001</v>
      </c>
      <c r="K28">
        <v>4.6100000000000002E-2</v>
      </c>
      <c r="L28">
        <v>1.5</v>
      </c>
      <c r="M28">
        <v>0.5</v>
      </c>
      <c r="N28">
        <v>0.79700000000000004</v>
      </c>
      <c r="O28">
        <v>0.73299999999999998</v>
      </c>
      <c r="P28">
        <v>0.77100000000000002</v>
      </c>
      <c r="Q28">
        <v>0.63600000000000001</v>
      </c>
      <c r="R28">
        <v>1.6799999999999999E-2</v>
      </c>
      <c r="S28">
        <v>100</v>
      </c>
      <c r="T28">
        <v>1</v>
      </c>
      <c r="U28" t="s">
        <v>33</v>
      </c>
      <c r="V28" t="s">
        <v>108</v>
      </c>
      <c r="W28">
        <v>100</v>
      </c>
    </row>
    <row r="29" spans="1:25" x14ac:dyDescent="0.3">
      <c r="A29" t="s">
        <v>54</v>
      </c>
      <c r="B29" t="s">
        <v>55</v>
      </c>
      <c r="C29">
        <v>3</v>
      </c>
      <c r="D29">
        <v>71000</v>
      </c>
      <c r="E29">
        <v>69</v>
      </c>
      <c r="F29">
        <v>0.254</v>
      </c>
      <c r="G29">
        <v>1</v>
      </c>
      <c r="H29">
        <v>0</v>
      </c>
      <c r="I29">
        <v>2</v>
      </c>
      <c r="J29">
        <v>0.35499999999999998</v>
      </c>
      <c r="K29">
        <v>9.0200000000000002E-2</v>
      </c>
      <c r="L29">
        <v>2.8</v>
      </c>
      <c r="M29">
        <v>0.93300000000000005</v>
      </c>
      <c r="N29">
        <v>0.746</v>
      </c>
      <c r="O29">
        <v>0.69</v>
      </c>
      <c r="P29">
        <v>0.72399999999999998</v>
      </c>
      <c r="Q29">
        <v>0.82799999999999996</v>
      </c>
      <c r="R29">
        <v>1.55E-2</v>
      </c>
      <c r="S29">
        <v>92</v>
      </c>
      <c r="T29">
        <v>2</v>
      </c>
      <c r="U29" t="s">
        <v>33</v>
      </c>
      <c r="V29" t="s">
        <v>54</v>
      </c>
      <c r="W29">
        <v>92</v>
      </c>
    </row>
    <row r="30" spans="1:25" x14ac:dyDescent="0.3">
      <c r="A30" t="s">
        <v>125</v>
      </c>
      <c r="B30" t="s">
        <v>126</v>
      </c>
      <c r="C30">
        <v>3</v>
      </c>
      <c r="D30">
        <v>7500</v>
      </c>
      <c r="E30">
        <v>64.8</v>
      </c>
      <c r="F30">
        <v>0.32200000000000001</v>
      </c>
      <c r="G30">
        <v>0</v>
      </c>
      <c r="H30">
        <v>0</v>
      </c>
      <c r="I30">
        <v>3</v>
      </c>
      <c r="J30">
        <v>7.9000000000000001E-2</v>
      </c>
      <c r="K30">
        <v>2.5399999999999999E-2</v>
      </c>
      <c r="L30">
        <v>1.2</v>
      </c>
      <c r="M30">
        <v>0.4</v>
      </c>
      <c r="N30">
        <v>0.67800000000000005</v>
      </c>
      <c r="O30">
        <v>0.64800000000000002</v>
      </c>
      <c r="P30">
        <v>0.66600000000000004</v>
      </c>
      <c r="Q30">
        <v>0.53300000000000003</v>
      </c>
      <c r="R30">
        <v>1.1900000000000001E-2</v>
      </c>
      <c r="S30">
        <v>69.8</v>
      </c>
      <c r="T30">
        <v>3</v>
      </c>
      <c r="U30" t="s">
        <v>33</v>
      </c>
      <c r="V30" t="s">
        <v>125</v>
      </c>
      <c r="W30">
        <v>69.8</v>
      </c>
    </row>
    <row r="31" spans="1:25" x14ac:dyDescent="0.3">
      <c r="A31" t="s">
        <v>168</v>
      </c>
      <c r="B31" t="s">
        <v>169</v>
      </c>
      <c r="C31">
        <v>7</v>
      </c>
      <c r="D31">
        <v>17250</v>
      </c>
      <c r="E31">
        <v>59.1</v>
      </c>
      <c r="F31">
        <v>0.42099999999999999</v>
      </c>
      <c r="G31">
        <v>0</v>
      </c>
      <c r="H31">
        <v>0</v>
      </c>
      <c r="I31">
        <v>7</v>
      </c>
      <c r="J31">
        <v>0.13300000000000001</v>
      </c>
      <c r="K31">
        <v>5.5899999999999998E-2</v>
      </c>
      <c r="L31">
        <v>4.2</v>
      </c>
      <c r="M31">
        <v>1</v>
      </c>
      <c r="N31">
        <v>0.57899999999999996</v>
      </c>
      <c r="O31">
        <v>0.59099999999999997</v>
      </c>
      <c r="P31">
        <v>0.58399999999999996</v>
      </c>
      <c r="Q31">
        <v>0.79200000000000004</v>
      </c>
      <c r="R31">
        <v>1.1599999999999999E-2</v>
      </c>
      <c r="S31">
        <v>67.900000000000006</v>
      </c>
      <c r="T31">
        <v>4</v>
      </c>
      <c r="U31" t="s">
        <v>33</v>
      </c>
      <c r="V31" t="s">
        <v>168</v>
      </c>
      <c r="W31">
        <v>67.900000000000006</v>
      </c>
    </row>
    <row r="32" spans="1:25" x14ac:dyDescent="0.3">
      <c r="A32" t="s">
        <v>119</v>
      </c>
      <c r="B32" t="s">
        <v>120</v>
      </c>
      <c r="C32">
        <v>4</v>
      </c>
      <c r="D32">
        <v>19750</v>
      </c>
      <c r="E32">
        <v>73.900000000000006</v>
      </c>
      <c r="F32">
        <v>0.20599999999999999</v>
      </c>
      <c r="G32">
        <v>0</v>
      </c>
      <c r="H32">
        <v>0</v>
      </c>
      <c r="I32">
        <v>4</v>
      </c>
      <c r="J32">
        <v>7.9000000000000001E-2</v>
      </c>
      <c r="K32">
        <v>1.6299999999999999E-2</v>
      </c>
      <c r="L32">
        <v>1.8</v>
      </c>
      <c r="M32">
        <v>0.6</v>
      </c>
      <c r="N32">
        <v>0.79400000000000004</v>
      </c>
      <c r="O32">
        <v>0.73899999999999999</v>
      </c>
      <c r="P32">
        <v>0.77200000000000002</v>
      </c>
      <c r="Q32">
        <v>0.68600000000000005</v>
      </c>
      <c r="R32">
        <v>5.1000000000000004E-3</v>
      </c>
      <c r="S32">
        <v>27.8</v>
      </c>
      <c r="T32">
        <v>5</v>
      </c>
      <c r="U32" t="s">
        <v>41</v>
      </c>
      <c r="V32" t="s">
        <v>119</v>
      </c>
      <c r="W32">
        <v>27.8</v>
      </c>
    </row>
    <row r="33" spans="1:23" x14ac:dyDescent="0.3">
      <c r="A33" t="s">
        <v>135</v>
      </c>
      <c r="B33" t="s">
        <v>136</v>
      </c>
      <c r="C33">
        <v>7</v>
      </c>
      <c r="D33">
        <v>45950</v>
      </c>
      <c r="E33">
        <v>64.5</v>
      </c>
      <c r="F33">
        <v>0.317</v>
      </c>
      <c r="G33">
        <v>1</v>
      </c>
      <c r="H33">
        <v>0</v>
      </c>
      <c r="I33">
        <v>6</v>
      </c>
      <c r="J33">
        <v>8.7999999999999995E-2</v>
      </c>
      <c r="K33">
        <v>2.8000000000000001E-2</v>
      </c>
      <c r="L33">
        <v>5.6</v>
      </c>
      <c r="M33">
        <v>1</v>
      </c>
      <c r="N33">
        <v>0.68300000000000005</v>
      </c>
      <c r="O33">
        <v>0.64500000000000002</v>
      </c>
      <c r="P33">
        <v>0.66800000000000004</v>
      </c>
      <c r="Q33">
        <v>0.83399999999999996</v>
      </c>
      <c r="R33">
        <v>4.7000000000000002E-3</v>
      </c>
      <c r="S33">
        <v>25.3</v>
      </c>
      <c r="T33">
        <v>6</v>
      </c>
      <c r="U33" t="s">
        <v>41</v>
      </c>
      <c r="V33" t="s">
        <v>135</v>
      </c>
      <c r="W33">
        <v>25.3</v>
      </c>
    </row>
    <row r="34" spans="1:23" x14ac:dyDescent="0.3">
      <c r="A34" t="s">
        <v>38</v>
      </c>
      <c r="B34" t="s">
        <v>40</v>
      </c>
      <c r="C34">
        <v>4</v>
      </c>
      <c r="D34">
        <v>49000</v>
      </c>
      <c r="E34">
        <v>68.5</v>
      </c>
      <c r="F34">
        <v>0.26200000000000001</v>
      </c>
      <c r="G34">
        <v>0</v>
      </c>
      <c r="H34">
        <v>0</v>
      </c>
      <c r="I34">
        <v>4</v>
      </c>
      <c r="J34">
        <v>0.11700000000000001</v>
      </c>
      <c r="K34">
        <v>3.0599999999999999E-2</v>
      </c>
      <c r="L34">
        <v>3.4</v>
      </c>
      <c r="M34">
        <v>1</v>
      </c>
      <c r="N34">
        <v>0.73799999999999999</v>
      </c>
      <c r="O34">
        <v>0.68500000000000005</v>
      </c>
      <c r="P34">
        <v>0.71699999999999997</v>
      </c>
      <c r="Q34">
        <v>0.85799999999999998</v>
      </c>
      <c r="R34">
        <v>4.3E-3</v>
      </c>
      <c r="S34">
        <v>22.8</v>
      </c>
      <c r="T34">
        <v>7</v>
      </c>
      <c r="U34" t="s">
        <v>41</v>
      </c>
      <c r="V34" t="s">
        <v>38</v>
      </c>
      <c r="W34">
        <v>22.8</v>
      </c>
    </row>
    <row r="35" spans="1:23" x14ac:dyDescent="0.3">
      <c r="A35" t="s">
        <v>186</v>
      </c>
      <c r="B35" t="s">
        <v>187</v>
      </c>
      <c r="C35">
        <v>1</v>
      </c>
      <c r="D35">
        <v>3500</v>
      </c>
      <c r="E35">
        <v>55.4</v>
      </c>
      <c r="F35">
        <v>0.50600000000000001</v>
      </c>
      <c r="G35">
        <v>0</v>
      </c>
      <c r="H35">
        <v>0</v>
      </c>
      <c r="I35">
        <v>1</v>
      </c>
      <c r="J35">
        <v>2.5000000000000001E-2</v>
      </c>
      <c r="K35">
        <v>1.2699999999999999E-2</v>
      </c>
      <c r="L35">
        <v>2.8</v>
      </c>
      <c r="M35">
        <v>0.93300000000000005</v>
      </c>
      <c r="N35">
        <v>0.49399999999999999</v>
      </c>
      <c r="O35">
        <v>0.55400000000000005</v>
      </c>
      <c r="P35">
        <v>0.51800000000000002</v>
      </c>
      <c r="Q35">
        <v>0.72599999999999998</v>
      </c>
      <c r="R35">
        <v>3.5000000000000001E-3</v>
      </c>
      <c r="S35">
        <v>17.899999999999999</v>
      </c>
      <c r="T35">
        <v>8</v>
      </c>
      <c r="U35" t="s">
        <v>41</v>
      </c>
      <c r="V35" t="s">
        <v>186</v>
      </c>
      <c r="W35">
        <v>17.899999999999999</v>
      </c>
    </row>
    <row r="36" spans="1:23" x14ac:dyDescent="0.3">
      <c r="A36" t="s">
        <v>78</v>
      </c>
      <c r="B36" t="s">
        <v>79</v>
      </c>
      <c r="C36">
        <v>1</v>
      </c>
      <c r="D36">
        <v>3500</v>
      </c>
      <c r="E36">
        <v>58.4</v>
      </c>
      <c r="F36">
        <v>0.42299999999999999</v>
      </c>
      <c r="G36">
        <v>0</v>
      </c>
      <c r="H36">
        <v>0</v>
      </c>
      <c r="I36">
        <v>1</v>
      </c>
      <c r="J36">
        <v>2.1999999999999999E-2</v>
      </c>
      <c r="K36">
        <v>9.2999999999999992E-3</v>
      </c>
      <c r="L36">
        <v>2.1</v>
      </c>
      <c r="M36">
        <v>0.7</v>
      </c>
      <c r="N36">
        <v>0.57699999999999996</v>
      </c>
      <c r="O36">
        <v>0.58399999999999996</v>
      </c>
      <c r="P36">
        <v>0.57999999999999996</v>
      </c>
      <c r="Q36">
        <v>0.64</v>
      </c>
      <c r="R36">
        <v>3.3E-3</v>
      </c>
      <c r="S36">
        <v>16.7</v>
      </c>
      <c r="T36">
        <v>9</v>
      </c>
      <c r="U36" t="s">
        <v>41</v>
      </c>
      <c r="V36" t="s">
        <v>78</v>
      </c>
      <c r="W36">
        <v>16.7</v>
      </c>
    </row>
    <row r="37" spans="1:23" x14ac:dyDescent="0.3">
      <c r="A37" t="s">
        <v>60</v>
      </c>
      <c r="B37" t="s">
        <v>61</v>
      </c>
      <c r="C37">
        <v>3</v>
      </c>
      <c r="D37">
        <v>11050</v>
      </c>
      <c r="E37">
        <v>68</v>
      </c>
      <c r="F37">
        <v>0.27500000000000002</v>
      </c>
      <c r="G37">
        <v>0</v>
      </c>
      <c r="H37">
        <v>0</v>
      </c>
      <c r="I37">
        <v>3</v>
      </c>
      <c r="J37">
        <v>6.0999999999999999E-2</v>
      </c>
      <c r="K37">
        <v>1.6899999999999998E-2</v>
      </c>
      <c r="L37">
        <v>3.1</v>
      </c>
      <c r="M37">
        <v>1</v>
      </c>
      <c r="N37">
        <v>0.72499999999999998</v>
      </c>
      <c r="O37">
        <v>0.68</v>
      </c>
      <c r="P37">
        <v>0.70699999999999996</v>
      </c>
      <c r="Q37">
        <v>0.85399999999999998</v>
      </c>
      <c r="R37">
        <v>2.5000000000000001E-3</v>
      </c>
      <c r="S37">
        <v>11.7</v>
      </c>
      <c r="T37">
        <v>10</v>
      </c>
      <c r="U37" t="s">
        <v>41</v>
      </c>
      <c r="V37" t="s">
        <v>60</v>
      </c>
      <c r="W37">
        <v>11.7</v>
      </c>
    </row>
    <row r="38" spans="1:23" x14ac:dyDescent="0.3">
      <c r="A38" t="s">
        <v>141</v>
      </c>
      <c r="B38" t="s">
        <v>142</v>
      </c>
      <c r="C38">
        <v>3</v>
      </c>
      <c r="D38">
        <v>10250</v>
      </c>
      <c r="E38">
        <v>78.3</v>
      </c>
      <c r="F38">
        <v>0.14899999999999999</v>
      </c>
      <c r="G38">
        <v>0</v>
      </c>
      <c r="H38">
        <v>0</v>
      </c>
      <c r="I38">
        <v>3</v>
      </c>
      <c r="J38">
        <v>4.7E-2</v>
      </c>
      <c r="K38">
        <v>6.8999999999999999E-3</v>
      </c>
      <c r="L38">
        <v>1.4</v>
      </c>
      <c r="M38">
        <v>0.46700000000000003</v>
      </c>
      <c r="N38">
        <v>0.85099999999999998</v>
      </c>
      <c r="O38">
        <v>0.78300000000000003</v>
      </c>
      <c r="P38">
        <v>0.82399999999999995</v>
      </c>
      <c r="Q38">
        <v>0.64500000000000002</v>
      </c>
      <c r="R38">
        <v>2.5000000000000001E-3</v>
      </c>
      <c r="S38">
        <v>11.7</v>
      </c>
      <c r="T38">
        <v>11</v>
      </c>
      <c r="U38" t="s">
        <v>41</v>
      </c>
      <c r="V38" t="s">
        <v>141</v>
      </c>
      <c r="W38">
        <v>11.7</v>
      </c>
    </row>
    <row r="39" spans="1:23" x14ac:dyDescent="0.3">
      <c r="A39" t="s">
        <v>99</v>
      </c>
      <c r="B39" t="s">
        <v>98</v>
      </c>
      <c r="C39">
        <v>1</v>
      </c>
      <c r="D39">
        <v>7500</v>
      </c>
      <c r="E39">
        <v>71</v>
      </c>
      <c r="F39">
        <v>0.224</v>
      </c>
      <c r="G39">
        <v>0</v>
      </c>
      <c r="H39">
        <v>0</v>
      </c>
      <c r="I39">
        <v>1</v>
      </c>
      <c r="J39">
        <v>4.2000000000000003E-2</v>
      </c>
      <c r="K39">
        <v>9.2999999999999992E-3</v>
      </c>
      <c r="L39">
        <v>2.2000000000000002</v>
      </c>
      <c r="M39">
        <v>0.73299999999999998</v>
      </c>
      <c r="N39">
        <v>0.77600000000000002</v>
      </c>
      <c r="O39">
        <v>0.71</v>
      </c>
      <c r="P39">
        <v>0.75</v>
      </c>
      <c r="Q39">
        <v>0.74099999999999999</v>
      </c>
      <c r="R39">
        <v>2.3999999999999998E-3</v>
      </c>
      <c r="S39">
        <v>11.1</v>
      </c>
      <c r="T39">
        <v>12</v>
      </c>
      <c r="U39" t="s">
        <v>41</v>
      </c>
      <c r="V39" t="s">
        <v>99</v>
      </c>
      <c r="W39">
        <v>11.1</v>
      </c>
    </row>
    <row r="40" spans="1:23" x14ac:dyDescent="0.3">
      <c r="A40" t="s">
        <v>163</v>
      </c>
      <c r="B40" t="s">
        <v>162</v>
      </c>
      <c r="C40">
        <v>3</v>
      </c>
      <c r="D40">
        <v>5050</v>
      </c>
      <c r="E40">
        <v>73.8</v>
      </c>
      <c r="F40">
        <v>0.21199999999999999</v>
      </c>
      <c r="G40">
        <v>0</v>
      </c>
      <c r="H40">
        <v>0</v>
      </c>
      <c r="I40">
        <v>3</v>
      </c>
      <c r="J40">
        <v>4.2000000000000003E-2</v>
      </c>
      <c r="K40">
        <v>8.8999999999999999E-3</v>
      </c>
      <c r="L40">
        <v>2.5</v>
      </c>
      <c r="M40">
        <v>0.83299999999999996</v>
      </c>
      <c r="N40">
        <v>0.78800000000000003</v>
      </c>
      <c r="O40">
        <v>0.73799999999999999</v>
      </c>
      <c r="P40">
        <v>0.76800000000000002</v>
      </c>
      <c r="Q40">
        <v>0.80100000000000005</v>
      </c>
      <c r="R40">
        <v>1.8E-3</v>
      </c>
      <c r="S40">
        <v>7.4</v>
      </c>
      <c r="T40">
        <v>13</v>
      </c>
      <c r="U40" t="s">
        <v>41</v>
      </c>
      <c r="V40" t="s">
        <v>163</v>
      </c>
      <c r="W40">
        <v>7.4</v>
      </c>
    </row>
    <row r="41" spans="1:23" x14ac:dyDescent="0.3">
      <c r="A41" t="s">
        <v>114</v>
      </c>
      <c r="B41" t="s">
        <v>113</v>
      </c>
      <c r="C41">
        <v>1</v>
      </c>
      <c r="D41">
        <v>4000</v>
      </c>
      <c r="E41">
        <v>64.5</v>
      </c>
      <c r="F41">
        <v>0.29699999999999999</v>
      </c>
      <c r="G41">
        <v>0</v>
      </c>
      <c r="H41">
        <v>0</v>
      </c>
      <c r="I41">
        <v>1</v>
      </c>
      <c r="J41">
        <v>1.2999999999999999E-2</v>
      </c>
      <c r="K41">
        <v>4.0000000000000001E-3</v>
      </c>
      <c r="L41">
        <v>2</v>
      </c>
      <c r="M41">
        <v>0.66700000000000004</v>
      </c>
      <c r="N41">
        <v>0.70299999999999996</v>
      </c>
      <c r="O41">
        <v>0.64500000000000002</v>
      </c>
      <c r="P41">
        <v>0.68</v>
      </c>
      <c r="Q41">
        <v>0.67300000000000004</v>
      </c>
      <c r="R41">
        <v>1.2999999999999999E-3</v>
      </c>
      <c r="S41">
        <v>4.3</v>
      </c>
      <c r="T41">
        <v>14</v>
      </c>
      <c r="U41" t="s">
        <v>41</v>
      </c>
      <c r="V41" t="s">
        <v>114</v>
      </c>
      <c r="W41">
        <v>4.3</v>
      </c>
    </row>
    <row r="42" spans="1:23" x14ac:dyDescent="0.3">
      <c r="A42" t="s">
        <v>361</v>
      </c>
      <c r="B42" t="s">
        <v>362</v>
      </c>
      <c r="C42">
        <v>1</v>
      </c>
      <c r="D42">
        <v>3500</v>
      </c>
      <c r="E42">
        <v>66.7</v>
      </c>
      <c r="F42">
        <v>0.28299999999999997</v>
      </c>
      <c r="G42">
        <v>0</v>
      </c>
      <c r="H42">
        <v>0</v>
      </c>
      <c r="I42">
        <v>1</v>
      </c>
      <c r="J42">
        <v>1.2999999999999999E-2</v>
      </c>
      <c r="K42">
        <v>3.5000000000000001E-3</v>
      </c>
      <c r="L42">
        <v>2.9</v>
      </c>
      <c r="M42">
        <v>0.96699999999999997</v>
      </c>
      <c r="N42">
        <v>0.71699999999999997</v>
      </c>
      <c r="O42">
        <v>0.66700000000000004</v>
      </c>
      <c r="P42">
        <v>0.69699999999999995</v>
      </c>
      <c r="Q42">
        <v>0.83199999999999996</v>
      </c>
      <c r="R42">
        <v>5.9999999999999995E-4</v>
      </c>
      <c r="S42">
        <v>0</v>
      </c>
      <c r="T42">
        <v>15</v>
      </c>
      <c r="U42" t="s">
        <v>41</v>
      </c>
      <c r="V42" t="s">
        <v>361</v>
      </c>
      <c r="W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components_long (2)</vt:lpstr>
      <vt:lpstr>plants_unified</vt:lpstr>
      <vt:lpstr>components_long</vt:lpstr>
      <vt:lpstr>regions_ravi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Shourjya Samanta</cp:lastModifiedBy>
  <dcterms:created xsi:type="dcterms:W3CDTF">2026-01-22T11:45:29Z</dcterms:created>
  <dcterms:modified xsi:type="dcterms:W3CDTF">2026-01-29T21:43:10Z</dcterms:modified>
</cp:coreProperties>
</file>