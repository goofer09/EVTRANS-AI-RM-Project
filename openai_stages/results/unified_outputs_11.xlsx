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wsl.localhost\Ubuntu\home\goofe\RM\openai_stages\results\"/>
    </mc:Choice>
  </mc:AlternateContent>
  <xr:revisionPtr revIDLastSave="0" documentId="13_ncr:1_{541FE6D9-AD27-4FF5-B95F-0CE597C21D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ponents_long (2)" sheetId="4" r:id="rId1"/>
    <sheet name="plants_unified" sheetId="1" r:id="rId2"/>
    <sheet name="components_long" sheetId="2" r:id="rId3"/>
    <sheet name="regions_ravi" sheetId="3" r:id="rId4"/>
  </sheets>
  <definedNames>
    <definedName name="_xlnm._FilterDatabase" localSheetId="2" hidden="1">components_long!$D$1:$D$283</definedName>
    <definedName name="_xlnm._FilterDatabase" localSheetId="0" hidden="1">'components_long (2)'!$E$1:$E$283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4" l="1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" i="4"/>
</calcChain>
</file>

<file path=xl/sharedStrings.xml><?xml version="1.0" encoding="utf-8"?>
<sst xmlns="http://schemas.openxmlformats.org/spreadsheetml/2006/main" count="5600" uniqueCount="455">
  <si>
    <t>key</t>
  </si>
  <si>
    <t>company</t>
  </si>
  <si>
    <t>plant</t>
  </si>
  <si>
    <t>city</t>
  </si>
  <si>
    <t>nuts2_code</t>
  </si>
  <si>
    <t>employment_estimate</t>
  </si>
  <si>
    <t>employment_size_class</t>
  </si>
  <si>
    <t>employment_confidence</t>
  </si>
  <si>
    <t>is_production_site</t>
  </si>
  <si>
    <t>component_count</t>
  </si>
  <si>
    <t>ice_count</t>
  </si>
  <si>
    <t>ev_count</t>
  </si>
  <si>
    <t>shared_count</t>
  </si>
  <si>
    <t>plant_tfs</t>
  </si>
  <si>
    <t>plant_ice_dependency</t>
  </si>
  <si>
    <t>nuts2_name</t>
  </si>
  <si>
    <t>ravi_score</t>
  </si>
  <si>
    <t>vulnerability_rank</t>
  </si>
  <si>
    <t>vulnerability_category</t>
  </si>
  <si>
    <t>weighted_tfs</t>
  </si>
  <si>
    <t>weighted_ice_dependency</t>
  </si>
  <si>
    <t>total_employment</t>
  </si>
  <si>
    <t>auto_employment_share</t>
  </si>
  <si>
    <t>exposure</t>
  </si>
  <si>
    <t>adaptive_capacity</t>
  </si>
  <si>
    <t>Volkswagen Osnabrück GmbH_Osnabrück Plant (Werk Osnabrück)_DE94</t>
  </si>
  <si>
    <t>Volkswagen Osnabrück GmbH</t>
  </si>
  <si>
    <t>Osnabrück Plant (Werk Osnabrück)</t>
  </si>
  <si>
    <t>Osnabrück</t>
  </si>
  <si>
    <t>DE94</t>
  </si>
  <si>
    <t>Large</t>
  </si>
  <si>
    <t>medium</t>
  </si>
  <si>
    <t>Weser-Ems</t>
  </si>
  <si>
    <t>High</t>
  </si>
  <si>
    <t>Audi AG_Audi Motorenwerk Gaimersheim_DE21</t>
  </si>
  <si>
    <t>Audi AG</t>
  </si>
  <si>
    <t>Audi Motorenwerk Gaimersheim</t>
  </si>
  <si>
    <t>Gaimersheim</t>
  </si>
  <si>
    <t>DE21</t>
  </si>
  <si>
    <t>Medium</t>
  </si>
  <si>
    <t>Oberbayern</t>
  </si>
  <si>
    <t>Low</t>
  </si>
  <si>
    <t>Volkswagen Sachsen GmbH (Zwickau Plant)_Zwickau Plant (Werk Zwickau)_DED4</t>
  </si>
  <si>
    <t>Volkswagen Sachsen GmbH (Zwickau Plant)</t>
  </si>
  <si>
    <t>Zwickau Plant (Werk Zwickau)</t>
  </si>
  <si>
    <t>Zwickau</t>
  </si>
  <si>
    <t>DED4</t>
  </si>
  <si>
    <t>Very Large</t>
  </si>
  <si>
    <t>high</t>
  </si>
  <si>
    <t>Chemnitz</t>
  </si>
  <si>
    <t>Volkswagen AG_Motorenwerk Salzgitter (Volkswagen Salzgitter Engine Plant)_DE91</t>
  </si>
  <si>
    <t>Volkswagen AG</t>
  </si>
  <si>
    <t>Motorenwerk Salzgitter (Volkswagen Salzgitter Engine Plant)</t>
  </si>
  <si>
    <t>Salzgitter</t>
  </si>
  <si>
    <t>DE91</t>
  </si>
  <si>
    <t>Braunschweig</t>
  </si>
  <si>
    <t>Freudenberg SE_Weinheim (Freudenberg production site)_DE12</t>
  </si>
  <si>
    <t>Freudenberg SE</t>
  </si>
  <si>
    <t>Weinheim (Freudenberg production site)</t>
  </si>
  <si>
    <t>Weinheim</t>
  </si>
  <si>
    <t>DE12</t>
  </si>
  <si>
    <t>Karlsruhe</t>
  </si>
  <si>
    <t>MAHLE GmbH (Sömmerda plant)_MAHLE Sömmerda plant_DEG0</t>
  </si>
  <si>
    <t>MAHLE GmbH (Sömmerda plant)</t>
  </si>
  <si>
    <t>MAHLE Sömmerda plant</t>
  </si>
  <si>
    <t>Sömmerda</t>
  </si>
  <si>
    <t>DEG0</t>
  </si>
  <si>
    <t>Small</t>
  </si>
  <si>
    <t>Thüringen</t>
  </si>
  <si>
    <t>Knorr-Bremse AG_Knorr-Bremse Munich manufacturing site_DE21</t>
  </si>
  <si>
    <t>Knorr-Bremse AG</t>
  </si>
  <si>
    <t>Knorr-Bremse Munich manufacturing site</t>
  </si>
  <si>
    <t>Munich</t>
  </si>
  <si>
    <t>low</t>
  </si>
  <si>
    <t>Fendt (AGCO)_Fendt / AGCO Werk Asbach-Bäumenheim_DE27</t>
  </si>
  <si>
    <t>Fendt (AGCO)</t>
  </si>
  <si>
    <t>Fendt / AGCO Werk Asbach-Bäumenheim</t>
  </si>
  <si>
    <t>Asbach-Bäumenheim</t>
  </si>
  <si>
    <t>DE27</t>
  </si>
  <si>
    <t>Schwaben</t>
  </si>
  <si>
    <t>Mercedes‑Benz Group AG_Mercedes‑Benz Rastatt Plant_DE12</t>
  </si>
  <si>
    <t>Mercedes‑Benz Group AG</t>
  </si>
  <si>
    <t>Mercedes‑Benz Rastatt Plant</t>
  </si>
  <si>
    <t>Rastatt</t>
  </si>
  <si>
    <t>Continental AG_Continental / ContiTech Werk Amberg_DE23</t>
  </si>
  <si>
    <t>Continental AG</t>
  </si>
  <si>
    <t>Continental / ContiTech Werk Amberg</t>
  </si>
  <si>
    <t>Amberg</t>
  </si>
  <si>
    <t>DE23</t>
  </si>
  <si>
    <t>Oberpfalz</t>
  </si>
  <si>
    <t>Volkswagen AG_Motorenwerk Salzgitter (Salzgitter Plant)_DE91</t>
  </si>
  <si>
    <t>Motorenwerk Salzgitter (Salzgitter Plant)</t>
  </si>
  <si>
    <t>Volkswagen AG_Werk Wolfsburg (Wolfsburg Plant)_DE91</t>
  </si>
  <si>
    <t>Werk Wolfsburg (Wolfsburg Plant)</t>
  </si>
  <si>
    <t>Wolfsburg</t>
  </si>
  <si>
    <t>Volkswagen Nutzfahrzeuge GmbH_Volkswagen Nutzfahrzeuge Werk Hannover_DE92</t>
  </si>
  <si>
    <t>Volkswagen Nutzfahrzeuge GmbH</t>
  </si>
  <si>
    <t>Volkswagen Nutzfahrzeuge Werk Hannover</t>
  </si>
  <si>
    <t>Hannover</t>
  </si>
  <si>
    <t>DE92</t>
  </si>
  <si>
    <t>Mercedes-Benz Group AG_Mercedes‑Benz Werk Bremen_DE94</t>
  </si>
  <si>
    <t>Mercedes-Benz Group AG</t>
  </si>
  <si>
    <t>Mercedes‑Benz Werk Bremen</t>
  </si>
  <si>
    <t>Bremen</t>
  </si>
  <si>
    <t>BMW AG_BMW Group Plant Dingolfing_DE22</t>
  </si>
  <si>
    <t>BMW AG</t>
  </si>
  <si>
    <t>BMW Group Plant Dingolfing</t>
  </si>
  <si>
    <t>Dingolfing</t>
  </si>
  <si>
    <t>DE22</t>
  </si>
  <si>
    <t>Niederbayern</t>
  </si>
  <si>
    <t>Ford-Werke GmbH_Cologne Engine Plant (Ford Köln Engine Plant / Köln-Merkenich)_DEA2</t>
  </si>
  <si>
    <t>Ford-Werke GmbH</t>
  </si>
  <si>
    <t>Cologne Engine Plant (Ford Köln Engine Plant / Köln-Merkenich)</t>
  </si>
  <si>
    <t>Köln</t>
  </si>
  <si>
    <t>DEA2</t>
  </si>
  <si>
    <t>ArcelorMittal Germany_ArcelorMittal Duisburg (Duisburg Steelworks - Bruckhausen)_DEA1</t>
  </si>
  <si>
    <t>ArcelorMittal Germany</t>
  </si>
  <si>
    <t>ArcelorMittal Duisburg (Duisburg Steelworks - Bruckhausen)</t>
  </si>
  <si>
    <t>Duisburg</t>
  </si>
  <si>
    <t>DEA1</t>
  </si>
  <si>
    <t>Düsseldorf</t>
  </si>
  <si>
    <t>Saarstahl AG_Werk Völklingen (Völklingen Plant)_DEC0</t>
  </si>
  <si>
    <t>Saarstahl AG</t>
  </si>
  <si>
    <t>Werk Völklingen (Völklingen Plant)</t>
  </si>
  <si>
    <t>Völklingen</t>
  </si>
  <si>
    <t>DEC0</t>
  </si>
  <si>
    <t>Saarland</t>
  </si>
  <si>
    <t>DRÄXLMAIER Group_DRÄXLMAIER Vilsbiburg Plant_DE22</t>
  </si>
  <si>
    <t>DRÄXLMAIER Group</t>
  </si>
  <si>
    <t>DRÄXLMAIER Vilsbiburg Plant</t>
  </si>
  <si>
    <t>Vilsbiburg</t>
  </si>
  <si>
    <t>MANN+HUMMEL GmbH_Markgröningen Plant_DE11</t>
  </si>
  <si>
    <t>MANN+HUMMEL GmbH</t>
  </si>
  <si>
    <t>Markgröningen Plant</t>
  </si>
  <si>
    <t>Markgröningen</t>
  </si>
  <si>
    <t>DE11</t>
  </si>
  <si>
    <t>Stuttgart</t>
  </si>
  <si>
    <t>Mubea GmbH &amp; Co. KG_Mubea Attendorn Plant_DEA5</t>
  </si>
  <si>
    <t>Mubea GmbH &amp; Co. KG</t>
  </si>
  <si>
    <t>Mubea Attendorn Plant</t>
  </si>
  <si>
    <t>Attendorn</t>
  </si>
  <si>
    <t>DEA5</t>
  </si>
  <si>
    <t>Arnsberg</t>
  </si>
  <si>
    <t>Ford-Werke GmbH_Ford Saarlouis Plant_DEC0</t>
  </si>
  <si>
    <t>Ford Saarlouis Plant</t>
  </si>
  <si>
    <t>Saarlouis</t>
  </si>
  <si>
    <t>thyssenkrupp AG_Thyssenkrupp Nirosta – Krefeld-Uerdingen_DEA1</t>
  </si>
  <si>
    <t>thyssenkrupp AG</t>
  </si>
  <si>
    <t>Thyssenkrupp Nirosta – Krefeld-Uerdingen</t>
  </si>
  <si>
    <t>Krefeld</t>
  </si>
  <si>
    <t>MANN+HUMMEL GmbH_MANN+HUMMEL Kornwestheim Plant_DE11</t>
  </si>
  <si>
    <t>MANN+HUMMEL Kornwestheim Plant</t>
  </si>
  <si>
    <t>Kornwestheim</t>
  </si>
  <si>
    <t>CLAAS KGaA mbH_Harsewinkel Plant_DEA4</t>
  </si>
  <si>
    <t>CLAAS KGaA mbH</t>
  </si>
  <si>
    <t>Harsewinkel Plant</t>
  </si>
  <si>
    <t>Harsewinkel</t>
  </si>
  <si>
    <t>DEA4</t>
  </si>
  <si>
    <t>Detmold</t>
  </si>
  <si>
    <t>GlobalFoundries Inc._GlobalFoundries Dresden Fab_DED2</t>
  </si>
  <si>
    <t>GlobalFoundries Inc.</t>
  </si>
  <si>
    <t>GlobalFoundries Dresden Fab</t>
  </si>
  <si>
    <t>Dresden</t>
  </si>
  <si>
    <t>DED2</t>
  </si>
  <si>
    <t>LEONI AG_LEONI Plant Hechingen_DE14</t>
  </si>
  <si>
    <t>LEONI AG</t>
  </si>
  <si>
    <t>LEONI Plant Hechingen</t>
  </si>
  <si>
    <t>Hechingen</t>
  </si>
  <si>
    <t>DE14</t>
  </si>
  <si>
    <t>Tübingen</t>
  </si>
  <si>
    <t>BMW AG_BMW Group Plant Munich (Werk München)_DE21</t>
  </si>
  <si>
    <t>BMW Group Plant Munich (Werk München)</t>
  </si>
  <si>
    <t>München</t>
  </si>
  <si>
    <t>Mubea GmbH &amp; Co. KG_Attendorn plant_DEA5</t>
  </si>
  <si>
    <t>Attendorn plant</t>
  </si>
  <si>
    <t>Mercedes-Benz Group AG_Mercedes‑Benz Untertürkheim Powertrain Plant_DE11</t>
  </si>
  <si>
    <t>Mercedes‑Benz Untertürkheim Powertrain Plant</t>
  </si>
  <si>
    <t>Stuttgart (Untertürkheim)</t>
  </si>
  <si>
    <t>KUKA AG_KUKA Roboter GmbH – Augsburg plant_DE27</t>
  </si>
  <si>
    <t>KUKA AG</t>
  </si>
  <si>
    <t>KUKA Roboter GmbH – Augsburg plant</t>
  </si>
  <si>
    <t>Augsburg</t>
  </si>
  <si>
    <t>Schaeffler AG_Herzogenaurach plant_DE25</t>
  </si>
  <si>
    <t>Schaeffler AG</t>
  </si>
  <si>
    <t>Herzogenaurach plant</t>
  </si>
  <si>
    <t>Herzogenaurach</t>
  </si>
  <si>
    <t>DE25</t>
  </si>
  <si>
    <t>Mittelfranken</t>
  </si>
  <si>
    <t>BMW AG_BMW Group Plant Leipzig (BMW Werk Leipzig)_DED5</t>
  </si>
  <si>
    <t>BMW Group Plant Leipzig (BMW Werk Leipzig)</t>
  </si>
  <si>
    <t>Leipzig</t>
  </si>
  <si>
    <t>DED5</t>
  </si>
  <si>
    <t>DRÄXLMAIER Group_DRÄXLMAIER Landau Plant_DE22</t>
  </si>
  <si>
    <t>DRÄXLMAIER Landau Plant</t>
  </si>
  <si>
    <t>Landau an der Isar</t>
  </si>
  <si>
    <t>Volkswagen AG_Volkswagen Group Components - Werk Baunatal (Kassel)_DE73</t>
  </si>
  <si>
    <t>Volkswagen Group Components - Werk Baunatal (Kassel)</t>
  </si>
  <si>
    <t>Baunatal</t>
  </si>
  <si>
    <t>DE73</t>
  </si>
  <si>
    <t>Kassel</t>
  </si>
  <si>
    <t>Robert Bosch GmbH_Bosch Werk Schwieberdingen_DE11</t>
  </si>
  <si>
    <t>Robert Bosch GmbH</t>
  </si>
  <si>
    <t>Bosch Werk Schwieberdingen</t>
  </si>
  <si>
    <t>Schwieberdingen</t>
  </si>
  <si>
    <t>Infineon Technologies AG_Infineon Dresden (semiconductor manufacturing site)_DED2</t>
  </si>
  <si>
    <t>Infineon Technologies AG</t>
  </si>
  <si>
    <t>Infineon Dresden (semiconductor manufacturing site)</t>
  </si>
  <si>
    <t>ZF Friedrichshafen AG_ZF Friedrichshafen - Friedrichshafen Plant_DE14</t>
  </si>
  <si>
    <t>ZF Friedrichshafen AG</t>
  </si>
  <si>
    <t>ZF Friedrichshafen - Friedrichshafen Plant</t>
  </si>
  <si>
    <t>Friedrichshafen</t>
  </si>
  <si>
    <t>Volkswagen AG_Volkswagen Werk Emden_DE94</t>
  </si>
  <si>
    <t>Volkswagen Werk Emden</t>
  </si>
  <si>
    <t>Emden</t>
  </si>
  <si>
    <t>Saarstahl AG_Saarstahl Werk Burbach_DEC0</t>
  </si>
  <si>
    <t>Saarstahl Werk Burbach</t>
  </si>
  <si>
    <t>Neunkirchen (Burbach)</t>
  </si>
  <si>
    <t>Infineon Technologies AG_Infineon Technologies Dresden (Dresden manufacturing site)_DED2</t>
  </si>
  <si>
    <t>Infineon Technologies Dresden (Dresden manufacturing site)</t>
  </si>
  <si>
    <t>DRÄXLMAIER Group_DRÄXLMAIER Dingolfing Plant_DE22</t>
  </si>
  <si>
    <t>DRÄXLMAIER Dingolfing Plant</t>
  </si>
  <si>
    <t>Volkswagen AG_Gläserne Manufaktur Dresden (Transparent Factory)_DED2</t>
  </si>
  <si>
    <t>Gläserne Manufaktur Dresden (Transparent Factory)</t>
  </si>
  <si>
    <t>Volkswagen AG_Gläserne Manufaktur (Transparent Factory, Volkswagen Sachsen GmbH)_DED5</t>
  </si>
  <si>
    <t>Gläserne Manufaktur (Transparent Factory, Volkswagen Sachsen GmbH)</t>
  </si>
  <si>
    <t>thyssenkrupp AG_Thyssenkrupp Steel Europe – Duisburg (Schwelgern integrated works)_DEA1</t>
  </si>
  <si>
    <t>Thyssenkrupp Steel Europe – Duisburg (Schwelgern integrated works)</t>
  </si>
  <si>
    <t>ElringKlinger AG_ElringKlinger Dietenheim_DE14</t>
  </si>
  <si>
    <t>ElringKlinger AG</t>
  </si>
  <si>
    <t>ElringKlinger Dietenheim</t>
  </si>
  <si>
    <t>Dietenheim</t>
  </si>
  <si>
    <t>Brose Fahrzeugteile GmbH &amp; Co. KG_Brose Hallstadt_DE24</t>
  </si>
  <si>
    <t>Brose Fahrzeugteile GmbH &amp; Co. KG</t>
  </si>
  <si>
    <t>Brose Hallstadt</t>
  </si>
  <si>
    <t>Hallstadt (Bamberg)</t>
  </si>
  <si>
    <t>DE24</t>
  </si>
  <si>
    <t>Oberfranken</t>
  </si>
  <si>
    <t>KOSTAL (KOSTAL Gruppe)_KOSTAL GmbH &amp; Co. KG - Lüdenscheid plant_DEA5</t>
  </si>
  <si>
    <t>KOSTAL (KOSTAL Gruppe)</t>
  </si>
  <si>
    <t>KOSTAL GmbH &amp; Co. KG - Lüdenscheid plant</t>
  </si>
  <si>
    <t>Lüdenscheid</t>
  </si>
  <si>
    <t>Brose Fahrzeugteile GmbH &amp; Co. KG_Brose Neustadt bei Coburg_DE24</t>
  </si>
  <si>
    <t>Brose Neustadt bei Coburg</t>
  </si>
  <si>
    <t>Neustadt bei Coburg</t>
  </si>
  <si>
    <t>Fendt (AGCO)_Fendt-Werk Marktoberdorf_DE27</t>
  </si>
  <si>
    <t>Fendt-Werk Marktoberdorf</t>
  </si>
  <si>
    <t>Marktoberdorf</t>
  </si>
  <si>
    <t>LEONI AG_LEONI Weiden Plant_DE23</t>
  </si>
  <si>
    <t>LEONI Weiden Plant</t>
  </si>
  <si>
    <t>Weiden in der Oberpfalz</t>
  </si>
  <si>
    <t>Mercedes-Benz Group AG_Mercedes‑Benz Werk Bremen_DE50</t>
  </si>
  <si>
    <t>DE50</t>
  </si>
  <si>
    <t>Mercedes-Benz Group AG_Mercedes-Benz Untertürkheim Plant_DE11</t>
  </si>
  <si>
    <t>Mercedes-Benz Untertürkheim Plant</t>
  </si>
  <si>
    <t>Stuttgart-Untertürkheim</t>
  </si>
  <si>
    <t>Salzgitter AG_Salzgitter Werk (Salzgitter steelworks)_DE91</t>
  </si>
  <si>
    <t>Salzgitter AG</t>
  </si>
  <si>
    <t>Salzgitter Werk (Salzgitter steelworks)</t>
  </si>
  <si>
    <t>Continental AG_Continental Automotive GmbH - Werk Regensburg_DE23</t>
  </si>
  <si>
    <t>Continental Automotive GmbH - Werk Regensburg</t>
  </si>
  <si>
    <t>Regensburg</t>
  </si>
  <si>
    <t>Audi AG_Audi Werk Ingolstadt_DE21</t>
  </si>
  <si>
    <t>Audi Werk Ingolstadt</t>
  </si>
  <si>
    <t>Ingolstadt</t>
  </si>
  <si>
    <t>Volkswagen Nutzfahrzeuge GmbH_Werk Hannover (Volkswagen Nutzfahrzeuge Werk Hannover)_DE92</t>
  </si>
  <si>
    <t>Werk Hannover (Volkswagen Nutzfahrzeuge Werk Hannover)</t>
  </si>
  <si>
    <t>Liebherr-Components Biberach GmbH_Liebherr-Components Biberach GmbH – Biberach plant_DE14</t>
  </si>
  <si>
    <t>Liebherr-Components Biberach GmbH</t>
  </si>
  <si>
    <t>Liebherr-Components Biberach GmbH – Biberach plant</t>
  </si>
  <si>
    <t>Biberach an der Riß</t>
  </si>
  <si>
    <t>HYDAC International GmbH_HYDAC - Sulzbach (production site)_DEC0</t>
  </si>
  <si>
    <t>HYDAC International GmbH</t>
  </si>
  <si>
    <t>HYDAC - Sulzbach (production site)</t>
  </si>
  <si>
    <t>Sulzbach/Saar</t>
  </si>
  <si>
    <t>ElringKlinger AG_Dettingen/Erms production site (ElringKlinger)_DE14</t>
  </si>
  <si>
    <t>Dettingen/Erms production site (ElringKlinger)</t>
  </si>
  <si>
    <t>Dettingen/Erms</t>
  </si>
  <si>
    <t>BMW AG_BMW Group Plant Regensburg_DE23</t>
  </si>
  <si>
    <t>BMW Group Plant Regensburg</t>
  </si>
  <si>
    <t>Webasto SE_Webasto SE - Gilching Plant_DE21</t>
  </si>
  <si>
    <t>Webasto SE</t>
  </si>
  <si>
    <t>Webasto SE - Gilching Plant</t>
  </si>
  <si>
    <t>Gilching</t>
  </si>
  <si>
    <t>ZF Friedrichshafen AG_ZF Friedrichshafen - Ravensburg Plant_DE14</t>
  </si>
  <si>
    <t>ZF Friedrichshafen - Ravensburg Plant</t>
  </si>
  <si>
    <t>Ravensburg</t>
  </si>
  <si>
    <t>Liebherr-Components Biberach GmbH_Liebherr-Components Biberach (Biberach an der Riß)_DE14</t>
  </si>
  <si>
    <t>Liebherr-Components Biberach (Biberach an der Riß)</t>
  </si>
  <si>
    <t>Dr. Ing. h.c. F. Porsche AG_Stuttgart‑Zuffenhausen Plant (Porschewerk Zuffenhausen)_DE11</t>
  </si>
  <si>
    <t>Dr. Ing. h.c. F. Porsche AG</t>
  </si>
  <si>
    <t>Stuttgart‑Zuffenhausen Plant (Porschewerk Zuffenhausen)</t>
  </si>
  <si>
    <t>Stuttgart (Zuffenhausen)</t>
  </si>
  <si>
    <t>MANN+HUMMEL GmbH_Ludwigsburg Plant_DE11</t>
  </si>
  <si>
    <t>Ludwigsburg Plant</t>
  </si>
  <si>
    <t>Ludwigsburg</t>
  </si>
  <si>
    <t>MANN+HUMMEL GmbH_MANN+HUMMEL Markgröningen Plant_DE11</t>
  </si>
  <si>
    <t>MANN+HUMMEL Markgröningen Plant</t>
  </si>
  <si>
    <t>Benteler_Benteler Automotive Bielefeld GmbH (Bielefeld Plant)_DEA4</t>
  </si>
  <si>
    <t>Benteler</t>
  </si>
  <si>
    <t>Benteler Automotive Bielefeld GmbH (Bielefeld Plant)</t>
  </si>
  <si>
    <t>Bielefeld</t>
  </si>
  <si>
    <t>DRÄXLMAIER Group_DRÄXLMAIER Vilsbiburg (Headquarters &amp; Production)_DE22</t>
  </si>
  <si>
    <t>DRÄXLMAIER Vilsbiburg (Headquarters &amp; Production)</t>
  </si>
  <si>
    <t>LEONI AG_LEONI Neumarkt Plant_DE23</t>
  </si>
  <si>
    <t>LEONI Neumarkt Plant</t>
  </si>
  <si>
    <t>Neumarkt in der Oberpfalz</t>
  </si>
  <si>
    <t>Phoenix Contact GmbH &amp; Co. KG_Blomberg (Hauptwerk)_DEA4</t>
  </si>
  <si>
    <t>Phoenix Contact GmbH &amp; Co. KG</t>
  </si>
  <si>
    <t>Blomberg (Hauptwerk)</t>
  </si>
  <si>
    <t>Blomberg</t>
  </si>
  <si>
    <t>Volkswagen AG_Volkswagen Werk Leipzig (Volkswagen Sachsen GmbH)_DED5</t>
  </si>
  <si>
    <t>Volkswagen Werk Leipzig (Volkswagen Sachsen GmbH)</t>
  </si>
  <si>
    <t>Mercedes-Benz Group AG_Mercedes‑AMG Affalterbach (AMG Performance Center)_DE11</t>
  </si>
  <si>
    <t>Mercedes‑AMG Affalterbach (AMG Performance Center)</t>
  </si>
  <si>
    <t>Affalterbach</t>
  </si>
  <si>
    <t>Tesla, Inc._Gigafactory Berlin-Brandenburg (Tesla Factory Grünheide)_DE40</t>
  </si>
  <si>
    <t>Tesla, Inc.</t>
  </si>
  <si>
    <t>Gigafactory Berlin-Brandenburg (Tesla Factory Grünheide)</t>
  </si>
  <si>
    <t>Grünheide (Mark)</t>
  </si>
  <si>
    <t>DE40</t>
  </si>
  <si>
    <t>Brandenburg</t>
  </si>
  <si>
    <t>Benteler_Benteler Paderborn (Benteler manufacturing plant)_DEA4</t>
  </si>
  <si>
    <t>Benteler Paderborn (Benteler manufacturing plant)</t>
  </si>
  <si>
    <t>Paderborn</t>
  </si>
  <si>
    <t>Webasto SE_Webasto SE - Stockdorf (Gauting) Plant_DE21</t>
  </si>
  <si>
    <t>Webasto SE - Stockdorf (Gauting) Plant</t>
  </si>
  <si>
    <t>Stockdorf (Gauting)</t>
  </si>
  <si>
    <t>Mercedes-Benz Group AG_Mercedes-AMG Affalterbach Plant_DE11</t>
  </si>
  <si>
    <t>Mercedes-AMG Affalterbach Plant</t>
  </si>
  <si>
    <t>Volkswagen AG_Werk Wolfsburg (Volkswagen Wolfsburg Plant)_DE91</t>
  </si>
  <si>
    <t>Werk Wolfsburg (Volkswagen Wolfsburg Plant)</t>
  </si>
  <si>
    <t>Salzgitter AG_Salzgitter Werk (Salzgitter Flachstahl GmbH)_DE91</t>
  </si>
  <si>
    <t>Salzgitter Werk (Salzgitter Flachstahl GmbH)</t>
  </si>
  <si>
    <t>Ford-Werke GmbH_Ford Köln-Niehl Plant_DEA2</t>
  </si>
  <si>
    <t>Ford Köln-Niehl Plant</t>
  </si>
  <si>
    <t>HELLA GmbH &amp; Co. KGaA_Lippstadt Plant_DEA5</t>
  </si>
  <si>
    <t>HELLA GmbH &amp; Co. KGaA</t>
  </si>
  <si>
    <t>Lippstadt Plant</t>
  </si>
  <si>
    <t>Lippstadt</t>
  </si>
  <si>
    <t>Mercedes‑Benz Group AG_Mercedes‑Benz Werk Gaggenau_DE12</t>
  </si>
  <si>
    <t>Mercedes‑Benz Werk Gaggenau</t>
  </si>
  <si>
    <t>Gaggenau</t>
  </si>
  <si>
    <t>Mercedes‑Benz Group AG_Mercedes‑Benz Werk Rastatt_DE12</t>
  </si>
  <si>
    <t>Mercedes‑Benz Werk Rastatt</t>
  </si>
  <si>
    <t>Volkswagen AG_Volkswagen Osnabrück GmbH_DE94</t>
  </si>
  <si>
    <t>thyssenkrupp AG_thyssenkrupp Steel Europe – Duisburg site_DEA1</t>
  </si>
  <si>
    <t>thyssenkrupp Steel Europe – Duisburg site</t>
  </si>
  <si>
    <t>ElringKlinger AG_ElringKlinger Dettingen/Erms_DE14</t>
  </si>
  <si>
    <t>ElringKlinger Dettingen/Erms</t>
  </si>
  <si>
    <t>Dettingen an der Erms</t>
  </si>
  <si>
    <t>KOSTAL (KOSTAL Gruppe)_KOSTAL GmbH &amp; Co. KG (Lüdenscheid plant)_DEA5</t>
  </si>
  <si>
    <t>KOSTAL GmbH &amp; Co. KG (Lüdenscheid plant)</t>
  </si>
  <si>
    <t>LEONI AG_LEONI Plant Rottenburg (Ergenzingen)_DE14</t>
  </si>
  <si>
    <t>LEONI Plant Rottenburg (Ergenzingen)</t>
  </si>
  <si>
    <t>Rottenburg am Neckar</t>
  </si>
  <si>
    <t>ArcelorMittal Germany_ArcelorMittal Duisburg (integrated steelworks)_DEA1</t>
  </si>
  <si>
    <t>ArcelorMittal Duisburg (integrated steelworks)</t>
  </si>
  <si>
    <t>Opel Automobile GmbH_Opel Rüsselsheim Plant_DE71</t>
  </si>
  <si>
    <t>Opel Automobile GmbH</t>
  </si>
  <si>
    <t>Opel Rüsselsheim Plant</t>
  </si>
  <si>
    <t>Rüsselsheim am Main</t>
  </si>
  <si>
    <t>DE71</t>
  </si>
  <si>
    <t>Darmstadt</t>
  </si>
  <si>
    <t>Leoni AG (Apolda / Thuringia operations)_Leoni Apolda Plant_DEG0</t>
  </si>
  <si>
    <t>Leoni AG (Apolda / Thuringia operations)</t>
  </si>
  <si>
    <t>Leoni Apolda Plant</t>
  </si>
  <si>
    <t>Apolda</t>
  </si>
  <si>
    <t>Volkswagen AG_Gläserne Manufaktur (Transparent Factory) Dresden_DED2</t>
  </si>
  <si>
    <t>Gläserne Manufaktur (Transparent Factory) Dresden</t>
  </si>
  <si>
    <t>HYDAC International GmbH_HYDAC International GmbH (Sulzbach/Saar) - Production Site_DEC0</t>
  </si>
  <si>
    <t>HYDAC International GmbH (Sulzbach/Saar) - Production Site</t>
  </si>
  <si>
    <t>Sulzbach (Saar)</t>
  </si>
  <si>
    <t>LEONI AG_LEONI Wiring Systems Regensburg_DE23</t>
  </si>
  <si>
    <t>LEONI Wiring Systems Regensburg</t>
  </si>
  <si>
    <t>BMW AG_BMW Group Plant Landshut_DE22</t>
  </si>
  <si>
    <t>BMW Group Plant Landshut</t>
  </si>
  <si>
    <t>Landshut</t>
  </si>
  <si>
    <t>Ford-Werke GmbH_Cologne-Niehl Plant (Ford Köln-Niehl)_DEA2</t>
  </si>
  <si>
    <t>Cologne-Niehl Plant (Ford Köln-Niehl)</t>
  </si>
  <si>
    <t>Fendt (AGCO)_Fendt Werk Marktoberdorf_DE27</t>
  </si>
  <si>
    <t>Fendt Werk Marktoberdorf</t>
  </si>
  <si>
    <t>Brose Fahrzeugteile GmbH &amp; Co. KG_Brose Coburg_DE24</t>
  </si>
  <si>
    <t>Brose Coburg</t>
  </si>
  <si>
    <t>Coburg</t>
  </si>
  <si>
    <t>Hirschvogel Automotive Group_Hirschvogel Umformtechnik Denkingen (Denkingen plant)_DE14</t>
  </si>
  <si>
    <t>Hirschvogel Automotive Group</t>
  </si>
  <si>
    <t>Hirschvogel Umformtechnik Denkingen (Denkingen plant)</t>
  </si>
  <si>
    <t>Denkingen</t>
  </si>
  <si>
    <t>Mercedes-Benz Group AG_Mercedes-Benz Sindelfingen Plant_DE11</t>
  </si>
  <si>
    <t>Mercedes-Benz Sindelfingen Plant</t>
  </si>
  <si>
    <t>Sindelfingen</t>
  </si>
  <si>
    <t>Dr. Ing. h.c. F. Porsche AG_Porsche Werk Stuttgart-Zuffenhausen (Engine / Powertrain plant)_DE11</t>
  </si>
  <si>
    <t>Porsche Werk Stuttgart-Zuffenhausen (Engine / Powertrain plant)</t>
  </si>
  <si>
    <t>Ford-Werke GmbH_Ford-Werke GmbH – Werk Saarlouis_DEC0</t>
  </si>
  <si>
    <t>Ford-Werke GmbH – Werk Saarlouis</t>
  </si>
  <si>
    <t>Robert Bosch GmbH_Bosch Werk Feuerbach (Stuttgart-Feuerbach)_DE11</t>
  </si>
  <si>
    <t>Bosch Werk Feuerbach (Stuttgart-Feuerbach)</t>
  </si>
  <si>
    <t>MANN+HUMMEL GmbH_MANN+HUMMEL Ludwigsburg Plant_DE11</t>
  </si>
  <si>
    <t>MANN+HUMMEL Ludwigsburg Plant</t>
  </si>
  <si>
    <t>Adam Opel GmbH (Opel Eisenach)_Opel Werk Eisenach (Eisenach Plant)_DEG0</t>
  </si>
  <si>
    <t>Adam Opel GmbH (Opel Eisenach)</t>
  </si>
  <si>
    <t>Opel Werk Eisenach (Eisenach Plant)</t>
  </si>
  <si>
    <t>Eisenach</t>
  </si>
  <si>
    <t>Webasto SE_Webasto SE - Stockdorf (Gilching) Plant_DE21</t>
  </si>
  <si>
    <t>Webasto SE - Stockdorf (Gilching) Plant</t>
  </si>
  <si>
    <t>Stockdorf (Gemeinde Gilching)</t>
  </si>
  <si>
    <t>Schaeffler AG_Schaeffler Werk Schweinfurt_DE26</t>
  </si>
  <si>
    <t>Schaeffler Werk Schweinfurt</t>
  </si>
  <si>
    <t>Schweinfurt</t>
  </si>
  <si>
    <t>DE26</t>
  </si>
  <si>
    <t>Unterfranken</t>
  </si>
  <si>
    <t>GlobalFoundries Inc._GlobalFoundries Dresden (Fab 1)_DED2</t>
  </si>
  <si>
    <t>GlobalFoundries Dresden (Fab 1)</t>
  </si>
  <si>
    <t>Bernard Krone Holding GmbH &amp; Co. KG_Fahrzeugwerk Bernard Krone (Spelle plant)_DE94</t>
  </si>
  <si>
    <t>Bernard Krone Holding GmbH &amp; Co. KG</t>
  </si>
  <si>
    <t>Fahrzeugwerk Bernard Krone (Spelle plant)</t>
  </si>
  <si>
    <t>Spelle</t>
  </si>
  <si>
    <t>Volkswagen AG_Porsche Werk Leipzig (Porsche Leipzig GmbH)_DED5</t>
  </si>
  <si>
    <t>Porsche Werk Leipzig (Porsche Leipzig GmbH)</t>
  </si>
  <si>
    <t>thyssenkrupp AG_tk elevator (thyssenkrupp Elevator) – Velbert plant_DEA1</t>
  </si>
  <si>
    <t>tk elevator (thyssenkrupp Elevator) – Velbert plant</t>
  </si>
  <si>
    <t>Velbert</t>
  </si>
  <si>
    <t>Kiekert AG_Heiligenhaus Plant_DEA1</t>
  </si>
  <si>
    <t>Kiekert AG</t>
  </si>
  <si>
    <t>Heiligenhaus Plant</t>
  </si>
  <si>
    <t>Heiligenhaus</t>
  </si>
  <si>
    <t>HELLA GmbH &amp; Co. KGaA_Lippstadt plant_DEA5</t>
  </si>
  <si>
    <t>Lippstadt plant</t>
  </si>
  <si>
    <t>component_idx</t>
  </si>
  <si>
    <t>category</t>
  </si>
  <si>
    <t>ice_ev_type</t>
  </si>
  <si>
    <t>confidence</t>
  </si>
  <si>
    <t>Vehicle Assembly</t>
  </si>
  <si>
    <t>Shared</t>
  </si>
  <si>
    <t>Body &amp; Structural Parts</t>
  </si>
  <si>
    <t>Powertrain Components</t>
  </si>
  <si>
    <t>ICE</t>
  </si>
  <si>
    <t>Chassis &amp; Suspension</t>
  </si>
  <si>
    <t>Interior Systems</t>
  </si>
  <si>
    <t>Electronics &amp; Control Units</t>
  </si>
  <si>
    <t>Electric Powertrain Components</t>
  </si>
  <si>
    <t>EV</t>
  </si>
  <si>
    <t>Battery Systems</t>
  </si>
  <si>
    <t>plant_count</t>
  </si>
  <si>
    <t>ice_plants</t>
  </si>
  <si>
    <t>ev_plants</t>
  </si>
  <si>
    <t>mixed_plants</t>
  </si>
  <si>
    <t>rd_expenditure_pct</t>
  </si>
  <si>
    <t>innovation_potential</t>
  </si>
  <si>
    <t>future_assets</t>
  </si>
  <si>
    <t>transition_score</t>
  </si>
  <si>
    <t>industrial_readiness</t>
  </si>
  <si>
    <t>ravi_raw</t>
  </si>
  <si>
    <t>NUTS2 Region</t>
  </si>
  <si>
    <t>Plants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</si>
</sst>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95AFC-98F0-4F7B-8D66-95C71072E109}">
  <dimension ref="A1:K566"/>
  <sheetViews>
    <sheetView tabSelected="1" workbookViewId="0">
      <selection activeCell="B20" sqref="B20"/>
    </sheetView>
  </sheetViews>
  <sheetFormatPr defaultRowHeight="14.4" x14ac:dyDescent="0.3"/>
  <cols>
    <col min="1" max="16384" width="8.88671875" style="4"/>
  </cols>
  <sheetData>
    <row r="1" spans="1:11" x14ac:dyDescent="0.3">
      <c r="A1" s="1" t="s">
        <v>454</v>
      </c>
      <c r="B1" s="1" t="s">
        <v>453</v>
      </c>
      <c r="C1" s="1" t="s">
        <v>428</v>
      </c>
      <c r="D1" s="1" t="s">
        <v>429</v>
      </c>
      <c r="E1" s="1" t="s">
        <v>430</v>
      </c>
      <c r="F1" s="1" t="s">
        <v>431</v>
      </c>
      <c r="J1" s="1" t="s">
        <v>428</v>
      </c>
      <c r="K1" s="1" t="s">
        <v>429</v>
      </c>
    </row>
    <row r="2" spans="1:11" x14ac:dyDescent="0.3">
      <c r="A2" s="4" t="s">
        <v>25</v>
      </c>
      <c r="B2" s="4" t="str">
        <f>RIGHT(A2,LEN(A2)-FIND("@",SUBSTITUTE(A2,"_","@",LEN(A2)-LEN(SUBSTITUTE(A2,"_","")))))</f>
        <v>DE94</v>
      </c>
      <c r="C2" s="4">
        <v>1</v>
      </c>
      <c r="D2" s="4" t="s">
        <v>432</v>
      </c>
      <c r="E2" s="4" t="s">
        <v>433</v>
      </c>
      <c r="F2" s="4" t="s">
        <v>48</v>
      </c>
      <c r="J2" s="4">
        <v>1</v>
      </c>
      <c r="K2" s="4" t="s">
        <v>432</v>
      </c>
    </row>
    <row r="3" spans="1:11" x14ac:dyDescent="0.3">
      <c r="A3" s="4" t="s">
        <v>25</v>
      </c>
      <c r="B3" s="4" t="str">
        <f t="shared" ref="B3:B66" si="0">RIGHT(A3,LEN(A3)-FIND("@",SUBSTITUTE(A3,"_","@",LEN(A3)-LEN(SUBSTITUTE(A3,"_","")))))</f>
        <v>DE94</v>
      </c>
      <c r="C3" s="4">
        <v>2</v>
      </c>
      <c r="D3" s="4" t="s">
        <v>434</v>
      </c>
      <c r="E3" s="4" t="s">
        <v>433</v>
      </c>
      <c r="F3" s="4" t="s">
        <v>31</v>
      </c>
      <c r="J3" s="4">
        <v>2</v>
      </c>
      <c r="K3" s="4" t="s">
        <v>434</v>
      </c>
    </row>
    <row r="4" spans="1:11" x14ac:dyDescent="0.3">
      <c r="A4" s="4" t="s">
        <v>34</v>
      </c>
      <c r="B4" s="4" t="str">
        <f t="shared" si="0"/>
        <v>DE21</v>
      </c>
      <c r="C4" s="4">
        <v>1</v>
      </c>
      <c r="D4" s="4" t="s">
        <v>435</v>
      </c>
      <c r="E4" s="4" t="s">
        <v>436</v>
      </c>
      <c r="F4" s="4" t="s">
        <v>48</v>
      </c>
      <c r="J4" s="4">
        <v>1</v>
      </c>
      <c r="K4" s="4" t="s">
        <v>435</v>
      </c>
    </row>
    <row r="5" spans="1:11" x14ac:dyDescent="0.3">
      <c r="A5" s="4" t="s">
        <v>42</v>
      </c>
      <c r="B5" s="4" t="str">
        <f t="shared" si="0"/>
        <v>DED4</v>
      </c>
      <c r="C5" s="4">
        <v>1</v>
      </c>
      <c r="D5" s="4" t="s">
        <v>432</v>
      </c>
      <c r="E5" s="4" t="s">
        <v>433</v>
      </c>
      <c r="F5" s="4" t="s">
        <v>48</v>
      </c>
      <c r="J5" s="4">
        <v>3</v>
      </c>
      <c r="K5" s="4" t="s">
        <v>437</v>
      </c>
    </row>
    <row r="6" spans="1:11" x14ac:dyDescent="0.3">
      <c r="A6" s="4" t="s">
        <v>42</v>
      </c>
      <c r="B6" s="4" t="str">
        <f t="shared" si="0"/>
        <v>DED4</v>
      </c>
      <c r="C6" s="4">
        <v>2</v>
      </c>
      <c r="D6" s="4" t="s">
        <v>434</v>
      </c>
      <c r="E6" s="4" t="s">
        <v>433</v>
      </c>
      <c r="F6" s="4" t="s">
        <v>48</v>
      </c>
      <c r="J6" s="4">
        <v>4</v>
      </c>
      <c r="K6" s="4" t="s">
        <v>438</v>
      </c>
    </row>
    <row r="7" spans="1:11" x14ac:dyDescent="0.3">
      <c r="A7" s="4" t="s">
        <v>42</v>
      </c>
      <c r="B7" s="4" t="str">
        <f t="shared" si="0"/>
        <v>DED4</v>
      </c>
      <c r="C7" s="4">
        <v>3</v>
      </c>
      <c r="D7" s="4" t="s">
        <v>437</v>
      </c>
      <c r="E7" s="4" t="s">
        <v>433</v>
      </c>
      <c r="F7" s="4" t="s">
        <v>48</v>
      </c>
      <c r="J7" s="4">
        <v>2</v>
      </c>
      <c r="K7" s="4" t="s">
        <v>437</v>
      </c>
    </row>
    <row r="8" spans="1:11" x14ac:dyDescent="0.3">
      <c r="A8" s="4" t="s">
        <v>42</v>
      </c>
      <c r="B8" s="4" t="str">
        <f t="shared" si="0"/>
        <v>DED4</v>
      </c>
      <c r="C8" s="4">
        <v>4</v>
      </c>
      <c r="D8" s="4" t="s">
        <v>438</v>
      </c>
      <c r="E8" s="4" t="s">
        <v>433</v>
      </c>
      <c r="F8" s="4" t="s">
        <v>31</v>
      </c>
      <c r="J8" s="4">
        <v>1</v>
      </c>
      <c r="K8" s="4" t="s">
        <v>437</v>
      </c>
    </row>
    <row r="9" spans="1:11" x14ac:dyDescent="0.3">
      <c r="A9" s="4" t="s">
        <v>50</v>
      </c>
      <c r="B9" s="4" t="str">
        <f t="shared" si="0"/>
        <v>DE91</v>
      </c>
      <c r="C9" s="4">
        <v>1</v>
      </c>
      <c r="D9" s="4" t="s">
        <v>435</v>
      </c>
      <c r="E9" s="4" t="s">
        <v>436</v>
      </c>
      <c r="F9" s="4" t="s">
        <v>48</v>
      </c>
      <c r="J9" s="4">
        <v>2</v>
      </c>
      <c r="K9" s="4" t="s">
        <v>439</v>
      </c>
    </row>
    <row r="10" spans="1:11" x14ac:dyDescent="0.3">
      <c r="A10" s="4" t="s">
        <v>56</v>
      </c>
      <c r="B10" s="4" t="str">
        <f t="shared" si="0"/>
        <v>DE12</v>
      </c>
      <c r="C10" s="4">
        <v>1</v>
      </c>
      <c r="D10" s="4" t="s">
        <v>435</v>
      </c>
      <c r="E10" s="4" t="s">
        <v>436</v>
      </c>
      <c r="F10" s="4" t="s">
        <v>31</v>
      </c>
      <c r="J10" s="4">
        <v>3</v>
      </c>
      <c r="K10" s="4" t="s">
        <v>438</v>
      </c>
    </row>
    <row r="11" spans="1:11" x14ac:dyDescent="0.3">
      <c r="A11" s="4" t="s">
        <v>56</v>
      </c>
      <c r="B11" s="4" t="str">
        <f t="shared" si="0"/>
        <v>DE12</v>
      </c>
      <c r="C11" s="4">
        <v>2</v>
      </c>
      <c r="D11" s="4" t="s">
        <v>437</v>
      </c>
      <c r="E11" s="4" t="s">
        <v>433</v>
      </c>
      <c r="F11" s="4" t="s">
        <v>31</v>
      </c>
      <c r="J11" s="4">
        <v>4</v>
      </c>
      <c r="K11" s="4" t="s">
        <v>439</v>
      </c>
    </row>
    <row r="12" spans="1:11" x14ac:dyDescent="0.3">
      <c r="A12" s="4" t="s">
        <v>62</v>
      </c>
      <c r="B12" s="4" t="str">
        <f t="shared" si="0"/>
        <v>DEG0</v>
      </c>
      <c r="C12" s="4">
        <v>1</v>
      </c>
      <c r="D12" s="4" t="s">
        <v>435</v>
      </c>
      <c r="E12" s="4" t="s">
        <v>436</v>
      </c>
      <c r="F12" s="4" t="s">
        <v>48</v>
      </c>
      <c r="J12" s="4">
        <v>4</v>
      </c>
      <c r="K12" s="4" t="s">
        <v>440</v>
      </c>
    </row>
    <row r="13" spans="1:11" x14ac:dyDescent="0.3">
      <c r="A13" s="4" t="s">
        <v>69</v>
      </c>
      <c r="B13" s="4" t="str">
        <f t="shared" si="0"/>
        <v>DE21</v>
      </c>
      <c r="C13" s="4">
        <v>1</v>
      </c>
      <c r="D13" s="4" t="s">
        <v>437</v>
      </c>
      <c r="E13" s="4" t="s">
        <v>433</v>
      </c>
      <c r="F13" s="4" t="s">
        <v>48</v>
      </c>
      <c r="J13" s="4">
        <v>1</v>
      </c>
      <c r="K13" s="4" t="s">
        <v>434</v>
      </c>
    </row>
    <row r="14" spans="1:11" x14ac:dyDescent="0.3">
      <c r="A14" s="4" t="s">
        <v>69</v>
      </c>
      <c r="B14" s="4" t="str">
        <f t="shared" si="0"/>
        <v>DE21</v>
      </c>
      <c r="C14" s="4">
        <v>2</v>
      </c>
      <c r="D14" s="4" t="s">
        <v>439</v>
      </c>
      <c r="E14" s="4" t="s">
        <v>433</v>
      </c>
      <c r="F14" s="4" t="s">
        <v>48</v>
      </c>
      <c r="J14" s="4">
        <v>3</v>
      </c>
      <c r="K14" s="4" t="s">
        <v>435</v>
      </c>
    </row>
    <row r="15" spans="1:11" x14ac:dyDescent="0.3">
      <c r="A15" s="4" t="s">
        <v>74</v>
      </c>
      <c r="B15" s="4" t="str">
        <f t="shared" si="0"/>
        <v>DE27</v>
      </c>
      <c r="C15" s="4">
        <v>1</v>
      </c>
      <c r="D15" s="4" t="s">
        <v>432</v>
      </c>
      <c r="E15" s="4" t="s">
        <v>433</v>
      </c>
      <c r="F15" s="4" t="s">
        <v>48</v>
      </c>
      <c r="J15" s="4">
        <v>1</v>
      </c>
      <c r="K15" s="4" t="s">
        <v>442</v>
      </c>
    </row>
    <row r="16" spans="1:11" x14ac:dyDescent="0.3">
      <c r="A16" s="4" t="s">
        <v>74</v>
      </c>
      <c r="B16" s="4" t="str">
        <f t="shared" si="0"/>
        <v>DE27</v>
      </c>
      <c r="C16" s="4">
        <v>2</v>
      </c>
      <c r="D16" s="4" t="s">
        <v>434</v>
      </c>
      <c r="E16" s="4" t="s">
        <v>433</v>
      </c>
      <c r="F16" s="4" t="s">
        <v>31</v>
      </c>
      <c r="J16" s="4">
        <v>2</v>
      </c>
      <c r="K16" s="4" t="s">
        <v>438</v>
      </c>
    </row>
    <row r="17" spans="1:11" x14ac:dyDescent="0.3">
      <c r="A17" s="4" t="s">
        <v>74</v>
      </c>
      <c r="B17" s="4" t="str">
        <f t="shared" si="0"/>
        <v>DE27</v>
      </c>
      <c r="C17" s="4">
        <v>3</v>
      </c>
      <c r="D17" s="4" t="s">
        <v>437</v>
      </c>
      <c r="E17" s="4" t="s">
        <v>433</v>
      </c>
      <c r="F17" s="4" t="s">
        <v>31</v>
      </c>
      <c r="J17" s="4">
        <v>3</v>
      </c>
      <c r="K17" s="4" t="s">
        <v>439</v>
      </c>
    </row>
    <row r="18" spans="1:11" x14ac:dyDescent="0.3">
      <c r="A18" s="4" t="s">
        <v>74</v>
      </c>
      <c r="B18" s="4" t="str">
        <f t="shared" si="0"/>
        <v>DE27</v>
      </c>
      <c r="C18" s="4">
        <v>4</v>
      </c>
      <c r="D18" s="4" t="s">
        <v>438</v>
      </c>
      <c r="E18" s="4" t="s">
        <v>433</v>
      </c>
      <c r="F18" s="4" t="s">
        <v>31</v>
      </c>
      <c r="J18" s="4">
        <v>3</v>
      </c>
      <c r="K18" s="4" t="s">
        <v>434</v>
      </c>
    </row>
    <row r="19" spans="1:11" x14ac:dyDescent="0.3">
      <c r="A19" s="4" t="s">
        <v>80</v>
      </c>
      <c r="B19" s="4" t="str">
        <f t="shared" si="0"/>
        <v>DE12</v>
      </c>
      <c r="C19" s="4">
        <v>1</v>
      </c>
      <c r="D19" s="4" t="s">
        <v>432</v>
      </c>
      <c r="E19" s="4" t="s">
        <v>433</v>
      </c>
      <c r="F19" s="4" t="s">
        <v>48</v>
      </c>
      <c r="J19" s="4">
        <v>2</v>
      </c>
      <c r="K19" s="4" t="s">
        <v>435</v>
      </c>
    </row>
    <row r="20" spans="1:11" x14ac:dyDescent="0.3">
      <c r="A20" s="4" t="s">
        <v>80</v>
      </c>
      <c r="B20" s="4" t="str">
        <f t="shared" si="0"/>
        <v>DE12</v>
      </c>
      <c r="C20" s="4">
        <v>2</v>
      </c>
      <c r="D20" s="4" t="s">
        <v>434</v>
      </c>
      <c r="E20" s="4" t="s">
        <v>433</v>
      </c>
      <c r="F20" s="4" t="s">
        <v>48</v>
      </c>
      <c r="J20" s="4">
        <v>4</v>
      </c>
      <c r="K20" s="4" t="s">
        <v>437</v>
      </c>
    </row>
    <row r="21" spans="1:11" x14ac:dyDescent="0.3">
      <c r="A21" s="4" t="s">
        <v>80</v>
      </c>
      <c r="B21" s="4" t="str">
        <f t="shared" si="0"/>
        <v>DE12</v>
      </c>
      <c r="C21" s="4">
        <v>3</v>
      </c>
      <c r="D21" s="4" t="s">
        <v>438</v>
      </c>
      <c r="E21" s="4" t="s">
        <v>433</v>
      </c>
      <c r="F21" s="4" t="s">
        <v>31</v>
      </c>
      <c r="J21" s="4">
        <v>1</v>
      </c>
      <c r="K21" s="4" t="s">
        <v>439</v>
      </c>
    </row>
    <row r="22" spans="1:11" x14ac:dyDescent="0.3">
      <c r="A22" s="4" t="s">
        <v>84</v>
      </c>
      <c r="B22" s="4" t="str">
        <f t="shared" si="0"/>
        <v>DE23</v>
      </c>
      <c r="C22" s="4">
        <v>1</v>
      </c>
      <c r="D22" s="4" t="s">
        <v>437</v>
      </c>
      <c r="E22" s="4" t="s">
        <v>433</v>
      </c>
      <c r="F22" s="4" t="s">
        <v>48</v>
      </c>
      <c r="J22" s="4">
        <v>2</v>
      </c>
      <c r="K22" s="4" t="s">
        <v>440</v>
      </c>
    </row>
    <row r="23" spans="1:11" x14ac:dyDescent="0.3">
      <c r="A23" s="4" t="s">
        <v>90</v>
      </c>
      <c r="B23" s="4" t="str">
        <f t="shared" si="0"/>
        <v>DE91</v>
      </c>
      <c r="C23" s="4">
        <v>1</v>
      </c>
      <c r="D23" s="4" t="s">
        <v>435</v>
      </c>
      <c r="E23" s="4" t="s">
        <v>436</v>
      </c>
      <c r="F23" s="4" t="s">
        <v>48</v>
      </c>
      <c r="J23" s="4">
        <v>1</v>
      </c>
      <c r="K23" s="4" t="s">
        <v>438</v>
      </c>
    </row>
    <row r="24" spans="1:11" x14ac:dyDescent="0.3">
      <c r="A24" s="4" t="s">
        <v>92</v>
      </c>
      <c r="B24" s="4" t="str">
        <f t="shared" si="0"/>
        <v>DE91</v>
      </c>
      <c r="C24" s="4">
        <v>1</v>
      </c>
      <c r="D24" s="4" t="s">
        <v>432</v>
      </c>
      <c r="E24" s="4" t="s">
        <v>433</v>
      </c>
      <c r="F24" s="4" t="s">
        <v>48</v>
      </c>
      <c r="J24" s="4">
        <v>3</v>
      </c>
      <c r="K24" s="4" t="s">
        <v>442</v>
      </c>
    </row>
    <row r="25" spans="1:11" x14ac:dyDescent="0.3">
      <c r="A25" s="4" t="s">
        <v>92</v>
      </c>
      <c r="B25" s="4" t="str">
        <f t="shared" si="0"/>
        <v>DE91</v>
      </c>
      <c r="C25" s="4">
        <v>2</v>
      </c>
      <c r="D25" s="4" t="s">
        <v>434</v>
      </c>
      <c r="E25" s="4" t="s">
        <v>433</v>
      </c>
      <c r="F25" s="4" t="s">
        <v>48</v>
      </c>
      <c r="J25" s="4">
        <v>3</v>
      </c>
      <c r="K25" s="4" t="s">
        <v>440</v>
      </c>
    </row>
    <row r="26" spans="1:11" x14ac:dyDescent="0.3">
      <c r="A26" s="4" t="s">
        <v>92</v>
      </c>
      <c r="B26" s="4" t="str">
        <f t="shared" si="0"/>
        <v>DE91</v>
      </c>
      <c r="C26" s="4">
        <v>3</v>
      </c>
      <c r="D26" s="4" t="s">
        <v>438</v>
      </c>
      <c r="E26" s="4" t="s">
        <v>433</v>
      </c>
      <c r="F26" s="4" t="s">
        <v>31</v>
      </c>
      <c r="J26" s="4">
        <v>4</v>
      </c>
      <c r="K26" s="4" t="s">
        <v>434</v>
      </c>
    </row>
    <row r="27" spans="1:11" x14ac:dyDescent="0.3">
      <c r="A27" s="4" t="s">
        <v>95</v>
      </c>
      <c r="B27" s="4" t="str">
        <f t="shared" si="0"/>
        <v>DE92</v>
      </c>
      <c r="C27" s="4">
        <v>1</v>
      </c>
      <c r="D27" s="4" t="s">
        <v>432</v>
      </c>
      <c r="E27" s="4" t="s">
        <v>433</v>
      </c>
      <c r="F27" s="4" t="s">
        <v>48</v>
      </c>
      <c r="J27" s="4">
        <v>3</v>
      </c>
      <c r="K27" s="4" t="s">
        <v>432</v>
      </c>
    </row>
    <row r="28" spans="1:11" x14ac:dyDescent="0.3">
      <c r="A28" s="4" t="s">
        <v>95</v>
      </c>
      <c r="B28" s="4" t="str">
        <f t="shared" si="0"/>
        <v>DE92</v>
      </c>
      <c r="C28" s="4">
        <v>2</v>
      </c>
      <c r="D28" s="4" t="s">
        <v>434</v>
      </c>
      <c r="E28" s="4" t="s">
        <v>433</v>
      </c>
      <c r="F28" s="4" t="s">
        <v>48</v>
      </c>
      <c r="J28" s="4">
        <v>1</v>
      </c>
      <c r="K28" s="4" t="s">
        <v>440</v>
      </c>
    </row>
    <row r="29" spans="1:11" x14ac:dyDescent="0.3">
      <c r="A29" s="4" t="s">
        <v>95</v>
      </c>
      <c r="B29" s="4" t="str">
        <f t="shared" si="0"/>
        <v>DE92</v>
      </c>
      <c r="C29" s="4">
        <v>3</v>
      </c>
      <c r="D29" s="4" t="s">
        <v>438</v>
      </c>
      <c r="E29" s="4" t="s">
        <v>433</v>
      </c>
      <c r="F29" s="4" t="s">
        <v>31</v>
      </c>
    </row>
    <row r="30" spans="1:11" x14ac:dyDescent="0.3">
      <c r="A30" s="4" t="s">
        <v>95</v>
      </c>
      <c r="B30" s="4" t="str">
        <f t="shared" si="0"/>
        <v>DE92</v>
      </c>
      <c r="C30" s="4">
        <v>4</v>
      </c>
      <c r="D30" s="4" t="s">
        <v>439</v>
      </c>
      <c r="E30" s="4" t="s">
        <v>433</v>
      </c>
      <c r="F30" s="4" t="s">
        <v>31</v>
      </c>
      <c r="J30"/>
      <c r="K30"/>
    </row>
    <row r="31" spans="1:11" x14ac:dyDescent="0.3">
      <c r="A31" s="4" t="s">
        <v>100</v>
      </c>
      <c r="B31" s="4" t="str">
        <f t="shared" si="0"/>
        <v>DE94</v>
      </c>
      <c r="C31" s="4">
        <v>1</v>
      </c>
      <c r="D31" s="4" t="s">
        <v>432</v>
      </c>
      <c r="E31" s="4" t="s">
        <v>433</v>
      </c>
      <c r="F31" s="4" t="s">
        <v>48</v>
      </c>
      <c r="J31"/>
      <c r="K31"/>
    </row>
    <row r="32" spans="1:11" x14ac:dyDescent="0.3">
      <c r="A32" s="4" t="s">
        <v>100</v>
      </c>
      <c r="B32" s="4" t="str">
        <f t="shared" si="0"/>
        <v>DE94</v>
      </c>
      <c r="C32" s="4">
        <v>2</v>
      </c>
      <c r="D32" s="4" t="s">
        <v>434</v>
      </c>
      <c r="E32" s="4" t="s">
        <v>433</v>
      </c>
      <c r="F32" s="4" t="s">
        <v>48</v>
      </c>
      <c r="J32"/>
      <c r="K32"/>
    </row>
    <row r="33" spans="1:11" x14ac:dyDescent="0.3">
      <c r="A33" s="4" t="s">
        <v>104</v>
      </c>
      <c r="B33" s="4" t="str">
        <f t="shared" si="0"/>
        <v>DE22</v>
      </c>
      <c r="C33" s="4">
        <v>1</v>
      </c>
      <c r="D33" s="4" t="s">
        <v>432</v>
      </c>
      <c r="E33" s="4" t="s">
        <v>433</v>
      </c>
      <c r="F33" s="4" t="s">
        <v>48</v>
      </c>
      <c r="J33"/>
      <c r="K33"/>
    </row>
    <row r="34" spans="1:11" x14ac:dyDescent="0.3">
      <c r="A34" s="4" t="s">
        <v>104</v>
      </c>
      <c r="B34" s="4" t="str">
        <f t="shared" si="0"/>
        <v>DE22</v>
      </c>
      <c r="C34" s="4">
        <v>2</v>
      </c>
      <c r="D34" s="4" t="s">
        <v>434</v>
      </c>
      <c r="E34" s="4" t="s">
        <v>433</v>
      </c>
      <c r="F34" s="4" t="s">
        <v>48</v>
      </c>
      <c r="J34"/>
      <c r="K34"/>
    </row>
    <row r="35" spans="1:11" x14ac:dyDescent="0.3">
      <c r="A35" s="4" t="s">
        <v>104</v>
      </c>
      <c r="B35" s="4" t="str">
        <f t="shared" si="0"/>
        <v>DE22</v>
      </c>
      <c r="C35" s="4">
        <v>3</v>
      </c>
      <c r="D35" s="4" t="s">
        <v>437</v>
      </c>
      <c r="E35" s="4" t="s">
        <v>433</v>
      </c>
      <c r="F35" s="4" t="s">
        <v>31</v>
      </c>
      <c r="J35"/>
      <c r="K35"/>
    </row>
    <row r="36" spans="1:11" x14ac:dyDescent="0.3">
      <c r="A36" s="4" t="s">
        <v>104</v>
      </c>
      <c r="B36" s="4" t="str">
        <f t="shared" si="0"/>
        <v>DE22</v>
      </c>
      <c r="C36" s="4">
        <v>4</v>
      </c>
      <c r="D36" s="4" t="s">
        <v>440</v>
      </c>
      <c r="E36" s="4" t="s">
        <v>441</v>
      </c>
      <c r="F36" s="4" t="s">
        <v>31</v>
      </c>
      <c r="J36"/>
      <c r="K36"/>
    </row>
    <row r="37" spans="1:11" x14ac:dyDescent="0.3">
      <c r="A37" s="4" t="s">
        <v>110</v>
      </c>
      <c r="B37" s="4" t="str">
        <f t="shared" si="0"/>
        <v>DEA2</v>
      </c>
      <c r="C37" s="4">
        <v>1</v>
      </c>
      <c r="D37" s="4" t="s">
        <v>435</v>
      </c>
      <c r="E37" s="4" t="s">
        <v>436</v>
      </c>
      <c r="F37" s="4" t="s">
        <v>48</v>
      </c>
      <c r="J37"/>
      <c r="K37"/>
    </row>
    <row r="38" spans="1:11" x14ac:dyDescent="0.3">
      <c r="A38" s="4" t="s">
        <v>115</v>
      </c>
      <c r="B38" s="4" t="str">
        <f t="shared" si="0"/>
        <v>DEA1</v>
      </c>
      <c r="C38" s="4">
        <v>1</v>
      </c>
      <c r="D38" s="4" t="s">
        <v>434</v>
      </c>
      <c r="E38" s="4" t="s">
        <v>433</v>
      </c>
      <c r="F38" s="4" t="s">
        <v>48</v>
      </c>
      <c r="J38"/>
      <c r="K38"/>
    </row>
    <row r="39" spans="1:11" x14ac:dyDescent="0.3">
      <c r="A39" s="4" t="s">
        <v>121</v>
      </c>
      <c r="B39" s="4" t="str">
        <f t="shared" si="0"/>
        <v>DEC0</v>
      </c>
      <c r="C39" s="4">
        <v>1</v>
      </c>
      <c r="D39" s="4" t="s">
        <v>437</v>
      </c>
      <c r="E39" s="4" t="s">
        <v>433</v>
      </c>
      <c r="F39" s="4" t="s">
        <v>48</v>
      </c>
      <c r="J39"/>
      <c r="K39"/>
    </row>
    <row r="40" spans="1:11" x14ac:dyDescent="0.3">
      <c r="A40" s="4" t="s">
        <v>121</v>
      </c>
      <c r="B40" s="4" t="str">
        <f t="shared" si="0"/>
        <v>DEC0</v>
      </c>
      <c r="C40" s="4">
        <v>2</v>
      </c>
      <c r="D40" s="4" t="s">
        <v>434</v>
      </c>
      <c r="E40" s="4" t="s">
        <v>433</v>
      </c>
      <c r="F40" s="4" t="s">
        <v>31</v>
      </c>
      <c r="J40"/>
      <c r="K40"/>
    </row>
    <row r="41" spans="1:11" x14ac:dyDescent="0.3">
      <c r="A41" s="4" t="s">
        <v>121</v>
      </c>
      <c r="B41" s="4" t="str">
        <f t="shared" si="0"/>
        <v>DEC0</v>
      </c>
      <c r="C41" s="4">
        <v>3</v>
      </c>
      <c r="D41" s="4" t="s">
        <v>435</v>
      </c>
      <c r="E41" s="4" t="s">
        <v>433</v>
      </c>
      <c r="F41" s="4" t="s">
        <v>31</v>
      </c>
      <c r="J41"/>
      <c r="K41"/>
    </row>
    <row r="42" spans="1:11" x14ac:dyDescent="0.3">
      <c r="A42" s="4" t="s">
        <v>127</v>
      </c>
      <c r="B42" s="4" t="str">
        <f t="shared" si="0"/>
        <v>DE22</v>
      </c>
      <c r="C42" s="4">
        <v>1</v>
      </c>
      <c r="D42" s="4" t="s">
        <v>442</v>
      </c>
      <c r="E42" s="4" t="s">
        <v>441</v>
      </c>
      <c r="F42" s="4" t="s">
        <v>48</v>
      </c>
      <c r="J42"/>
      <c r="K42"/>
    </row>
    <row r="43" spans="1:11" x14ac:dyDescent="0.3">
      <c r="A43" s="4" t="s">
        <v>127</v>
      </c>
      <c r="B43" s="4" t="str">
        <f t="shared" si="0"/>
        <v>DE22</v>
      </c>
      <c r="C43" s="4">
        <v>2</v>
      </c>
      <c r="D43" s="4" t="s">
        <v>438</v>
      </c>
      <c r="E43" s="4" t="s">
        <v>433</v>
      </c>
      <c r="F43" s="4" t="s">
        <v>48</v>
      </c>
      <c r="J43"/>
      <c r="K43"/>
    </row>
    <row r="44" spans="1:11" x14ac:dyDescent="0.3">
      <c r="A44" s="4" t="s">
        <v>127</v>
      </c>
      <c r="B44" s="4" t="str">
        <f t="shared" si="0"/>
        <v>DE22</v>
      </c>
      <c r="C44" s="4">
        <v>3</v>
      </c>
      <c r="D44" s="4" t="s">
        <v>439</v>
      </c>
      <c r="E44" s="4" t="s">
        <v>433</v>
      </c>
      <c r="F44" s="4" t="s">
        <v>31</v>
      </c>
      <c r="J44"/>
      <c r="K44"/>
    </row>
    <row r="45" spans="1:11" x14ac:dyDescent="0.3">
      <c r="A45" s="4" t="s">
        <v>131</v>
      </c>
      <c r="B45" s="4" t="str">
        <f t="shared" si="0"/>
        <v>DE11</v>
      </c>
      <c r="C45" s="4">
        <v>1</v>
      </c>
      <c r="D45" s="4" t="s">
        <v>435</v>
      </c>
      <c r="E45" s="4" t="s">
        <v>436</v>
      </c>
      <c r="F45" s="4" t="s">
        <v>48</v>
      </c>
      <c r="J45"/>
      <c r="K45"/>
    </row>
    <row r="46" spans="1:11" x14ac:dyDescent="0.3">
      <c r="A46" s="4" t="s">
        <v>131</v>
      </c>
      <c r="B46" s="4" t="str">
        <f t="shared" si="0"/>
        <v>DE11</v>
      </c>
      <c r="C46" s="4">
        <v>2</v>
      </c>
      <c r="D46" s="4" t="s">
        <v>438</v>
      </c>
      <c r="E46" s="4" t="s">
        <v>433</v>
      </c>
      <c r="F46" s="4" t="s">
        <v>48</v>
      </c>
      <c r="J46"/>
      <c r="K46"/>
    </row>
    <row r="47" spans="1:11" x14ac:dyDescent="0.3">
      <c r="A47" s="4" t="s">
        <v>131</v>
      </c>
      <c r="B47" s="4" t="str">
        <f t="shared" si="0"/>
        <v>DE11</v>
      </c>
      <c r="C47" s="4">
        <v>3</v>
      </c>
      <c r="D47" s="4" t="s">
        <v>434</v>
      </c>
      <c r="E47" s="4" t="s">
        <v>433</v>
      </c>
      <c r="F47" s="4" t="s">
        <v>31</v>
      </c>
      <c r="J47"/>
      <c r="K47"/>
    </row>
    <row r="48" spans="1:11" x14ac:dyDescent="0.3">
      <c r="A48" s="4" t="s">
        <v>137</v>
      </c>
      <c r="B48" s="4" t="str">
        <f t="shared" si="0"/>
        <v>DEA5</v>
      </c>
      <c r="C48" s="4">
        <v>1</v>
      </c>
      <c r="D48" s="4" t="s">
        <v>437</v>
      </c>
      <c r="E48" s="4" t="s">
        <v>433</v>
      </c>
      <c r="F48" s="4" t="s">
        <v>48</v>
      </c>
      <c r="J48"/>
      <c r="K48"/>
    </row>
    <row r="49" spans="1:11" x14ac:dyDescent="0.3">
      <c r="A49" s="4" t="s">
        <v>137</v>
      </c>
      <c r="B49" s="4" t="str">
        <f t="shared" si="0"/>
        <v>DEA5</v>
      </c>
      <c r="C49" s="4">
        <v>2</v>
      </c>
      <c r="D49" s="4" t="s">
        <v>434</v>
      </c>
      <c r="E49" s="4" t="s">
        <v>433</v>
      </c>
      <c r="F49" s="4" t="s">
        <v>31</v>
      </c>
      <c r="J49"/>
      <c r="K49"/>
    </row>
    <row r="50" spans="1:11" x14ac:dyDescent="0.3">
      <c r="A50" s="4" t="s">
        <v>143</v>
      </c>
      <c r="B50" s="4" t="str">
        <f t="shared" si="0"/>
        <v>DEC0</v>
      </c>
      <c r="C50" s="4">
        <v>1</v>
      </c>
      <c r="D50" s="4" t="s">
        <v>432</v>
      </c>
      <c r="E50" s="4" t="s">
        <v>433</v>
      </c>
      <c r="F50" s="4" t="s">
        <v>48</v>
      </c>
      <c r="J50"/>
      <c r="K50"/>
    </row>
    <row r="51" spans="1:11" x14ac:dyDescent="0.3">
      <c r="A51" s="4" t="s">
        <v>143</v>
      </c>
      <c r="B51" s="4" t="str">
        <f t="shared" si="0"/>
        <v>DEC0</v>
      </c>
      <c r="C51" s="4">
        <v>2</v>
      </c>
      <c r="D51" s="4" t="s">
        <v>434</v>
      </c>
      <c r="E51" s="4" t="s">
        <v>433</v>
      </c>
      <c r="F51" s="4" t="s">
        <v>31</v>
      </c>
      <c r="J51"/>
      <c r="K51"/>
    </row>
    <row r="52" spans="1:11" x14ac:dyDescent="0.3">
      <c r="A52" s="4" t="s">
        <v>146</v>
      </c>
      <c r="B52" s="4" t="str">
        <f t="shared" si="0"/>
        <v>DEA1</v>
      </c>
      <c r="C52" s="4">
        <v>1</v>
      </c>
      <c r="D52" s="4" t="s">
        <v>434</v>
      </c>
      <c r="E52" s="4" t="s">
        <v>433</v>
      </c>
      <c r="F52" s="4" t="s">
        <v>48</v>
      </c>
      <c r="J52"/>
      <c r="K52"/>
    </row>
    <row r="53" spans="1:11" x14ac:dyDescent="0.3">
      <c r="A53" s="4" t="s">
        <v>146</v>
      </c>
      <c r="B53" s="4" t="str">
        <f t="shared" si="0"/>
        <v>DEA1</v>
      </c>
      <c r="C53" s="4">
        <v>2</v>
      </c>
      <c r="D53" s="4" t="s">
        <v>435</v>
      </c>
      <c r="E53" s="4" t="s">
        <v>436</v>
      </c>
      <c r="F53" s="4" t="s">
        <v>31</v>
      </c>
      <c r="J53"/>
      <c r="K53"/>
    </row>
    <row r="54" spans="1:11" x14ac:dyDescent="0.3">
      <c r="A54" s="4" t="s">
        <v>146</v>
      </c>
      <c r="B54" s="4" t="str">
        <f t="shared" si="0"/>
        <v>DEA1</v>
      </c>
      <c r="C54" s="4">
        <v>3</v>
      </c>
      <c r="D54" s="4" t="s">
        <v>438</v>
      </c>
      <c r="E54" s="4" t="s">
        <v>433</v>
      </c>
      <c r="F54" s="4" t="s">
        <v>31</v>
      </c>
      <c r="J54"/>
      <c r="K54"/>
    </row>
    <row r="55" spans="1:11" x14ac:dyDescent="0.3">
      <c r="A55" s="4" t="s">
        <v>150</v>
      </c>
      <c r="B55" s="4" t="str">
        <f t="shared" si="0"/>
        <v>DE11</v>
      </c>
      <c r="C55" s="4">
        <v>1</v>
      </c>
      <c r="D55" s="4" t="s">
        <v>435</v>
      </c>
      <c r="E55" s="4" t="s">
        <v>436</v>
      </c>
      <c r="F55" s="4" t="s">
        <v>31</v>
      </c>
      <c r="J55"/>
      <c r="K55"/>
    </row>
    <row r="56" spans="1:11" x14ac:dyDescent="0.3">
      <c r="A56" s="4" t="s">
        <v>150</v>
      </c>
      <c r="B56" s="4" t="str">
        <f t="shared" si="0"/>
        <v>DE11</v>
      </c>
      <c r="C56" s="4">
        <v>2</v>
      </c>
      <c r="D56" s="4" t="s">
        <v>438</v>
      </c>
      <c r="E56" s="4" t="s">
        <v>433</v>
      </c>
      <c r="F56" s="4" t="s">
        <v>31</v>
      </c>
      <c r="J56"/>
      <c r="K56"/>
    </row>
    <row r="57" spans="1:11" x14ac:dyDescent="0.3">
      <c r="A57" s="4" t="s">
        <v>150</v>
      </c>
      <c r="B57" s="4" t="str">
        <f t="shared" si="0"/>
        <v>DE11</v>
      </c>
      <c r="C57" s="4">
        <v>3</v>
      </c>
      <c r="D57" s="4" t="s">
        <v>434</v>
      </c>
      <c r="E57" s="4" t="s">
        <v>433</v>
      </c>
      <c r="F57" s="4" t="s">
        <v>73</v>
      </c>
      <c r="J57"/>
      <c r="K57"/>
    </row>
    <row r="58" spans="1:11" x14ac:dyDescent="0.3">
      <c r="A58" s="4" t="s">
        <v>153</v>
      </c>
      <c r="B58" s="4" t="str">
        <f t="shared" si="0"/>
        <v>DEA4</v>
      </c>
      <c r="C58" s="4">
        <v>1</v>
      </c>
      <c r="D58" s="4" t="s">
        <v>432</v>
      </c>
      <c r="E58" s="4" t="s">
        <v>433</v>
      </c>
      <c r="F58" s="4" t="s">
        <v>48</v>
      </c>
      <c r="J58"/>
      <c r="K58"/>
    </row>
    <row r="59" spans="1:11" x14ac:dyDescent="0.3">
      <c r="A59" s="4" t="s">
        <v>153</v>
      </c>
      <c r="B59" s="4" t="str">
        <f t="shared" si="0"/>
        <v>DEA4</v>
      </c>
      <c r="C59" s="4">
        <v>2</v>
      </c>
      <c r="D59" s="4" t="s">
        <v>434</v>
      </c>
      <c r="E59" s="4" t="s">
        <v>433</v>
      </c>
      <c r="F59" s="4" t="s">
        <v>48</v>
      </c>
      <c r="J59"/>
      <c r="K59"/>
    </row>
    <row r="60" spans="1:11" x14ac:dyDescent="0.3">
      <c r="A60" s="4" t="s">
        <v>153</v>
      </c>
      <c r="B60" s="4" t="str">
        <f t="shared" si="0"/>
        <v>DEA4</v>
      </c>
      <c r="C60" s="4">
        <v>3</v>
      </c>
      <c r="D60" s="4" t="s">
        <v>438</v>
      </c>
      <c r="E60" s="4" t="s">
        <v>433</v>
      </c>
      <c r="F60" s="4" t="s">
        <v>31</v>
      </c>
      <c r="J60"/>
      <c r="K60"/>
    </row>
    <row r="61" spans="1:11" x14ac:dyDescent="0.3">
      <c r="A61" s="4" t="s">
        <v>153</v>
      </c>
      <c r="B61" s="4" t="str">
        <f t="shared" si="0"/>
        <v>DEA4</v>
      </c>
      <c r="C61" s="4">
        <v>4</v>
      </c>
      <c r="D61" s="4" t="s">
        <v>437</v>
      </c>
      <c r="E61" s="4" t="s">
        <v>433</v>
      </c>
      <c r="F61" s="4" t="s">
        <v>31</v>
      </c>
      <c r="J61"/>
      <c r="K61"/>
    </row>
    <row r="62" spans="1:11" x14ac:dyDescent="0.3">
      <c r="A62" s="4" t="s">
        <v>159</v>
      </c>
      <c r="B62" s="4" t="str">
        <f t="shared" si="0"/>
        <v>DED2</v>
      </c>
      <c r="C62" s="4">
        <v>1</v>
      </c>
      <c r="D62" s="4" t="s">
        <v>439</v>
      </c>
      <c r="E62" s="4" t="s">
        <v>433</v>
      </c>
      <c r="F62" s="4" t="s">
        <v>48</v>
      </c>
      <c r="J62"/>
      <c r="K62"/>
    </row>
    <row r="63" spans="1:11" x14ac:dyDescent="0.3">
      <c r="A63" s="4" t="s">
        <v>164</v>
      </c>
      <c r="B63" s="4" t="str">
        <f t="shared" si="0"/>
        <v>DE14</v>
      </c>
      <c r="C63" s="4">
        <v>1</v>
      </c>
      <c r="D63" s="4" t="s">
        <v>439</v>
      </c>
      <c r="E63" s="4" t="s">
        <v>433</v>
      </c>
      <c r="F63" s="4" t="s">
        <v>48</v>
      </c>
      <c r="J63"/>
      <c r="K63"/>
    </row>
    <row r="64" spans="1:11" x14ac:dyDescent="0.3">
      <c r="A64" s="4" t="s">
        <v>164</v>
      </c>
      <c r="B64" s="4" t="str">
        <f t="shared" si="0"/>
        <v>DE14</v>
      </c>
      <c r="C64" s="4">
        <v>2</v>
      </c>
      <c r="D64" s="4" t="s">
        <v>440</v>
      </c>
      <c r="E64" s="4" t="s">
        <v>441</v>
      </c>
      <c r="F64" s="4" t="s">
        <v>31</v>
      </c>
      <c r="J64"/>
      <c r="K64"/>
    </row>
    <row r="65" spans="1:11" x14ac:dyDescent="0.3">
      <c r="A65" s="4" t="s">
        <v>164</v>
      </c>
      <c r="B65" s="4" t="str">
        <f t="shared" si="0"/>
        <v>DE14</v>
      </c>
      <c r="C65" s="4">
        <v>3</v>
      </c>
      <c r="D65" s="4" t="s">
        <v>438</v>
      </c>
      <c r="E65" s="4" t="s">
        <v>433</v>
      </c>
      <c r="F65" s="4" t="s">
        <v>31</v>
      </c>
      <c r="J65"/>
      <c r="K65"/>
    </row>
    <row r="66" spans="1:11" x14ac:dyDescent="0.3">
      <c r="A66" s="4" t="s">
        <v>170</v>
      </c>
      <c r="B66" s="4" t="str">
        <f t="shared" si="0"/>
        <v>DE21</v>
      </c>
      <c r="C66" s="4">
        <v>1</v>
      </c>
      <c r="D66" s="4" t="s">
        <v>432</v>
      </c>
      <c r="E66" s="4" t="s">
        <v>433</v>
      </c>
      <c r="F66" s="4" t="s">
        <v>48</v>
      </c>
      <c r="J66"/>
      <c r="K66"/>
    </row>
    <row r="67" spans="1:11" x14ac:dyDescent="0.3">
      <c r="A67" s="4" t="s">
        <v>170</v>
      </c>
      <c r="B67" s="4" t="str">
        <f t="shared" ref="B67:B130" si="1">RIGHT(A67,LEN(A67)-FIND("@",SUBSTITUTE(A67,"_","@",LEN(A67)-LEN(SUBSTITUTE(A67,"_","")))))</f>
        <v>DE21</v>
      </c>
      <c r="C67" s="4">
        <v>2</v>
      </c>
      <c r="D67" s="4" t="s">
        <v>434</v>
      </c>
      <c r="E67" s="4" t="s">
        <v>433</v>
      </c>
      <c r="F67" s="4" t="s">
        <v>48</v>
      </c>
      <c r="J67"/>
      <c r="K67"/>
    </row>
    <row r="68" spans="1:11" x14ac:dyDescent="0.3">
      <c r="A68" s="4" t="s">
        <v>170</v>
      </c>
      <c r="B68" s="4" t="str">
        <f t="shared" si="1"/>
        <v>DE21</v>
      </c>
      <c r="C68" s="4">
        <v>3</v>
      </c>
      <c r="D68" s="4" t="s">
        <v>435</v>
      </c>
      <c r="E68" s="4" t="s">
        <v>436</v>
      </c>
      <c r="F68" s="4" t="s">
        <v>31</v>
      </c>
      <c r="J68"/>
      <c r="K68"/>
    </row>
    <row r="69" spans="1:11" x14ac:dyDescent="0.3">
      <c r="A69" s="4" t="s">
        <v>173</v>
      </c>
      <c r="B69" s="4" t="str">
        <f t="shared" si="1"/>
        <v>DEA5</v>
      </c>
      <c r="C69" s="4">
        <v>1</v>
      </c>
      <c r="D69" s="4" t="s">
        <v>437</v>
      </c>
      <c r="E69" s="4" t="s">
        <v>433</v>
      </c>
      <c r="F69" s="4" t="s">
        <v>48</v>
      </c>
      <c r="J69"/>
      <c r="K69"/>
    </row>
    <row r="70" spans="1:11" x14ac:dyDescent="0.3">
      <c r="A70" s="4" t="s">
        <v>173</v>
      </c>
      <c r="B70" s="4" t="str">
        <f t="shared" si="1"/>
        <v>DEA5</v>
      </c>
      <c r="C70" s="4">
        <v>2</v>
      </c>
      <c r="D70" s="4" t="s">
        <v>434</v>
      </c>
      <c r="E70" s="4" t="s">
        <v>433</v>
      </c>
      <c r="F70" s="4" t="s">
        <v>31</v>
      </c>
      <c r="J70"/>
      <c r="K70"/>
    </row>
    <row r="71" spans="1:11" x14ac:dyDescent="0.3">
      <c r="A71" s="4" t="s">
        <v>175</v>
      </c>
      <c r="B71" s="4" t="str">
        <f t="shared" si="1"/>
        <v>DE11</v>
      </c>
      <c r="C71" s="4">
        <v>1</v>
      </c>
      <c r="D71" s="4" t="s">
        <v>435</v>
      </c>
      <c r="E71" s="4" t="s">
        <v>436</v>
      </c>
      <c r="F71" s="4" t="s">
        <v>48</v>
      </c>
      <c r="J71"/>
      <c r="K71"/>
    </row>
    <row r="72" spans="1:11" x14ac:dyDescent="0.3">
      <c r="A72" s="4" t="s">
        <v>175</v>
      </c>
      <c r="B72" s="4" t="str">
        <f t="shared" si="1"/>
        <v>DE11</v>
      </c>
      <c r="C72" s="4">
        <v>2</v>
      </c>
      <c r="D72" s="4" t="s">
        <v>440</v>
      </c>
      <c r="E72" s="4" t="s">
        <v>441</v>
      </c>
      <c r="F72" s="4" t="s">
        <v>31</v>
      </c>
      <c r="J72"/>
      <c r="K72"/>
    </row>
    <row r="73" spans="1:11" x14ac:dyDescent="0.3">
      <c r="A73" s="4" t="s">
        <v>175</v>
      </c>
      <c r="B73" s="4" t="str">
        <f t="shared" si="1"/>
        <v>DE11</v>
      </c>
      <c r="C73" s="4">
        <v>3</v>
      </c>
      <c r="D73" s="4" t="s">
        <v>439</v>
      </c>
      <c r="E73" s="4" t="s">
        <v>433</v>
      </c>
      <c r="F73" s="4" t="s">
        <v>31</v>
      </c>
      <c r="J73"/>
      <c r="K73"/>
    </row>
    <row r="74" spans="1:11" x14ac:dyDescent="0.3">
      <c r="A74" s="4" t="s">
        <v>178</v>
      </c>
      <c r="B74" s="4" t="str">
        <f t="shared" si="1"/>
        <v>DE27</v>
      </c>
      <c r="C74" s="4">
        <v>1</v>
      </c>
      <c r="D74" s="4" t="s">
        <v>439</v>
      </c>
      <c r="E74" s="4" t="s">
        <v>433</v>
      </c>
      <c r="F74" s="4" t="s">
        <v>48</v>
      </c>
      <c r="J74"/>
      <c r="K74"/>
    </row>
    <row r="75" spans="1:11" x14ac:dyDescent="0.3">
      <c r="A75" s="4" t="s">
        <v>178</v>
      </c>
      <c r="B75" s="4" t="str">
        <f t="shared" si="1"/>
        <v>DE27</v>
      </c>
      <c r="C75" s="4">
        <v>2</v>
      </c>
      <c r="D75" s="4" t="s">
        <v>440</v>
      </c>
      <c r="E75" s="4" t="s">
        <v>441</v>
      </c>
      <c r="F75" s="4" t="s">
        <v>31</v>
      </c>
      <c r="J75"/>
      <c r="K75"/>
    </row>
    <row r="76" spans="1:11" x14ac:dyDescent="0.3">
      <c r="A76" s="4" t="s">
        <v>178</v>
      </c>
      <c r="B76" s="4" t="str">
        <f t="shared" si="1"/>
        <v>DE27</v>
      </c>
      <c r="C76" s="4">
        <v>3</v>
      </c>
      <c r="D76" s="4" t="s">
        <v>434</v>
      </c>
      <c r="E76" s="4" t="s">
        <v>433</v>
      </c>
      <c r="F76" s="4" t="s">
        <v>31</v>
      </c>
      <c r="J76"/>
      <c r="K76"/>
    </row>
    <row r="77" spans="1:11" x14ac:dyDescent="0.3">
      <c r="A77" s="4" t="s">
        <v>182</v>
      </c>
      <c r="B77" s="4" t="str">
        <f t="shared" si="1"/>
        <v>DE25</v>
      </c>
      <c r="C77" s="4">
        <v>1</v>
      </c>
      <c r="D77" s="4" t="s">
        <v>435</v>
      </c>
      <c r="E77" s="4" t="s">
        <v>433</v>
      </c>
      <c r="F77" s="4" t="s">
        <v>48</v>
      </c>
      <c r="J77"/>
      <c r="K77"/>
    </row>
    <row r="78" spans="1:11" x14ac:dyDescent="0.3">
      <c r="A78" s="4" t="s">
        <v>182</v>
      </c>
      <c r="B78" s="4" t="str">
        <f t="shared" si="1"/>
        <v>DE25</v>
      </c>
      <c r="C78" s="4">
        <v>2</v>
      </c>
      <c r="D78" s="4" t="s">
        <v>437</v>
      </c>
      <c r="E78" s="4" t="s">
        <v>433</v>
      </c>
      <c r="F78" s="4" t="s">
        <v>31</v>
      </c>
      <c r="J78"/>
      <c r="K78"/>
    </row>
    <row r="79" spans="1:11" x14ac:dyDescent="0.3">
      <c r="A79" s="4" t="s">
        <v>182</v>
      </c>
      <c r="B79" s="4" t="str">
        <f t="shared" si="1"/>
        <v>DE25</v>
      </c>
      <c r="C79" s="4">
        <v>3</v>
      </c>
      <c r="D79" s="4" t="s">
        <v>439</v>
      </c>
      <c r="E79" s="4" t="s">
        <v>433</v>
      </c>
      <c r="F79" s="4" t="s">
        <v>31</v>
      </c>
      <c r="J79"/>
      <c r="K79"/>
    </row>
    <row r="80" spans="1:11" x14ac:dyDescent="0.3">
      <c r="A80" s="4" t="s">
        <v>188</v>
      </c>
      <c r="B80" s="4" t="str">
        <f t="shared" si="1"/>
        <v>DED5</v>
      </c>
      <c r="C80" s="4">
        <v>1</v>
      </c>
      <c r="D80" s="4" t="s">
        <v>432</v>
      </c>
      <c r="E80" s="4" t="s">
        <v>433</v>
      </c>
      <c r="F80" s="4" t="s">
        <v>48</v>
      </c>
      <c r="J80"/>
      <c r="K80"/>
    </row>
    <row r="81" spans="1:11" x14ac:dyDescent="0.3">
      <c r="A81" s="4" t="s">
        <v>188</v>
      </c>
      <c r="B81" s="4" t="str">
        <f t="shared" si="1"/>
        <v>DED5</v>
      </c>
      <c r="C81" s="4">
        <v>2</v>
      </c>
      <c r="D81" s="4" t="s">
        <v>434</v>
      </c>
      <c r="E81" s="4" t="s">
        <v>433</v>
      </c>
      <c r="F81" s="4" t="s">
        <v>48</v>
      </c>
      <c r="J81"/>
      <c r="K81"/>
    </row>
    <row r="82" spans="1:11" x14ac:dyDescent="0.3">
      <c r="A82" s="4" t="s">
        <v>192</v>
      </c>
      <c r="B82" s="4" t="str">
        <f t="shared" si="1"/>
        <v>DE22</v>
      </c>
      <c r="C82" s="4">
        <v>1</v>
      </c>
      <c r="D82" s="4" t="s">
        <v>438</v>
      </c>
      <c r="E82" s="4" t="s">
        <v>433</v>
      </c>
      <c r="F82" s="4" t="s">
        <v>48</v>
      </c>
      <c r="J82"/>
      <c r="K82"/>
    </row>
    <row r="83" spans="1:11" x14ac:dyDescent="0.3">
      <c r="A83" s="4" t="s">
        <v>192</v>
      </c>
      <c r="B83" s="4" t="str">
        <f t="shared" si="1"/>
        <v>DE22</v>
      </c>
      <c r="C83" s="4">
        <v>2</v>
      </c>
      <c r="D83" s="4" t="s">
        <v>439</v>
      </c>
      <c r="E83" s="4" t="s">
        <v>433</v>
      </c>
      <c r="F83" s="4" t="s">
        <v>31</v>
      </c>
      <c r="J83"/>
      <c r="K83"/>
    </row>
    <row r="84" spans="1:11" x14ac:dyDescent="0.3">
      <c r="A84" s="4" t="s">
        <v>192</v>
      </c>
      <c r="B84" s="4" t="str">
        <f t="shared" si="1"/>
        <v>DE22</v>
      </c>
      <c r="C84" s="4">
        <v>3</v>
      </c>
      <c r="D84" s="4" t="s">
        <v>442</v>
      </c>
      <c r="E84" s="4" t="s">
        <v>441</v>
      </c>
      <c r="F84" s="4" t="s">
        <v>31</v>
      </c>
      <c r="J84"/>
      <c r="K84"/>
    </row>
    <row r="85" spans="1:11" x14ac:dyDescent="0.3">
      <c r="A85" s="4" t="s">
        <v>195</v>
      </c>
      <c r="B85" s="4" t="str">
        <f t="shared" si="1"/>
        <v>DE73</v>
      </c>
      <c r="C85" s="4">
        <v>1</v>
      </c>
      <c r="D85" s="4" t="s">
        <v>435</v>
      </c>
      <c r="E85" s="4" t="s">
        <v>436</v>
      </c>
      <c r="F85" s="4" t="s">
        <v>48</v>
      </c>
      <c r="J85"/>
      <c r="K85"/>
    </row>
    <row r="86" spans="1:11" x14ac:dyDescent="0.3">
      <c r="A86" s="4" t="s">
        <v>195</v>
      </c>
      <c r="B86" s="4" t="str">
        <f t="shared" si="1"/>
        <v>DE73</v>
      </c>
      <c r="C86" s="4">
        <v>2</v>
      </c>
      <c r="D86" s="4" t="s">
        <v>440</v>
      </c>
      <c r="E86" s="4" t="s">
        <v>441</v>
      </c>
      <c r="F86" s="4" t="s">
        <v>31</v>
      </c>
      <c r="J86"/>
      <c r="K86"/>
    </row>
    <row r="87" spans="1:11" x14ac:dyDescent="0.3">
      <c r="A87" s="4" t="s">
        <v>195</v>
      </c>
      <c r="B87" s="4" t="str">
        <f t="shared" si="1"/>
        <v>DE73</v>
      </c>
      <c r="C87" s="4">
        <v>3</v>
      </c>
      <c r="D87" s="4" t="s">
        <v>437</v>
      </c>
      <c r="E87" s="4" t="s">
        <v>433</v>
      </c>
      <c r="F87" s="4" t="s">
        <v>31</v>
      </c>
      <c r="J87"/>
      <c r="K87"/>
    </row>
    <row r="88" spans="1:11" x14ac:dyDescent="0.3">
      <c r="A88" s="4" t="s">
        <v>200</v>
      </c>
      <c r="B88" s="4" t="str">
        <f t="shared" si="1"/>
        <v>DE11</v>
      </c>
      <c r="C88" s="4">
        <v>1</v>
      </c>
      <c r="D88" s="4" t="s">
        <v>435</v>
      </c>
      <c r="E88" s="4" t="s">
        <v>436</v>
      </c>
      <c r="F88" s="4" t="s">
        <v>48</v>
      </c>
      <c r="J88"/>
      <c r="K88"/>
    </row>
    <row r="89" spans="1:11" x14ac:dyDescent="0.3">
      <c r="A89" s="4" t="s">
        <v>200</v>
      </c>
      <c r="B89" s="4" t="str">
        <f t="shared" si="1"/>
        <v>DE11</v>
      </c>
      <c r="C89" s="4">
        <v>2</v>
      </c>
      <c r="D89" s="4" t="s">
        <v>439</v>
      </c>
      <c r="E89" s="4" t="s">
        <v>433</v>
      </c>
      <c r="F89" s="4" t="s">
        <v>48</v>
      </c>
      <c r="J89"/>
      <c r="K89"/>
    </row>
    <row r="90" spans="1:11" x14ac:dyDescent="0.3">
      <c r="A90" s="4" t="s">
        <v>204</v>
      </c>
      <c r="B90" s="4" t="str">
        <f t="shared" si="1"/>
        <v>DED2</v>
      </c>
      <c r="C90" s="4">
        <v>1</v>
      </c>
      <c r="D90" s="4" t="s">
        <v>439</v>
      </c>
      <c r="E90" s="4" t="s">
        <v>433</v>
      </c>
      <c r="F90" s="4" t="s">
        <v>48</v>
      </c>
      <c r="J90"/>
      <c r="K90"/>
    </row>
    <row r="91" spans="1:11" x14ac:dyDescent="0.3">
      <c r="A91" s="4" t="s">
        <v>204</v>
      </c>
      <c r="B91" s="4" t="str">
        <f t="shared" si="1"/>
        <v>DED2</v>
      </c>
      <c r="C91" s="4">
        <v>2</v>
      </c>
      <c r="D91" s="4" t="s">
        <v>440</v>
      </c>
      <c r="E91" s="4" t="s">
        <v>441</v>
      </c>
      <c r="F91" s="4" t="s">
        <v>48</v>
      </c>
      <c r="J91"/>
      <c r="K91"/>
    </row>
    <row r="92" spans="1:11" x14ac:dyDescent="0.3">
      <c r="A92" s="4" t="s">
        <v>207</v>
      </c>
      <c r="B92" s="4" t="str">
        <f t="shared" si="1"/>
        <v>DE14</v>
      </c>
      <c r="C92" s="4">
        <v>1</v>
      </c>
      <c r="D92" s="4" t="s">
        <v>435</v>
      </c>
      <c r="E92" s="4" t="s">
        <v>436</v>
      </c>
      <c r="F92" s="4" t="s">
        <v>48</v>
      </c>
      <c r="J92"/>
      <c r="K92"/>
    </row>
    <row r="93" spans="1:11" x14ac:dyDescent="0.3">
      <c r="A93" s="4" t="s">
        <v>207</v>
      </c>
      <c r="B93" s="4" t="str">
        <f t="shared" si="1"/>
        <v>DE14</v>
      </c>
      <c r="C93" s="4">
        <v>2</v>
      </c>
      <c r="D93" s="4" t="s">
        <v>437</v>
      </c>
      <c r="E93" s="4" t="s">
        <v>433</v>
      </c>
      <c r="F93" s="4" t="s">
        <v>31</v>
      </c>
      <c r="J93"/>
      <c r="K93"/>
    </row>
    <row r="94" spans="1:11" x14ac:dyDescent="0.3">
      <c r="A94" s="4" t="s">
        <v>207</v>
      </c>
      <c r="B94" s="4" t="str">
        <f t="shared" si="1"/>
        <v>DE14</v>
      </c>
      <c r="C94" s="4">
        <v>3</v>
      </c>
      <c r="D94" s="4" t="s">
        <v>439</v>
      </c>
      <c r="E94" s="4" t="s">
        <v>433</v>
      </c>
      <c r="F94" s="4" t="s">
        <v>31</v>
      </c>
      <c r="J94"/>
      <c r="K94"/>
    </row>
    <row r="95" spans="1:11" x14ac:dyDescent="0.3">
      <c r="A95" s="4" t="s">
        <v>211</v>
      </c>
      <c r="B95" s="4" t="str">
        <f t="shared" si="1"/>
        <v>DE94</v>
      </c>
      <c r="C95" s="4">
        <v>1</v>
      </c>
      <c r="D95" s="4" t="s">
        <v>432</v>
      </c>
      <c r="E95" s="4" t="s">
        <v>433</v>
      </c>
      <c r="F95" s="4" t="s">
        <v>48</v>
      </c>
      <c r="J95"/>
      <c r="K95"/>
    </row>
    <row r="96" spans="1:11" x14ac:dyDescent="0.3">
      <c r="A96" s="4" t="s">
        <v>211</v>
      </c>
      <c r="B96" s="4" t="str">
        <f t="shared" si="1"/>
        <v>DE94</v>
      </c>
      <c r="C96" s="4">
        <v>2</v>
      </c>
      <c r="D96" s="4" t="s">
        <v>434</v>
      </c>
      <c r="E96" s="4" t="s">
        <v>433</v>
      </c>
      <c r="F96" s="4" t="s">
        <v>48</v>
      </c>
      <c r="J96"/>
      <c r="K96"/>
    </row>
    <row r="97" spans="1:11" x14ac:dyDescent="0.3">
      <c r="A97" s="4" t="s">
        <v>214</v>
      </c>
      <c r="B97" s="4" t="str">
        <f t="shared" si="1"/>
        <v>DEC0</v>
      </c>
      <c r="C97" s="4">
        <v>1</v>
      </c>
      <c r="D97" s="4" t="s">
        <v>437</v>
      </c>
      <c r="E97" s="4" t="s">
        <v>433</v>
      </c>
      <c r="F97" s="4" t="s">
        <v>48</v>
      </c>
      <c r="J97"/>
      <c r="K97"/>
    </row>
    <row r="98" spans="1:11" x14ac:dyDescent="0.3">
      <c r="A98" s="4" t="s">
        <v>214</v>
      </c>
      <c r="B98" s="4" t="str">
        <f t="shared" si="1"/>
        <v>DEC0</v>
      </c>
      <c r="C98" s="4">
        <v>2</v>
      </c>
      <c r="D98" s="4" t="s">
        <v>434</v>
      </c>
      <c r="E98" s="4" t="s">
        <v>433</v>
      </c>
      <c r="F98" s="4" t="s">
        <v>31</v>
      </c>
      <c r="J98"/>
      <c r="K98"/>
    </row>
    <row r="99" spans="1:11" x14ac:dyDescent="0.3">
      <c r="A99" s="4" t="s">
        <v>217</v>
      </c>
      <c r="B99" s="4" t="str">
        <f t="shared" si="1"/>
        <v>DED2</v>
      </c>
      <c r="C99" s="4">
        <v>1</v>
      </c>
      <c r="D99" s="4" t="s">
        <v>439</v>
      </c>
      <c r="E99" s="4" t="s">
        <v>433</v>
      </c>
      <c r="F99" s="4" t="s">
        <v>48</v>
      </c>
      <c r="J99"/>
      <c r="K99"/>
    </row>
    <row r="100" spans="1:11" x14ac:dyDescent="0.3">
      <c r="A100" s="4" t="s">
        <v>219</v>
      </c>
      <c r="B100" s="4" t="str">
        <f t="shared" si="1"/>
        <v>DE22</v>
      </c>
      <c r="C100" s="4">
        <v>1</v>
      </c>
      <c r="D100" s="4" t="s">
        <v>438</v>
      </c>
      <c r="E100" s="4" t="s">
        <v>433</v>
      </c>
      <c r="F100" s="4" t="s">
        <v>48</v>
      </c>
      <c r="J100"/>
      <c r="K100"/>
    </row>
    <row r="101" spans="1:11" x14ac:dyDescent="0.3">
      <c r="A101" s="4" t="s">
        <v>219</v>
      </c>
      <c r="B101" s="4" t="str">
        <f t="shared" si="1"/>
        <v>DE22</v>
      </c>
      <c r="C101" s="4">
        <v>2</v>
      </c>
      <c r="D101" s="4" t="s">
        <v>439</v>
      </c>
      <c r="E101" s="4" t="s">
        <v>433</v>
      </c>
      <c r="F101" s="4" t="s">
        <v>48</v>
      </c>
      <c r="J101"/>
      <c r="K101"/>
    </row>
    <row r="102" spans="1:11" x14ac:dyDescent="0.3">
      <c r="A102" s="4" t="s">
        <v>221</v>
      </c>
      <c r="B102" s="4" t="str">
        <f t="shared" si="1"/>
        <v>DED2</v>
      </c>
      <c r="C102" s="4">
        <v>1</v>
      </c>
      <c r="D102" s="4" t="s">
        <v>432</v>
      </c>
      <c r="E102" s="4" t="s">
        <v>433</v>
      </c>
      <c r="F102" s="4" t="s">
        <v>48</v>
      </c>
      <c r="J102"/>
      <c r="K102"/>
    </row>
    <row r="103" spans="1:11" x14ac:dyDescent="0.3">
      <c r="A103" s="4" t="s">
        <v>223</v>
      </c>
      <c r="B103" s="4" t="str">
        <f t="shared" si="1"/>
        <v>DED5</v>
      </c>
      <c r="C103" s="4">
        <v>1</v>
      </c>
      <c r="D103" s="4" t="s">
        <v>432</v>
      </c>
      <c r="E103" s="4" t="s">
        <v>433</v>
      </c>
      <c r="F103" s="4" t="s">
        <v>48</v>
      </c>
      <c r="J103"/>
      <c r="K103"/>
    </row>
    <row r="104" spans="1:11" x14ac:dyDescent="0.3">
      <c r="A104" s="4" t="s">
        <v>225</v>
      </c>
      <c r="B104" s="4" t="str">
        <f t="shared" si="1"/>
        <v>DEA1</v>
      </c>
      <c r="C104" s="4">
        <v>1</v>
      </c>
      <c r="D104" s="4" t="s">
        <v>434</v>
      </c>
      <c r="E104" s="4" t="s">
        <v>433</v>
      </c>
      <c r="F104" s="4" t="s">
        <v>48</v>
      </c>
      <c r="J104"/>
      <c r="K104"/>
    </row>
    <row r="105" spans="1:11" x14ac:dyDescent="0.3">
      <c r="A105" s="4" t="s">
        <v>225</v>
      </c>
      <c r="B105" s="4" t="str">
        <f t="shared" si="1"/>
        <v>DEA1</v>
      </c>
      <c r="C105" s="4">
        <v>2</v>
      </c>
      <c r="D105" s="4" t="s">
        <v>437</v>
      </c>
      <c r="E105" s="4" t="s">
        <v>433</v>
      </c>
      <c r="F105" s="4" t="s">
        <v>31</v>
      </c>
      <c r="J105"/>
      <c r="K105"/>
    </row>
    <row r="106" spans="1:11" x14ac:dyDescent="0.3">
      <c r="A106" s="4" t="s">
        <v>227</v>
      </c>
      <c r="B106" s="4" t="str">
        <f t="shared" si="1"/>
        <v>DE14</v>
      </c>
      <c r="C106" s="4">
        <v>1</v>
      </c>
      <c r="D106" s="4" t="s">
        <v>435</v>
      </c>
      <c r="E106" s="4" t="s">
        <v>436</v>
      </c>
      <c r="F106" s="4" t="s">
        <v>48</v>
      </c>
      <c r="J106"/>
      <c r="K106"/>
    </row>
    <row r="107" spans="1:11" x14ac:dyDescent="0.3">
      <c r="A107" s="4" t="s">
        <v>227</v>
      </c>
      <c r="B107" s="4" t="str">
        <f t="shared" si="1"/>
        <v>DE14</v>
      </c>
      <c r="C107" s="4">
        <v>2</v>
      </c>
      <c r="D107" s="4" t="s">
        <v>434</v>
      </c>
      <c r="E107" s="4" t="s">
        <v>433</v>
      </c>
      <c r="F107" s="4" t="s">
        <v>31</v>
      </c>
      <c r="J107"/>
      <c r="K107"/>
    </row>
    <row r="108" spans="1:11" x14ac:dyDescent="0.3">
      <c r="A108" s="4" t="s">
        <v>231</v>
      </c>
      <c r="B108" s="4" t="str">
        <f t="shared" si="1"/>
        <v>DE24</v>
      </c>
      <c r="C108" s="4">
        <v>1</v>
      </c>
      <c r="D108" s="4" t="s">
        <v>438</v>
      </c>
      <c r="E108" s="4" t="s">
        <v>433</v>
      </c>
      <c r="F108" s="4" t="s">
        <v>48</v>
      </c>
      <c r="J108"/>
      <c r="K108"/>
    </row>
    <row r="109" spans="1:11" x14ac:dyDescent="0.3">
      <c r="A109" s="4" t="s">
        <v>231</v>
      </c>
      <c r="B109" s="4" t="str">
        <f t="shared" si="1"/>
        <v>DE24</v>
      </c>
      <c r="C109" s="4">
        <v>2</v>
      </c>
      <c r="D109" s="4" t="s">
        <v>439</v>
      </c>
      <c r="E109" s="4" t="s">
        <v>433</v>
      </c>
      <c r="F109" s="4" t="s">
        <v>48</v>
      </c>
      <c r="J109"/>
      <c r="K109"/>
    </row>
    <row r="110" spans="1:11" x14ac:dyDescent="0.3">
      <c r="A110" s="4" t="s">
        <v>231</v>
      </c>
      <c r="B110" s="4" t="str">
        <f t="shared" si="1"/>
        <v>DE24</v>
      </c>
      <c r="C110" s="4">
        <v>3</v>
      </c>
      <c r="D110" s="4" t="s">
        <v>434</v>
      </c>
      <c r="E110" s="4" t="s">
        <v>433</v>
      </c>
      <c r="F110" s="4" t="s">
        <v>31</v>
      </c>
      <c r="J110"/>
      <c r="K110"/>
    </row>
    <row r="111" spans="1:11" x14ac:dyDescent="0.3">
      <c r="A111" s="4" t="s">
        <v>231</v>
      </c>
      <c r="B111" s="4" t="str">
        <f t="shared" si="1"/>
        <v>DE24</v>
      </c>
      <c r="C111" s="4">
        <v>4</v>
      </c>
      <c r="D111" s="4" t="s">
        <v>440</v>
      </c>
      <c r="E111" s="4" t="s">
        <v>441</v>
      </c>
      <c r="F111" s="4" t="s">
        <v>31</v>
      </c>
      <c r="J111"/>
      <c r="K111"/>
    </row>
    <row r="112" spans="1:11" x14ac:dyDescent="0.3">
      <c r="A112" s="4" t="s">
        <v>237</v>
      </c>
      <c r="B112" s="4" t="str">
        <f t="shared" si="1"/>
        <v>DEA5</v>
      </c>
      <c r="C112" s="4">
        <v>1</v>
      </c>
      <c r="D112" s="4" t="s">
        <v>439</v>
      </c>
      <c r="E112" s="4" t="s">
        <v>433</v>
      </c>
      <c r="F112" s="4" t="s">
        <v>48</v>
      </c>
      <c r="J112"/>
      <c r="K112"/>
    </row>
    <row r="113" spans="1:11" x14ac:dyDescent="0.3">
      <c r="A113" s="4" t="s">
        <v>237</v>
      </c>
      <c r="B113" s="4" t="str">
        <f t="shared" si="1"/>
        <v>DEA5</v>
      </c>
      <c r="C113" s="4">
        <v>2</v>
      </c>
      <c r="D113" s="4" t="s">
        <v>438</v>
      </c>
      <c r="E113" s="4" t="s">
        <v>433</v>
      </c>
      <c r="F113" s="4" t="s">
        <v>48</v>
      </c>
      <c r="J113"/>
      <c r="K113"/>
    </row>
    <row r="114" spans="1:11" x14ac:dyDescent="0.3">
      <c r="A114" s="4" t="s">
        <v>237</v>
      </c>
      <c r="B114" s="4" t="str">
        <f t="shared" si="1"/>
        <v>DEA5</v>
      </c>
      <c r="C114" s="4">
        <v>3</v>
      </c>
      <c r="D114" s="4" t="s">
        <v>440</v>
      </c>
      <c r="E114" s="4" t="s">
        <v>441</v>
      </c>
      <c r="F114" s="4" t="s">
        <v>31</v>
      </c>
      <c r="J114"/>
      <c r="K114"/>
    </row>
    <row r="115" spans="1:11" x14ac:dyDescent="0.3">
      <c r="A115" s="4" t="s">
        <v>241</v>
      </c>
      <c r="B115" s="4" t="str">
        <f t="shared" si="1"/>
        <v>DE24</v>
      </c>
      <c r="C115" s="4">
        <v>1</v>
      </c>
      <c r="D115" s="4" t="s">
        <v>438</v>
      </c>
      <c r="E115" s="4" t="s">
        <v>433</v>
      </c>
      <c r="F115" s="4" t="s">
        <v>48</v>
      </c>
      <c r="J115"/>
      <c r="K115"/>
    </row>
    <row r="116" spans="1:11" x14ac:dyDescent="0.3">
      <c r="A116" s="4" t="s">
        <v>241</v>
      </c>
      <c r="B116" s="4" t="str">
        <f t="shared" si="1"/>
        <v>DE24</v>
      </c>
      <c r="C116" s="4">
        <v>2</v>
      </c>
      <c r="D116" s="4" t="s">
        <v>440</v>
      </c>
      <c r="E116" s="4" t="s">
        <v>441</v>
      </c>
      <c r="F116" s="4" t="s">
        <v>31</v>
      </c>
      <c r="J116"/>
      <c r="K116"/>
    </row>
    <row r="117" spans="1:11" x14ac:dyDescent="0.3">
      <c r="A117" s="4" t="s">
        <v>241</v>
      </c>
      <c r="B117" s="4" t="str">
        <f t="shared" si="1"/>
        <v>DE24</v>
      </c>
      <c r="C117" s="4">
        <v>3</v>
      </c>
      <c r="D117" s="4" t="s">
        <v>439</v>
      </c>
      <c r="E117" s="4" t="s">
        <v>433</v>
      </c>
      <c r="F117" s="4" t="s">
        <v>31</v>
      </c>
      <c r="J117"/>
      <c r="K117"/>
    </row>
    <row r="118" spans="1:11" x14ac:dyDescent="0.3">
      <c r="A118" s="4" t="s">
        <v>244</v>
      </c>
      <c r="B118" s="4" t="str">
        <f t="shared" si="1"/>
        <v>DE27</v>
      </c>
      <c r="C118" s="4">
        <v>1</v>
      </c>
      <c r="D118" s="4" t="s">
        <v>432</v>
      </c>
      <c r="E118" s="4" t="s">
        <v>433</v>
      </c>
      <c r="F118" s="4" t="s">
        <v>48</v>
      </c>
      <c r="J118"/>
      <c r="K118"/>
    </row>
    <row r="119" spans="1:11" x14ac:dyDescent="0.3">
      <c r="A119" s="4" t="s">
        <v>244</v>
      </c>
      <c r="B119" s="4" t="str">
        <f t="shared" si="1"/>
        <v>DE27</v>
      </c>
      <c r="C119" s="4">
        <v>2</v>
      </c>
      <c r="D119" s="4" t="s">
        <v>435</v>
      </c>
      <c r="E119" s="4" t="s">
        <v>433</v>
      </c>
      <c r="F119" s="4" t="s">
        <v>31</v>
      </c>
      <c r="J119"/>
      <c r="K119"/>
    </row>
    <row r="120" spans="1:11" x14ac:dyDescent="0.3">
      <c r="A120" s="4" t="s">
        <v>244</v>
      </c>
      <c r="B120" s="4" t="str">
        <f t="shared" si="1"/>
        <v>DE27</v>
      </c>
      <c r="C120" s="4">
        <v>3</v>
      </c>
      <c r="D120" s="4" t="s">
        <v>437</v>
      </c>
      <c r="E120" s="4" t="s">
        <v>433</v>
      </c>
      <c r="F120" s="4" t="s">
        <v>31</v>
      </c>
      <c r="J120"/>
      <c r="K120"/>
    </row>
    <row r="121" spans="1:11" x14ac:dyDescent="0.3">
      <c r="A121" s="4" t="s">
        <v>244</v>
      </c>
      <c r="B121" s="4" t="str">
        <f t="shared" si="1"/>
        <v>DE27</v>
      </c>
      <c r="C121" s="4">
        <v>4</v>
      </c>
      <c r="D121" s="4" t="s">
        <v>434</v>
      </c>
      <c r="E121" s="4" t="s">
        <v>433</v>
      </c>
      <c r="F121" s="4" t="s">
        <v>31</v>
      </c>
      <c r="J121"/>
      <c r="K121"/>
    </row>
    <row r="122" spans="1:11" x14ac:dyDescent="0.3">
      <c r="A122" s="4" t="s">
        <v>247</v>
      </c>
      <c r="B122" s="4" t="str">
        <f t="shared" si="1"/>
        <v>DE23</v>
      </c>
      <c r="C122" s="4">
        <v>1</v>
      </c>
      <c r="D122" s="4" t="s">
        <v>439</v>
      </c>
      <c r="E122" s="4" t="s">
        <v>433</v>
      </c>
      <c r="F122" s="4" t="s">
        <v>48</v>
      </c>
      <c r="J122"/>
      <c r="K122"/>
    </row>
    <row r="123" spans="1:11" x14ac:dyDescent="0.3">
      <c r="A123" s="4" t="s">
        <v>247</v>
      </c>
      <c r="B123" s="4" t="str">
        <f t="shared" si="1"/>
        <v>DE23</v>
      </c>
      <c r="C123" s="4">
        <v>2</v>
      </c>
      <c r="D123" s="4" t="s">
        <v>440</v>
      </c>
      <c r="E123" s="4" t="s">
        <v>441</v>
      </c>
      <c r="F123" s="4" t="s">
        <v>31</v>
      </c>
      <c r="J123"/>
      <c r="K123"/>
    </row>
    <row r="124" spans="1:11" x14ac:dyDescent="0.3">
      <c r="A124" s="4" t="s">
        <v>247</v>
      </c>
      <c r="B124" s="4" t="str">
        <f t="shared" si="1"/>
        <v>DE23</v>
      </c>
      <c r="C124" s="4">
        <v>3</v>
      </c>
      <c r="D124" s="4" t="s">
        <v>438</v>
      </c>
      <c r="E124" s="4" t="s">
        <v>433</v>
      </c>
      <c r="F124" s="4" t="s">
        <v>31</v>
      </c>
      <c r="J124"/>
      <c r="K124"/>
    </row>
    <row r="125" spans="1:11" x14ac:dyDescent="0.3">
      <c r="A125" s="4" t="s">
        <v>250</v>
      </c>
      <c r="B125" s="4" t="str">
        <f t="shared" si="1"/>
        <v>DE50</v>
      </c>
      <c r="C125" s="4">
        <v>1</v>
      </c>
      <c r="D125" s="4" t="s">
        <v>432</v>
      </c>
      <c r="E125" s="4" t="s">
        <v>433</v>
      </c>
      <c r="F125" s="4" t="s">
        <v>48</v>
      </c>
      <c r="J125"/>
      <c r="K125"/>
    </row>
    <row r="126" spans="1:11" x14ac:dyDescent="0.3">
      <c r="A126" s="4" t="s">
        <v>250</v>
      </c>
      <c r="B126" s="4" t="str">
        <f t="shared" si="1"/>
        <v>DE50</v>
      </c>
      <c r="C126" s="4">
        <v>2</v>
      </c>
      <c r="D126" s="4" t="s">
        <v>434</v>
      </c>
      <c r="E126" s="4" t="s">
        <v>433</v>
      </c>
      <c r="F126" s="4" t="s">
        <v>48</v>
      </c>
      <c r="J126"/>
      <c r="K126"/>
    </row>
    <row r="127" spans="1:11" x14ac:dyDescent="0.3">
      <c r="A127" s="4" t="s">
        <v>250</v>
      </c>
      <c r="B127" s="4" t="str">
        <f t="shared" si="1"/>
        <v>DE50</v>
      </c>
      <c r="C127" s="4">
        <v>3</v>
      </c>
      <c r="D127" s="4" t="s">
        <v>438</v>
      </c>
      <c r="E127" s="4" t="s">
        <v>433</v>
      </c>
      <c r="F127" s="4" t="s">
        <v>31</v>
      </c>
      <c r="J127"/>
      <c r="K127"/>
    </row>
    <row r="128" spans="1:11" x14ac:dyDescent="0.3">
      <c r="A128" s="4" t="s">
        <v>252</v>
      </c>
      <c r="B128" s="4" t="str">
        <f t="shared" si="1"/>
        <v>DE11</v>
      </c>
      <c r="C128" s="4">
        <v>1</v>
      </c>
      <c r="D128" s="4" t="s">
        <v>435</v>
      </c>
      <c r="E128" s="4" t="s">
        <v>436</v>
      </c>
      <c r="F128" s="4" t="s">
        <v>48</v>
      </c>
      <c r="J128"/>
      <c r="K128"/>
    </row>
    <row r="129" spans="1:11" x14ac:dyDescent="0.3">
      <c r="A129" s="4" t="s">
        <v>252</v>
      </c>
      <c r="B129" s="4" t="str">
        <f t="shared" si="1"/>
        <v>DE11</v>
      </c>
      <c r="C129" s="4">
        <v>2</v>
      </c>
      <c r="D129" s="4" t="s">
        <v>440</v>
      </c>
      <c r="E129" s="4" t="s">
        <v>441</v>
      </c>
      <c r="F129" s="4" t="s">
        <v>31</v>
      </c>
      <c r="J129"/>
      <c r="K129"/>
    </row>
    <row r="130" spans="1:11" x14ac:dyDescent="0.3">
      <c r="A130" s="4" t="s">
        <v>252</v>
      </c>
      <c r="B130" s="4" t="str">
        <f t="shared" si="1"/>
        <v>DE11</v>
      </c>
      <c r="C130" s="4">
        <v>3</v>
      </c>
      <c r="D130" s="4" t="s">
        <v>439</v>
      </c>
      <c r="E130" s="4" t="s">
        <v>433</v>
      </c>
      <c r="F130" s="4" t="s">
        <v>31</v>
      </c>
      <c r="J130"/>
      <c r="K130"/>
    </row>
    <row r="131" spans="1:11" x14ac:dyDescent="0.3">
      <c r="A131" s="4" t="s">
        <v>255</v>
      </c>
      <c r="B131" s="4" t="str">
        <f t="shared" ref="B131:B194" si="2">RIGHT(A131,LEN(A131)-FIND("@",SUBSTITUTE(A131,"_","@",LEN(A131)-LEN(SUBSTITUTE(A131,"_","")))))</f>
        <v>DE91</v>
      </c>
      <c r="C131" s="4">
        <v>1</v>
      </c>
      <c r="D131" s="4" t="s">
        <v>434</v>
      </c>
      <c r="E131" s="4" t="s">
        <v>433</v>
      </c>
      <c r="F131" s="4" t="s">
        <v>48</v>
      </c>
      <c r="J131"/>
      <c r="K131"/>
    </row>
    <row r="132" spans="1:11" x14ac:dyDescent="0.3">
      <c r="A132" s="4" t="s">
        <v>255</v>
      </c>
      <c r="B132" s="4" t="str">
        <f t="shared" si="2"/>
        <v>DE91</v>
      </c>
      <c r="C132" s="4">
        <v>2</v>
      </c>
      <c r="D132" s="4" t="s">
        <v>437</v>
      </c>
      <c r="E132" s="4" t="s">
        <v>433</v>
      </c>
      <c r="F132" s="4" t="s">
        <v>31</v>
      </c>
      <c r="J132"/>
      <c r="K132"/>
    </row>
    <row r="133" spans="1:11" x14ac:dyDescent="0.3">
      <c r="A133" s="4" t="s">
        <v>258</v>
      </c>
      <c r="B133" s="4" t="str">
        <f t="shared" si="2"/>
        <v>DE23</v>
      </c>
      <c r="C133" s="4">
        <v>1</v>
      </c>
      <c r="D133" s="4" t="s">
        <v>439</v>
      </c>
      <c r="E133" s="4" t="s">
        <v>433</v>
      </c>
      <c r="F133" s="4" t="s">
        <v>48</v>
      </c>
      <c r="J133"/>
      <c r="K133"/>
    </row>
    <row r="134" spans="1:11" x14ac:dyDescent="0.3">
      <c r="A134" s="4" t="s">
        <v>258</v>
      </c>
      <c r="B134" s="4" t="str">
        <f t="shared" si="2"/>
        <v>DE23</v>
      </c>
      <c r="C134" s="4">
        <v>2</v>
      </c>
      <c r="D134" s="4" t="s">
        <v>437</v>
      </c>
      <c r="E134" s="4" t="s">
        <v>433</v>
      </c>
      <c r="F134" s="4" t="s">
        <v>31</v>
      </c>
      <c r="J134"/>
      <c r="K134"/>
    </row>
    <row r="135" spans="1:11" x14ac:dyDescent="0.3">
      <c r="A135" s="4" t="s">
        <v>258</v>
      </c>
      <c r="B135" s="4" t="str">
        <f t="shared" si="2"/>
        <v>DE23</v>
      </c>
      <c r="C135" s="4">
        <v>3</v>
      </c>
      <c r="D135" s="4" t="s">
        <v>438</v>
      </c>
      <c r="E135" s="4" t="s">
        <v>433</v>
      </c>
      <c r="F135" s="4" t="s">
        <v>31</v>
      </c>
      <c r="J135"/>
      <c r="K135"/>
    </row>
    <row r="136" spans="1:11" x14ac:dyDescent="0.3">
      <c r="A136" s="4" t="s">
        <v>261</v>
      </c>
      <c r="B136" s="4" t="str">
        <f t="shared" si="2"/>
        <v>DE21</v>
      </c>
      <c r="C136" s="4">
        <v>1</v>
      </c>
      <c r="D136" s="4" t="s">
        <v>432</v>
      </c>
      <c r="E136" s="4" t="s">
        <v>433</v>
      </c>
      <c r="F136" s="4" t="s">
        <v>48</v>
      </c>
      <c r="J136"/>
      <c r="K136"/>
    </row>
    <row r="137" spans="1:11" x14ac:dyDescent="0.3">
      <c r="A137" s="4" t="s">
        <v>261</v>
      </c>
      <c r="B137" s="4" t="str">
        <f t="shared" si="2"/>
        <v>DE21</v>
      </c>
      <c r="C137" s="4">
        <v>2</v>
      </c>
      <c r="D137" s="4" t="s">
        <v>434</v>
      </c>
      <c r="E137" s="4" t="s">
        <v>433</v>
      </c>
      <c r="F137" s="4" t="s">
        <v>48</v>
      </c>
      <c r="J137"/>
      <c r="K137"/>
    </row>
    <row r="138" spans="1:11" x14ac:dyDescent="0.3">
      <c r="A138" s="4" t="s">
        <v>261</v>
      </c>
      <c r="B138" s="4" t="str">
        <f t="shared" si="2"/>
        <v>DE21</v>
      </c>
      <c r="C138" s="4">
        <v>3</v>
      </c>
      <c r="D138" s="4" t="s">
        <v>437</v>
      </c>
      <c r="E138" s="4" t="s">
        <v>433</v>
      </c>
      <c r="F138" s="4" t="s">
        <v>31</v>
      </c>
      <c r="J138"/>
      <c r="K138"/>
    </row>
    <row r="139" spans="1:11" x14ac:dyDescent="0.3">
      <c r="A139" s="4" t="s">
        <v>264</v>
      </c>
      <c r="B139" s="4" t="str">
        <f t="shared" si="2"/>
        <v>DE92</v>
      </c>
      <c r="C139" s="4">
        <v>1</v>
      </c>
      <c r="D139" s="4" t="s">
        <v>432</v>
      </c>
      <c r="E139" s="4" t="s">
        <v>433</v>
      </c>
      <c r="F139" s="4" t="s">
        <v>48</v>
      </c>
      <c r="J139"/>
      <c r="K139"/>
    </row>
    <row r="140" spans="1:11" x14ac:dyDescent="0.3">
      <c r="A140" s="4" t="s">
        <v>264</v>
      </c>
      <c r="B140" s="4" t="str">
        <f t="shared" si="2"/>
        <v>DE92</v>
      </c>
      <c r="C140" s="4">
        <v>2</v>
      </c>
      <c r="D140" s="4" t="s">
        <v>434</v>
      </c>
      <c r="E140" s="4" t="s">
        <v>433</v>
      </c>
      <c r="F140" s="4" t="s">
        <v>48</v>
      </c>
      <c r="J140"/>
      <c r="K140"/>
    </row>
    <row r="141" spans="1:11" x14ac:dyDescent="0.3">
      <c r="A141" s="4" t="s">
        <v>264</v>
      </c>
      <c r="B141" s="4" t="str">
        <f t="shared" si="2"/>
        <v>DE92</v>
      </c>
      <c r="C141" s="4">
        <v>3</v>
      </c>
      <c r="D141" s="4" t="s">
        <v>438</v>
      </c>
      <c r="E141" s="4" t="s">
        <v>433</v>
      </c>
      <c r="F141" s="4" t="s">
        <v>31</v>
      </c>
      <c r="J141"/>
      <c r="K141"/>
    </row>
    <row r="142" spans="1:11" x14ac:dyDescent="0.3">
      <c r="A142" s="4" t="s">
        <v>266</v>
      </c>
      <c r="B142" s="4" t="str">
        <f t="shared" si="2"/>
        <v>DE14</v>
      </c>
      <c r="C142" s="4">
        <v>1</v>
      </c>
      <c r="D142" s="4" t="s">
        <v>435</v>
      </c>
      <c r="E142" s="4" t="s">
        <v>436</v>
      </c>
      <c r="F142" s="4" t="s">
        <v>48</v>
      </c>
      <c r="J142"/>
      <c r="K142"/>
    </row>
    <row r="143" spans="1:11" x14ac:dyDescent="0.3">
      <c r="A143" s="4" t="s">
        <v>266</v>
      </c>
      <c r="B143" s="4" t="str">
        <f t="shared" si="2"/>
        <v>DE14</v>
      </c>
      <c r="C143" s="4">
        <v>2</v>
      </c>
      <c r="D143" s="4" t="s">
        <v>439</v>
      </c>
      <c r="E143" s="4" t="s">
        <v>433</v>
      </c>
      <c r="F143" s="4" t="s">
        <v>31</v>
      </c>
      <c r="J143"/>
      <c r="K143"/>
    </row>
    <row r="144" spans="1:11" x14ac:dyDescent="0.3">
      <c r="A144" s="4" t="s">
        <v>270</v>
      </c>
      <c r="B144" s="4" t="str">
        <f t="shared" si="2"/>
        <v>DEC0</v>
      </c>
      <c r="C144" s="4">
        <v>1</v>
      </c>
      <c r="D144" s="4" t="s">
        <v>439</v>
      </c>
      <c r="E144" s="4" t="s">
        <v>433</v>
      </c>
      <c r="F144" s="4" t="s">
        <v>48</v>
      </c>
      <c r="J144"/>
      <c r="K144"/>
    </row>
    <row r="145" spans="1:11" x14ac:dyDescent="0.3">
      <c r="A145" s="4" t="s">
        <v>270</v>
      </c>
      <c r="B145" s="4" t="str">
        <f t="shared" si="2"/>
        <v>DEC0</v>
      </c>
      <c r="C145" s="4">
        <v>2</v>
      </c>
      <c r="D145" s="4" t="s">
        <v>437</v>
      </c>
      <c r="E145" s="4" t="s">
        <v>433</v>
      </c>
      <c r="F145" s="4" t="s">
        <v>31</v>
      </c>
      <c r="J145"/>
      <c r="K145"/>
    </row>
    <row r="146" spans="1:11" x14ac:dyDescent="0.3">
      <c r="A146" s="4" t="s">
        <v>270</v>
      </c>
      <c r="B146" s="4" t="str">
        <f t="shared" si="2"/>
        <v>DEC0</v>
      </c>
      <c r="C146" s="4">
        <v>3</v>
      </c>
      <c r="D146" s="4" t="s">
        <v>435</v>
      </c>
      <c r="E146" s="4" t="s">
        <v>433</v>
      </c>
      <c r="F146" s="4" t="s">
        <v>73</v>
      </c>
      <c r="J146"/>
      <c r="K146"/>
    </row>
    <row r="147" spans="1:11" x14ac:dyDescent="0.3">
      <c r="A147" s="4" t="s">
        <v>274</v>
      </c>
      <c r="B147" s="4" t="str">
        <f t="shared" si="2"/>
        <v>DE14</v>
      </c>
      <c r="C147" s="4">
        <v>1</v>
      </c>
      <c r="D147" s="4" t="s">
        <v>435</v>
      </c>
      <c r="E147" s="4" t="s">
        <v>436</v>
      </c>
      <c r="F147" s="4" t="s">
        <v>48</v>
      </c>
      <c r="J147"/>
      <c r="K147"/>
    </row>
    <row r="148" spans="1:11" x14ac:dyDescent="0.3">
      <c r="A148" s="4" t="s">
        <v>274</v>
      </c>
      <c r="B148" s="4" t="str">
        <f t="shared" si="2"/>
        <v>DE14</v>
      </c>
      <c r="C148" s="4">
        <v>2</v>
      </c>
      <c r="D148" s="4" t="s">
        <v>434</v>
      </c>
      <c r="E148" s="4" t="s">
        <v>433</v>
      </c>
      <c r="F148" s="4" t="s">
        <v>31</v>
      </c>
      <c r="J148"/>
      <c r="K148"/>
    </row>
    <row r="149" spans="1:11" x14ac:dyDescent="0.3">
      <c r="A149" s="4" t="s">
        <v>274</v>
      </c>
      <c r="B149" s="4" t="str">
        <f t="shared" si="2"/>
        <v>DE14</v>
      </c>
      <c r="C149" s="4">
        <v>3</v>
      </c>
      <c r="D149" s="4" t="s">
        <v>438</v>
      </c>
      <c r="E149" s="4" t="s">
        <v>433</v>
      </c>
      <c r="F149" s="4" t="s">
        <v>31</v>
      </c>
      <c r="J149"/>
      <c r="K149"/>
    </row>
    <row r="150" spans="1:11" x14ac:dyDescent="0.3">
      <c r="A150" s="4" t="s">
        <v>277</v>
      </c>
      <c r="B150" s="4" t="str">
        <f t="shared" si="2"/>
        <v>DE23</v>
      </c>
      <c r="C150" s="4">
        <v>1</v>
      </c>
      <c r="D150" s="4" t="s">
        <v>432</v>
      </c>
      <c r="E150" s="4" t="s">
        <v>433</v>
      </c>
      <c r="F150" s="4" t="s">
        <v>48</v>
      </c>
      <c r="J150"/>
      <c r="K150"/>
    </row>
    <row r="151" spans="1:11" x14ac:dyDescent="0.3">
      <c r="A151" s="4" t="s">
        <v>277</v>
      </c>
      <c r="B151" s="4" t="str">
        <f t="shared" si="2"/>
        <v>DE23</v>
      </c>
      <c r="C151" s="4">
        <v>2</v>
      </c>
      <c r="D151" s="4" t="s">
        <v>434</v>
      </c>
      <c r="E151" s="4" t="s">
        <v>433</v>
      </c>
      <c r="F151" s="4" t="s">
        <v>48</v>
      </c>
      <c r="J151"/>
      <c r="K151"/>
    </row>
    <row r="152" spans="1:11" x14ac:dyDescent="0.3">
      <c r="A152" s="4" t="s">
        <v>277</v>
      </c>
      <c r="B152" s="4" t="str">
        <f t="shared" si="2"/>
        <v>DE23</v>
      </c>
      <c r="C152" s="4">
        <v>3</v>
      </c>
      <c r="D152" s="4" t="s">
        <v>437</v>
      </c>
      <c r="E152" s="4" t="s">
        <v>433</v>
      </c>
      <c r="F152" s="4" t="s">
        <v>31</v>
      </c>
      <c r="J152"/>
      <c r="K152"/>
    </row>
    <row r="153" spans="1:11" x14ac:dyDescent="0.3">
      <c r="A153" s="4" t="s">
        <v>279</v>
      </c>
      <c r="B153" s="4" t="str">
        <f t="shared" si="2"/>
        <v>DE21</v>
      </c>
      <c r="C153" s="4">
        <v>1</v>
      </c>
      <c r="D153" s="4" t="s">
        <v>434</v>
      </c>
      <c r="E153" s="4" t="s">
        <v>433</v>
      </c>
      <c r="F153" s="4" t="s">
        <v>48</v>
      </c>
      <c r="J153"/>
      <c r="K153"/>
    </row>
    <row r="154" spans="1:11" x14ac:dyDescent="0.3">
      <c r="A154" s="4" t="s">
        <v>279</v>
      </c>
      <c r="B154" s="4" t="str">
        <f t="shared" si="2"/>
        <v>DE21</v>
      </c>
      <c r="C154" s="4">
        <v>2</v>
      </c>
      <c r="D154" s="4" t="s">
        <v>438</v>
      </c>
      <c r="E154" s="4" t="s">
        <v>433</v>
      </c>
      <c r="F154" s="4" t="s">
        <v>31</v>
      </c>
      <c r="J154"/>
      <c r="K154"/>
    </row>
    <row r="155" spans="1:11" x14ac:dyDescent="0.3">
      <c r="A155" s="4" t="s">
        <v>279</v>
      </c>
      <c r="B155" s="4" t="str">
        <f t="shared" si="2"/>
        <v>DE21</v>
      </c>
      <c r="C155" s="4">
        <v>3</v>
      </c>
      <c r="D155" s="4" t="s">
        <v>439</v>
      </c>
      <c r="E155" s="4" t="s">
        <v>433</v>
      </c>
      <c r="F155" s="4" t="s">
        <v>31</v>
      </c>
      <c r="J155"/>
      <c r="K155"/>
    </row>
    <row r="156" spans="1:11" x14ac:dyDescent="0.3">
      <c r="A156" s="4" t="s">
        <v>283</v>
      </c>
      <c r="B156" s="4" t="str">
        <f t="shared" si="2"/>
        <v>DE14</v>
      </c>
      <c r="C156" s="4">
        <v>1</v>
      </c>
      <c r="D156" s="4" t="s">
        <v>437</v>
      </c>
      <c r="E156" s="4" t="s">
        <v>433</v>
      </c>
      <c r="F156" s="4" t="s">
        <v>48</v>
      </c>
      <c r="J156"/>
      <c r="K156"/>
    </row>
    <row r="157" spans="1:11" x14ac:dyDescent="0.3">
      <c r="A157" s="4" t="s">
        <v>283</v>
      </c>
      <c r="B157" s="4" t="str">
        <f t="shared" si="2"/>
        <v>DE14</v>
      </c>
      <c r="C157" s="4">
        <v>2</v>
      </c>
      <c r="D157" s="4" t="s">
        <v>439</v>
      </c>
      <c r="E157" s="4" t="s">
        <v>433</v>
      </c>
      <c r="F157" s="4" t="s">
        <v>48</v>
      </c>
      <c r="J157"/>
      <c r="K157"/>
    </row>
    <row r="158" spans="1:11" x14ac:dyDescent="0.3">
      <c r="A158" s="4" t="s">
        <v>286</v>
      </c>
      <c r="B158" s="4" t="str">
        <f t="shared" si="2"/>
        <v>DE14</v>
      </c>
      <c r="C158" s="4">
        <v>1</v>
      </c>
      <c r="D158" s="4" t="s">
        <v>437</v>
      </c>
      <c r="E158" s="4" t="s">
        <v>433</v>
      </c>
      <c r="F158" s="4" t="s">
        <v>31</v>
      </c>
      <c r="J158"/>
      <c r="K158"/>
    </row>
    <row r="159" spans="1:11" x14ac:dyDescent="0.3">
      <c r="A159" s="4" t="s">
        <v>286</v>
      </c>
      <c r="B159" s="4" t="str">
        <f t="shared" si="2"/>
        <v>DE14</v>
      </c>
      <c r="C159" s="4">
        <v>2</v>
      </c>
      <c r="D159" s="4" t="s">
        <v>435</v>
      </c>
      <c r="E159" s="4" t="s">
        <v>433</v>
      </c>
      <c r="F159" s="4" t="s">
        <v>31</v>
      </c>
      <c r="J159"/>
      <c r="K159"/>
    </row>
    <row r="160" spans="1:11" x14ac:dyDescent="0.3">
      <c r="A160" s="4" t="s">
        <v>286</v>
      </c>
      <c r="B160" s="4" t="str">
        <f t="shared" si="2"/>
        <v>DE14</v>
      </c>
      <c r="C160" s="4">
        <v>3</v>
      </c>
      <c r="D160" s="4" t="s">
        <v>434</v>
      </c>
      <c r="E160" s="4" t="s">
        <v>433</v>
      </c>
      <c r="F160" s="4" t="s">
        <v>31</v>
      </c>
      <c r="J160"/>
      <c r="K160"/>
    </row>
    <row r="161" spans="1:11" x14ac:dyDescent="0.3">
      <c r="A161" s="4" t="s">
        <v>288</v>
      </c>
      <c r="B161" s="4" t="str">
        <f t="shared" si="2"/>
        <v>DE11</v>
      </c>
      <c r="C161" s="4">
        <v>1</v>
      </c>
      <c r="D161" s="4" t="s">
        <v>432</v>
      </c>
      <c r="E161" s="4" t="s">
        <v>433</v>
      </c>
      <c r="F161" s="4" t="s">
        <v>48</v>
      </c>
      <c r="J161"/>
      <c r="K161"/>
    </row>
    <row r="162" spans="1:11" x14ac:dyDescent="0.3">
      <c r="A162" s="4" t="s">
        <v>288</v>
      </c>
      <c r="B162" s="4" t="str">
        <f t="shared" si="2"/>
        <v>DE11</v>
      </c>
      <c r="C162" s="4">
        <v>2</v>
      </c>
      <c r="D162" s="4" t="s">
        <v>434</v>
      </c>
      <c r="E162" s="4" t="s">
        <v>433</v>
      </c>
      <c r="F162" s="4" t="s">
        <v>48</v>
      </c>
      <c r="J162"/>
      <c r="K162"/>
    </row>
    <row r="163" spans="1:11" x14ac:dyDescent="0.3">
      <c r="A163" s="4" t="s">
        <v>288</v>
      </c>
      <c r="B163" s="4" t="str">
        <f t="shared" si="2"/>
        <v>DE11</v>
      </c>
      <c r="C163" s="4">
        <v>3</v>
      </c>
      <c r="D163" s="4" t="s">
        <v>435</v>
      </c>
      <c r="E163" s="4" t="s">
        <v>436</v>
      </c>
      <c r="F163" s="4" t="s">
        <v>31</v>
      </c>
      <c r="J163"/>
      <c r="K163"/>
    </row>
    <row r="164" spans="1:11" x14ac:dyDescent="0.3">
      <c r="A164" s="4" t="s">
        <v>288</v>
      </c>
      <c r="B164" s="4" t="str">
        <f t="shared" si="2"/>
        <v>DE11</v>
      </c>
      <c r="C164" s="4">
        <v>4</v>
      </c>
      <c r="D164" s="4" t="s">
        <v>440</v>
      </c>
      <c r="E164" s="4" t="s">
        <v>441</v>
      </c>
      <c r="F164" s="4" t="s">
        <v>31</v>
      </c>
      <c r="J164"/>
      <c r="K164"/>
    </row>
    <row r="165" spans="1:11" x14ac:dyDescent="0.3">
      <c r="A165" s="4" t="s">
        <v>292</v>
      </c>
      <c r="B165" s="4" t="str">
        <f t="shared" si="2"/>
        <v>DE11</v>
      </c>
      <c r="C165" s="4">
        <v>1</v>
      </c>
      <c r="D165" s="4" t="s">
        <v>435</v>
      </c>
      <c r="E165" s="4" t="s">
        <v>436</v>
      </c>
      <c r="F165" s="4" t="s">
        <v>48</v>
      </c>
      <c r="J165"/>
      <c r="K165"/>
    </row>
    <row r="166" spans="1:11" x14ac:dyDescent="0.3">
      <c r="A166" s="4" t="s">
        <v>292</v>
      </c>
      <c r="B166" s="4" t="str">
        <f t="shared" si="2"/>
        <v>DE11</v>
      </c>
      <c r="C166" s="4">
        <v>2</v>
      </c>
      <c r="D166" s="4" t="s">
        <v>438</v>
      </c>
      <c r="E166" s="4" t="s">
        <v>433</v>
      </c>
      <c r="F166" s="4" t="s">
        <v>48</v>
      </c>
      <c r="J166"/>
      <c r="K166"/>
    </row>
    <row r="167" spans="1:11" x14ac:dyDescent="0.3">
      <c r="A167" s="4" t="s">
        <v>295</v>
      </c>
      <c r="B167" s="4" t="str">
        <f t="shared" si="2"/>
        <v>DE11</v>
      </c>
      <c r="C167" s="4">
        <v>1</v>
      </c>
      <c r="D167" s="4" t="s">
        <v>435</v>
      </c>
      <c r="E167" s="4" t="s">
        <v>436</v>
      </c>
      <c r="F167" s="4" t="s">
        <v>31</v>
      </c>
      <c r="J167"/>
      <c r="K167"/>
    </row>
    <row r="168" spans="1:11" x14ac:dyDescent="0.3">
      <c r="A168" s="4" t="s">
        <v>295</v>
      </c>
      <c r="B168" s="4" t="str">
        <f t="shared" si="2"/>
        <v>DE11</v>
      </c>
      <c r="C168" s="4">
        <v>2</v>
      </c>
      <c r="D168" s="4" t="s">
        <v>438</v>
      </c>
      <c r="E168" s="4" t="s">
        <v>433</v>
      </c>
      <c r="F168" s="4" t="s">
        <v>48</v>
      </c>
      <c r="J168"/>
      <c r="K168"/>
    </row>
    <row r="169" spans="1:11" x14ac:dyDescent="0.3">
      <c r="A169" s="4" t="s">
        <v>295</v>
      </c>
      <c r="B169" s="4" t="str">
        <f t="shared" si="2"/>
        <v>DE11</v>
      </c>
      <c r="C169" s="4">
        <v>3</v>
      </c>
      <c r="D169" s="4" t="s">
        <v>434</v>
      </c>
      <c r="E169" s="4" t="s">
        <v>433</v>
      </c>
      <c r="F169" s="4" t="s">
        <v>31</v>
      </c>
      <c r="J169"/>
      <c r="K169"/>
    </row>
    <row r="170" spans="1:11" x14ac:dyDescent="0.3">
      <c r="A170" s="4" t="s">
        <v>297</v>
      </c>
      <c r="B170" s="4" t="str">
        <f t="shared" si="2"/>
        <v>DEA4</v>
      </c>
      <c r="C170" s="4">
        <v>1</v>
      </c>
      <c r="D170" s="4" t="s">
        <v>434</v>
      </c>
      <c r="E170" s="4" t="s">
        <v>433</v>
      </c>
      <c r="F170" s="4" t="s">
        <v>48</v>
      </c>
      <c r="J170"/>
      <c r="K170"/>
    </row>
    <row r="171" spans="1:11" x14ac:dyDescent="0.3">
      <c r="A171" s="4" t="s">
        <v>297</v>
      </c>
      <c r="B171" s="4" t="str">
        <f t="shared" si="2"/>
        <v>DEA4</v>
      </c>
      <c r="C171" s="4">
        <v>2</v>
      </c>
      <c r="D171" s="4" t="s">
        <v>437</v>
      </c>
      <c r="E171" s="4" t="s">
        <v>433</v>
      </c>
      <c r="F171" s="4" t="s">
        <v>48</v>
      </c>
      <c r="J171"/>
      <c r="K171"/>
    </row>
    <row r="172" spans="1:11" x14ac:dyDescent="0.3">
      <c r="A172" s="4" t="s">
        <v>297</v>
      </c>
      <c r="B172" s="4" t="str">
        <f t="shared" si="2"/>
        <v>DEA4</v>
      </c>
      <c r="C172" s="4">
        <v>3</v>
      </c>
      <c r="D172" s="4" t="s">
        <v>432</v>
      </c>
      <c r="E172" s="4" t="s">
        <v>433</v>
      </c>
      <c r="F172" s="4" t="s">
        <v>31</v>
      </c>
      <c r="J172"/>
      <c r="K172"/>
    </row>
    <row r="173" spans="1:11" x14ac:dyDescent="0.3">
      <c r="A173" s="4" t="s">
        <v>301</v>
      </c>
      <c r="B173" s="4" t="str">
        <f t="shared" si="2"/>
        <v>DE22</v>
      </c>
      <c r="C173" s="4">
        <v>1</v>
      </c>
      <c r="D173" s="4" t="s">
        <v>438</v>
      </c>
      <c r="E173" s="4" t="s">
        <v>433</v>
      </c>
      <c r="F173" s="4" t="s">
        <v>48</v>
      </c>
      <c r="J173"/>
      <c r="K173"/>
    </row>
    <row r="174" spans="1:11" x14ac:dyDescent="0.3">
      <c r="A174" s="4" t="s">
        <v>301</v>
      </c>
      <c r="B174" s="4" t="str">
        <f t="shared" si="2"/>
        <v>DE22</v>
      </c>
      <c r="C174" s="4">
        <v>2</v>
      </c>
      <c r="D174" s="4" t="s">
        <v>439</v>
      </c>
      <c r="E174" s="4" t="s">
        <v>433</v>
      </c>
      <c r="F174" s="4" t="s">
        <v>48</v>
      </c>
      <c r="J174"/>
      <c r="K174"/>
    </row>
    <row r="175" spans="1:11" x14ac:dyDescent="0.3">
      <c r="A175" s="4" t="s">
        <v>301</v>
      </c>
      <c r="B175" s="4" t="str">
        <f t="shared" si="2"/>
        <v>DE22</v>
      </c>
      <c r="C175" s="4">
        <v>3</v>
      </c>
      <c r="D175" s="4" t="s">
        <v>442</v>
      </c>
      <c r="E175" s="4" t="s">
        <v>441</v>
      </c>
      <c r="F175" s="4" t="s">
        <v>31</v>
      </c>
      <c r="J175"/>
      <c r="K175"/>
    </row>
    <row r="176" spans="1:11" x14ac:dyDescent="0.3">
      <c r="A176" s="4" t="s">
        <v>303</v>
      </c>
      <c r="B176" s="4" t="str">
        <f t="shared" si="2"/>
        <v>DE23</v>
      </c>
      <c r="C176" s="4">
        <v>1</v>
      </c>
      <c r="D176" s="4" t="s">
        <v>439</v>
      </c>
      <c r="E176" s="4" t="s">
        <v>433</v>
      </c>
      <c r="F176" s="4" t="s">
        <v>48</v>
      </c>
      <c r="J176"/>
      <c r="K176"/>
    </row>
    <row r="177" spans="1:11" x14ac:dyDescent="0.3">
      <c r="A177" s="4" t="s">
        <v>303</v>
      </c>
      <c r="B177" s="4" t="str">
        <f t="shared" si="2"/>
        <v>DE23</v>
      </c>
      <c r="C177" s="4">
        <v>2</v>
      </c>
      <c r="D177" s="4" t="s">
        <v>440</v>
      </c>
      <c r="E177" s="4" t="s">
        <v>441</v>
      </c>
      <c r="F177" s="4" t="s">
        <v>31</v>
      </c>
      <c r="J177"/>
      <c r="K177"/>
    </row>
    <row r="178" spans="1:11" x14ac:dyDescent="0.3">
      <c r="A178" s="4" t="s">
        <v>306</v>
      </c>
      <c r="B178" s="4" t="str">
        <f t="shared" si="2"/>
        <v>DEA4</v>
      </c>
      <c r="C178" s="4">
        <v>1</v>
      </c>
      <c r="D178" s="4" t="s">
        <v>439</v>
      </c>
      <c r="E178" s="4" t="s">
        <v>433</v>
      </c>
      <c r="F178" s="4" t="s">
        <v>48</v>
      </c>
      <c r="J178"/>
      <c r="K178"/>
    </row>
    <row r="179" spans="1:11" x14ac:dyDescent="0.3">
      <c r="A179" s="4" t="s">
        <v>306</v>
      </c>
      <c r="B179" s="4" t="str">
        <f t="shared" si="2"/>
        <v>DEA4</v>
      </c>
      <c r="C179" s="4">
        <v>2</v>
      </c>
      <c r="D179" s="4" t="s">
        <v>440</v>
      </c>
      <c r="E179" s="4" t="s">
        <v>441</v>
      </c>
      <c r="F179" s="4" t="s">
        <v>31</v>
      </c>
      <c r="J179"/>
      <c r="K179"/>
    </row>
    <row r="180" spans="1:11" x14ac:dyDescent="0.3">
      <c r="A180" s="4" t="s">
        <v>310</v>
      </c>
      <c r="B180" s="4" t="str">
        <f t="shared" si="2"/>
        <v>DED5</v>
      </c>
      <c r="C180" s="4">
        <v>1</v>
      </c>
      <c r="D180" s="4" t="s">
        <v>432</v>
      </c>
      <c r="E180" s="4" t="s">
        <v>433</v>
      </c>
      <c r="F180" s="4" t="s">
        <v>48</v>
      </c>
      <c r="J180"/>
      <c r="K180"/>
    </row>
    <row r="181" spans="1:11" x14ac:dyDescent="0.3">
      <c r="A181" s="4" t="s">
        <v>310</v>
      </c>
      <c r="B181" s="4" t="str">
        <f t="shared" si="2"/>
        <v>DED5</v>
      </c>
      <c r="C181" s="4">
        <v>2</v>
      </c>
      <c r="D181" s="4" t="s">
        <v>434</v>
      </c>
      <c r="E181" s="4" t="s">
        <v>433</v>
      </c>
      <c r="F181" s="4" t="s">
        <v>48</v>
      </c>
      <c r="J181"/>
      <c r="K181"/>
    </row>
    <row r="182" spans="1:11" x14ac:dyDescent="0.3">
      <c r="A182" s="4" t="s">
        <v>310</v>
      </c>
      <c r="B182" s="4" t="str">
        <f t="shared" si="2"/>
        <v>DED5</v>
      </c>
      <c r="C182" s="4">
        <v>3</v>
      </c>
      <c r="D182" s="4" t="s">
        <v>438</v>
      </c>
      <c r="E182" s="4" t="s">
        <v>433</v>
      </c>
      <c r="F182" s="4" t="s">
        <v>31</v>
      </c>
      <c r="J182"/>
      <c r="K182"/>
    </row>
    <row r="183" spans="1:11" x14ac:dyDescent="0.3">
      <c r="A183" s="4" t="s">
        <v>312</v>
      </c>
      <c r="B183" s="4" t="str">
        <f t="shared" si="2"/>
        <v>DE11</v>
      </c>
      <c r="C183" s="4">
        <v>1</v>
      </c>
      <c r="D183" s="4" t="s">
        <v>435</v>
      </c>
      <c r="E183" s="4" t="s">
        <v>436</v>
      </c>
      <c r="F183" s="4" t="s">
        <v>48</v>
      </c>
      <c r="J183"/>
      <c r="K183"/>
    </row>
    <row r="184" spans="1:11" x14ac:dyDescent="0.3">
      <c r="A184" s="4" t="s">
        <v>315</v>
      </c>
      <c r="B184" s="4" t="str">
        <f t="shared" si="2"/>
        <v>DE40</v>
      </c>
      <c r="C184" s="4">
        <v>1</v>
      </c>
      <c r="D184" s="4" t="s">
        <v>432</v>
      </c>
      <c r="E184" s="4" t="s">
        <v>433</v>
      </c>
      <c r="F184" s="4" t="s">
        <v>48</v>
      </c>
      <c r="J184"/>
      <c r="K184"/>
    </row>
    <row r="185" spans="1:11" x14ac:dyDescent="0.3">
      <c r="A185" s="4" t="s">
        <v>315</v>
      </c>
      <c r="B185" s="4" t="str">
        <f t="shared" si="2"/>
        <v>DE40</v>
      </c>
      <c r="C185" s="4">
        <v>2</v>
      </c>
      <c r="D185" s="4" t="s">
        <v>434</v>
      </c>
      <c r="E185" s="4" t="s">
        <v>433</v>
      </c>
      <c r="F185" s="4" t="s">
        <v>48</v>
      </c>
      <c r="J185"/>
      <c r="K185"/>
    </row>
    <row r="186" spans="1:11" x14ac:dyDescent="0.3">
      <c r="A186" s="4" t="s">
        <v>315</v>
      </c>
      <c r="B186" s="4" t="str">
        <f t="shared" si="2"/>
        <v>DE40</v>
      </c>
      <c r="C186" s="4">
        <v>3</v>
      </c>
      <c r="D186" s="4" t="s">
        <v>442</v>
      </c>
      <c r="E186" s="4" t="s">
        <v>441</v>
      </c>
      <c r="F186" s="4" t="s">
        <v>31</v>
      </c>
      <c r="J186"/>
      <c r="K186"/>
    </row>
    <row r="187" spans="1:11" x14ac:dyDescent="0.3">
      <c r="A187" s="4" t="s">
        <v>315</v>
      </c>
      <c r="B187" s="4" t="str">
        <f t="shared" si="2"/>
        <v>DE40</v>
      </c>
      <c r="C187" s="4">
        <v>4</v>
      </c>
      <c r="D187" s="4" t="s">
        <v>440</v>
      </c>
      <c r="E187" s="4" t="s">
        <v>441</v>
      </c>
      <c r="F187" s="4" t="s">
        <v>31</v>
      </c>
      <c r="J187"/>
      <c r="K187"/>
    </row>
    <row r="188" spans="1:11" x14ac:dyDescent="0.3">
      <c r="A188" s="4" t="s">
        <v>321</v>
      </c>
      <c r="B188" s="4" t="str">
        <f t="shared" si="2"/>
        <v>DEA4</v>
      </c>
      <c r="C188" s="4">
        <v>1</v>
      </c>
      <c r="D188" s="4" t="s">
        <v>434</v>
      </c>
      <c r="E188" s="4" t="s">
        <v>433</v>
      </c>
      <c r="F188" s="4" t="s">
        <v>48</v>
      </c>
      <c r="J188"/>
      <c r="K188"/>
    </row>
    <row r="189" spans="1:11" x14ac:dyDescent="0.3">
      <c r="A189" s="4" t="s">
        <v>321</v>
      </c>
      <c r="B189" s="4" t="str">
        <f t="shared" si="2"/>
        <v>DEA4</v>
      </c>
      <c r="C189" s="4">
        <v>2</v>
      </c>
      <c r="D189" s="4" t="s">
        <v>437</v>
      </c>
      <c r="E189" s="4" t="s">
        <v>433</v>
      </c>
      <c r="F189" s="4" t="s">
        <v>48</v>
      </c>
      <c r="J189"/>
      <c r="K189"/>
    </row>
    <row r="190" spans="1:11" x14ac:dyDescent="0.3">
      <c r="A190" s="4" t="s">
        <v>324</v>
      </c>
      <c r="B190" s="4" t="str">
        <f t="shared" si="2"/>
        <v>DE21</v>
      </c>
      <c r="C190" s="4">
        <v>1</v>
      </c>
      <c r="D190" s="4" t="s">
        <v>434</v>
      </c>
      <c r="E190" s="4" t="s">
        <v>433</v>
      </c>
      <c r="F190" s="4" t="s">
        <v>48</v>
      </c>
      <c r="J190"/>
      <c r="K190"/>
    </row>
    <row r="191" spans="1:11" x14ac:dyDescent="0.3">
      <c r="A191" s="4" t="s">
        <v>324</v>
      </c>
      <c r="B191" s="4" t="str">
        <f t="shared" si="2"/>
        <v>DE21</v>
      </c>
      <c r="C191" s="4">
        <v>2</v>
      </c>
      <c r="D191" s="4" t="s">
        <v>438</v>
      </c>
      <c r="E191" s="4" t="s">
        <v>433</v>
      </c>
      <c r="F191" s="4" t="s">
        <v>31</v>
      </c>
      <c r="J191"/>
      <c r="K191"/>
    </row>
    <row r="192" spans="1:11" x14ac:dyDescent="0.3">
      <c r="A192" s="4" t="s">
        <v>324</v>
      </c>
      <c r="B192" s="4" t="str">
        <f t="shared" si="2"/>
        <v>DE21</v>
      </c>
      <c r="C192" s="4">
        <v>3</v>
      </c>
      <c r="D192" s="4" t="s">
        <v>439</v>
      </c>
      <c r="E192" s="4" t="s">
        <v>433</v>
      </c>
      <c r="F192" s="4" t="s">
        <v>31</v>
      </c>
      <c r="J192"/>
      <c r="K192"/>
    </row>
    <row r="193" spans="1:11" x14ac:dyDescent="0.3">
      <c r="A193" s="4" t="s">
        <v>327</v>
      </c>
      <c r="B193" s="4" t="str">
        <f t="shared" si="2"/>
        <v>DE11</v>
      </c>
      <c r="C193" s="4">
        <v>1</v>
      </c>
      <c r="D193" s="4" t="s">
        <v>435</v>
      </c>
      <c r="E193" s="4" t="s">
        <v>436</v>
      </c>
      <c r="F193" s="4" t="s">
        <v>48</v>
      </c>
      <c r="J193"/>
      <c r="K193"/>
    </row>
    <row r="194" spans="1:11" x14ac:dyDescent="0.3">
      <c r="A194" s="4" t="s">
        <v>329</v>
      </c>
      <c r="B194" s="4" t="str">
        <f t="shared" si="2"/>
        <v>DE91</v>
      </c>
      <c r="C194" s="4">
        <v>1</v>
      </c>
      <c r="D194" s="4" t="s">
        <v>432</v>
      </c>
      <c r="E194" s="4" t="s">
        <v>433</v>
      </c>
      <c r="F194" s="4" t="s">
        <v>48</v>
      </c>
      <c r="J194"/>
      <c r="K194"/>
    </row>
    <row r="195" spans="1:11" x14ac:dyDescent="0.3">
      <c r="A195" s="4" t="s">
        <v>329</v>
      </c>
      <c r="B195" s="4" t="str">
        <f t="shared" ref="B195:B258" si="3">RIGHT(A195,LEN(A195)-FIND("@",SUBSTITUTE(A195,"_","@",LEN(A195)-LEN(SUBSTITUTE(A195,"_","")))))</f>
        <v>DE91</v>
      </c>
      <c r="C195" s="4">
        <v>2</v>
      </c>
      <c r="D195" s="4" t="s">
        <v>434</v>
      </c>
      <c r="E195" s="4" t="s">
        <v>433</v>
      </c>
      <c r="F195" s="4" t="s">
        <v>48</v>
      </c>
      <c r="J195"/>
      <c r="K195"/>
    </row>
    <row r="196" spans="1:11" x14ac:dyDescent="0.3">
      <c r="A196" s="4" t="s">
        <v>329</v>
      </c>
      <c r="B196" s="4" t="str">
        <f t="shared" si="3"/>
        <v>DE91</v>
      </c>
      <c r="C196" s="4">
        <v>3</v>
      </c>
      <c r="D196" s="4" t="s">
        <v>438</v>
      </c>
      <c r="E196" s="4" t="s">
        <v>433</v>
      </c>
      <c r="F196" s="4" t="s">
        <v>31</v>
      </c>
      <c r="J196"/>
      <c r="K196"/>
    </row>
    <row r="197" spans="1:11" x14ac:dyDescent="0.3">
      <c r="A197" s="4" t="s">
        <v>329</v>
      </c>
      <c r="B197" s="4" t="str">
        <f t="shared" si="3"/>
        <v>DE91</v>
      </c>
      <c r="C197" s="4">
        <v>4</v>
      </c>
      <c r="D197" s="4" t="s">
        <v>439</v>
      </c>
      <c r="E197" s="4" t="s">
        <v>433</v>
      </c>
      <c r="F197" s="4" t="s">
        <v>31</v>
      </c>
      <c r="J197"/>
      <c r="K197"/>
    </row>
    <row r="198" spans="1:11" x14ac:dyDescent="0.3">
      <c r="A198" s="4" t="s">
        <v>331</v>
      </c>
      <c r="B198" s="4" t="str">
        <f t="shared" si="3"/>
        <v>DE91</v>
      </c>
      <c r="C198" s="4">
        <v>1</v>
      </c>
      <c r="D198" s="4" t="s">
        <v>434</v>
      </c>
      <c r="E198" s="4" t="s">
        <v>433</v>
      </c>
      <c r="F198" s="4" t="s">
        <v>48</v>
      </c>
      <c r="J198"/>
      <c r="K198"/>
    </row>
    <row r="199" spans="1:11" x14ac:dyDescent="0.3">
      <c r="A199" s="4" t="s">
        <v>333</v>
      </c>
      <c r="B199" s="4" t="str">
        <f t="shared" si="3"/>
        <v>DEA2</v>
      </c>
      <c r="C199" s="4">
        <v>1</v>
      </c>
      <c r="D199" s="4" t="s">
        <v>432</v>
      </c>
      <c r="E199" s="4" t="s">
        <v>433</v>
      </c>
      <c r="F199" s="4" t="s">
        <v>48</v>
      </c>
      <c r="J199"/>
      <c r="K199"/>
    </row>
    <row r="200" spans="1:11" x14ac:dyDescent="0.3">
      <c r="A200" s="4" t="s">
        <v>333</v>
      </c>
      <c r="B200" s="4" t="str">
        <f t="shared" si="3"/>
        <v>DEA2</v>
      </c>
      <c r="C200" s="4">
        <v>2</v>
      </c>
      <c r="D200" s="4" t="s">
        <v>434</v>
      </c>
      <c r="E200" s="4" t="s">
        <v>433</v>
      </c>
      <c r="F200" s="4" t="s">
        <v>31</v>
      </c>
      <c r="J200"/>
      <c r="K200"/>
    </row>
    <row r="201" spans="1:11" x14ac:dyDescent="0.3">
      <c r="A201" s="4" t="s">
        <v>335</v>
      </c>
      <c r="B201" s="4" t="str">
        <f t="shared" si="3"/>
        <v>DEA5</v>
      </c>
      <c r="C201" s="4">
        <v>1</v>
      </c>
      <c r="D201" s="4" t="s">
        <v>439</v>
      </c>
      <c r="E201" s="4" t="s">
        <v>433</v>
      </c>
      <c r="F201" s="4" t="s">
        <v>48</v>
      </c>
      <c r="J201"/>
      <c r="K201"/>
    </row>
    <row r="202" spans="1:11" x14ac:dyDescent="0.3">
      <c r="A202" s="4" t="s">
        <v>335</v>
      </c>
      <c r="B202" s="4" t="str">
        <f t="shared" si="3"/>
        <v>DEA5</v>
      </c>
      <c r="C202" s="4">
        <v>2</v>
      </c>
      <c r="D202" s="4" t="s">
        <v>434</v>
      </c>
      <c r="E202" s="4" t="s">
        <v>433</v>
      </c>
      <c r="F202" s="4" t="s">
        <v>31</v>
      </c>
      <c r="J202"/>
      <c r="K202"/>
    </row>
    <row r="203" spans="1:11" x14ac:dyDescent="0.3">
      <c r="A203" s="4" t="s">
        <v>335</v>
      </c>
      <c r="B203" s="4" t="str">
        <f t="shared" si="3"/>
        <v>DEA5</v>
      </c>
      <c r="C203" s="4">
        <v>3</v>
      </c>
      <c r="D203" s="4" t="s">
        <v>438</v>
      </c>
      <c r="E203" s="4" t="s">
        <v>433</v>
      </c>
      <c r="F203" s="4" t="s">
        <v>31</v>
      </c>
      <c r="J203"/>
      <c r="K203"/>
    </row>
    <row r="204" spans="1:11" x14ac:dyDescent="0.3">
      <c r="A204" s="4" t="s">
        <v>339</v>
      </c>
      <c r="B204" s="4" t="str">
        <f t="shared" si="3"/>
        <v>DE12</v>
      </c>
      <c r="C204" s="4">
        <v>1</v>
      </c>
      <c r="D204" s="4" t="s">
        <v>437</v>
      </c>
      <c r="E204" s="4" t="s">
        <v>433</v>
      </c>
      <c r="F204" s="4" t="s">
        <v>48</v>
      </c>
      <c r="J204"/>
      <c r="K204"/>
    </row>
    <row r="205" spans="1:11" x14ac:dyDescent="0.3">
      <c r="A205" s="4" t="s">
        <v>339</v>
      </c>
      <c r="B205" s="4" t="str">
        <f t="shared" si="3"/>
        <v>DE12</v>
      </c>
      <c r="C205" s="4">
        <v>2</v>
      </c>
      <c r="D205" s="4" t="s">
        <v>434</v>
      </c>
      <c r="E205" s="4" t="s">
        <v>433</v>
      </c>
      <c r="F205" s="4" t="s">
        <v>31</v>
      </c>
      <c r="J205"/>
      <c r="K205"/>
    </row>
    <row r="206" spans="1:11" x14ac:dyDescent="0.3">
      <c r="A206" s="4" t="s">
        <v>342</v>
      </c>
      <c r="B206" s="4" t="str">
        <f t="shared" si="3"/>
        <v>DE12</v>
      </c>
      <c r="C206" s="4">
        <v>1</v>
      </c>
      <c r="D206" s="4" t="s">
        <v>432</v>
      </c>
      <c r="E206" s="4" t="s">
        <v>433</v>
      </c>
      <c r="F206" s="4" t="s">
        <v>48</v>
      </c>
      <c r="J206"/>
      <c r="K206"/>
    </row>
    <row r="207" spans="1:11" x14ac:dyDescent="0.3">
      <c r="A207" s="4" t="s">
        <v>342</v>
      </c>
      <c r="B207" s="4" t="str">
        <f t="shared" si="3"/>
        <v>DE12</v>
      </c>
      <c r="C207" s="4">
        <v>2</v>
      </c>
      <c r="D207" s="4" t="s">
        <v>434</v>
      </c>
      <c r="E207" s="4" t="s">
        <v>433</v>
      </c>
      <c r="F207" s="4" t="s">
        <v>31</v>
      </c>
      <c r="J207"/>
      <c r="K207"/>
    </row>
    <row r="208" spans="1:11" x14ac:dyDescent="0.3">
      <c r="A208" s="4" t="s">
        <v>342</v>
      </c>
      <c r="B208" s="4" t="str">
        <f t="shared" si="3"/>
        <v>DE12</v>
      </c>
      <c r="C208" s="4">
        <v>3</v>
      </c>
      <c r="D208" s="4" t="s">
        <v>438</v>
      </c>
      <c r="E208" s="4" t="s">
        <v>433</v>
      </c>
      <c r="F208" s="4" t="s">
        <v>31</v>
      </c>
      <c r="J208"/>
      <c r="K208"/>
    </row>
    <row r="209" spans="1:11" x14ac:dyDescent="0.3">
      <c r="A209" s="4" t="s">
        <v>342</v>
      </c>
      <c r="B209" s="4" t="str">
        <f t="shared" si="3"/>
        <v>DE12</v>
      </c>
      <c r="C209" s="4">
        <v>4</v>
      </c>
      <c r="D209" s="4" t="s">
        <v>437</v>
      </c>
      <c r="E209" s="4" t="s">
        <v>433</v>
      </c>
      <c r="F209" s="4" t="s">
        <v>73</v>
      </c>
      <c r="J209"/>
      <c r="K209"/>
    </row>
    <row r="210" spans="1:11" x14ac:dyDescent="0.3">
      <c r="A210" s="4" t="s">
        <v>344</v>
      </c>
      <c r="B210" s="4" t="str">
        <f t="shared" si="3"/>
        <v>DE94</v>
      </c>
      <c r="C210" s="4">
        <v>1</v>
      </c>
      <c r="D210" s="4" t="s">
        <v>432</v>
      </c>
      <c r="E210" s="4" t="s">
        <v>433</v>
      </c>
      <c r="F210" s="4" t="s">
        <v>48</v>
      </c>
      <c r="J210"/>
      <c r="K210"/>
    </row>
    <row r="211" spans="1:11" x14ac:dyDescent="0.3">
      <c r="A211" s="4" t="s">
        <v>344</v>
      </c>
      <c r="B211" s="4" t="str">
        <f t="shared" si="3"/>
        <v>DE94</v>
      </c>
      <c r="C211" s="4">
        <v>2</v>
      </c>
      <c r="D211" s="4" t="s">
        <v>434</v>
      </c>
      <c r="E211" s="4" t="s">
        <v>433</v>
      </c>
      <c r="F211" s="4" t="s">
        <v>48</v>
      </c>
      <c r="J211"/>
      <c r="K211"/>
    </row>
    <row r="212" spans="1:11" x14ac:dyDescent="0.3">
      <c r="A212" s="4" t="s">
        <v>344</v>
      </c>
      <c r="B212" s="4" t="str">
        <f t="shared" si="3"/>
        <v>DE94</v>
      </c>
      <c r="C212" s="4">
        <v>3</v>
      </c>
      <c r="D212" s="4" t="s">
        <v>438</v>
      </c>
      <c r="E212" s="4" t="s">
        <v>433</v>
      </c>
      <c r="F212" s="4" t="s">
        <v>31</v>
      </c>
      <c r="J212"/>
      <c r="K212"/>
    </row>
    <row r="213" spans="1:11" x14ac:dyDescent="0.3">
      <c r="A213" s="4" t="s">
        <v>345</v>
      </c>
      <c r="B213" s="4" t="str">
        <f t="shared" si="3"/>
        <v>DEA1</v>
      </c>
      <c r="C213" s="4">
        <v>1</v>
      </c>
      <c r="D213" s="4" t="s">
        <v>434</v>
      </c>
      <c r="E213" s="4" t="s">
        <v>433</v>
      </c>
      <c r="F213" s="4" t="s">
        <v>31</v>
      </c>
      <c r="J213"/>
      <c r="K213"/>
    </row>
    <row r="214" spans="1:11" x14ac:dyDescent="0.3">
      <c r="A214" s="4" t="s">
        <v>347</v>
      </c>
      <c r="B214" s="4" t="str">
        <f t="shared" si="3"/>
        <v>DE14</v>
      </c>
      <c r="C214" s="4">
        <v>1</v>
      </c>
      <c r="D214" s="4" t="s">
        <v>435</v>
      </c>
      <c r="E214" s="4" t="s">
        <v>436</v>
      </c>
      <c r="F214" s="4" t="s">
        <v>48</v>
      </c>
      <c r="J214"/>
      <c r="K214"/>
    </row>
    <row r="215" spans="1:11" x14ac:dyDescent="0.3">
      <c r="A215" s="4" t="s">
        <v>350</v>
      </c>
      <c r="B215" s="4" t="str">
        <f t="shared" si="3"/>
        <v>DEA5</v>
      </c>
      <c r="C215" s="4">
        <v>1</v>
      </c>
      <c r="D215" s="4" t="s">
        <v>439</v>
      </c>
      <c r="E215" s="4" t="s">
        <v>433</v>
      </c>
      <c r="F215" s="4" t="s">
        <v>48</v>
      </c>
      <c r="J215"/>
      <c r="K215"/>
    </row>
    <row r="216" spans="1:11" x14ac:dyDescent="0.3">
      <c r="A216" s="4" t="s">
        <v>350</v>
      </c>
      <c r="B216" s="4" t="str">
        <f t="shared" si="3"/>
        <v>DEA5</v>
      </c>
      <c r="C216" s="4">
        <v>2</v>
      </c>
      <c r="D216" s="4" t="s">
        <v>438</v>
      </c>
      <c r="E216" s="4" t="s">
        <v>433</v>
      </c>
      <c r="F216" s="4" t="s">
        <v>31</v>
      </c>
      <c r="J216"/>
      <c r="K216"/>
    </row>
    <row r="217" spans="1:11" x14ac:dyDescent="0.3">
      <c r="A217" s="4" t="s">
        <v>350</v>
      </c>
      <c r="B217" s="4" t="str">
        <f t="shared" si="3"/>
        <v>DEA5</v>
      </c>
      <c r="C217" s="4">
        <v>3</v>
      </c>
      <c r="D217" s="4" t="s">
        <v>440</v>
      </c>
      <c r="E217" s="4" t="s">
        <v>441</v>
      </c>
      <c r="F217" s="4" t="s">
        <v>73</v>
      </c>
      <c r="J217"/>
      <c r="K217"/>
    </row>
    <row r="218" spans="1:11" x14ac:dyDescent="0.3">
      <c r="A218" s="4" t="s">
        <v>352</v>
      </c>
      <c r="B218" s="4" t="str">
        <f t="shared" si="3"/>
        <v>DE14</v>
      </c>
      <c r="C218" s="4">
        <v>1</v>
      </c>
      <c r="D218" s="4" t="s">
        <v>439</v>
      </c>
      <c r="E218" s="4" t="s">
        <v>433</v>
      </c>
      <c r="F218" s="4" t="s">
        <v>48</v>
      </c>
      <c r="J218"/>
      <c r="K218"/>
    </row>
    <row r="219" spans="1:11" x14ac:dyDescent="0.3">
      <c r="A219" s="4" t="s">
        <v>352</v>
      </c>
      <c r="B219" s="4" t="str">
        <f t="shared" si="3"/>
        <v>DE14</v>
      </c>
      <c r="C219" s="4">
        <v>2</v>
      </c>
      <c r="D219" s="4" t="s">
        <v>440</v>
      </c>
      <c r="E219" s="4" t="s">
        <v>441</v>
      </c>
      <c r="F219" s="4" t="s">
        <v>31</v>
      </c>
      <c r="J219"/>
      <c r="K219"/>
    </row>
    <row r="220" spans="1:11" x14ac:dyDescent="0.3">
      <c r="A220" s="4" t="s">
        <v>355</v>
      </c>
      <c r="B220" s="4" t="str">
        <f t="shared" si="3"/>
        <v>DEA1</v>
      </c>
      <c r="C220" s="4">
        <v>1</v>
      </c>
      <c r="D220" s="4" t="s">
        <v>434</v>
      </c>
      <c r="E220" s="4" t="s">
        <v>433</v>
      </c>
      <c r="F220" s="4" t="s">
        <v>48</v>
      </c>
      <c r="J220"/>
      <c r="K220"/>
    </row>
    <row r="221" spans="1:11" x14ac:dyDescent="0.3">
      <c r="A221" s="4" t="s">
        <v>357</v>
      </c>
      <c r="B221" s="4" t="str">
        <f t="shared" si="3"/>
        <v>DE71</v>
      </c>
      <c r="C221" s="4">
        <v>1</v>
      </c>
      <c r="D221" s="4" t="s">
        <v>432</v>
      </c>
      <c r="E221" s="4" t="s">
        <v>433</v>
      </c>
      <c r="F221" s="4" t="s">
        <v>48</v>
      </c>
      <c r="J221"/>
      <c r="K221"/>
    </row>
    <row r="222" spans="1:11" x14ac:dyDescent="0.3">
      <c r="A222" s="4" t="s">
        <v>357</v>
      </c>
      <c r="B222" s="4" t="str">
        <f t="shared" si="3"/>
        <v>DE71</v>
      </c>
      <c r="C222" s="4">
        <v>2</v>
      </c>
      <c r="D222" s="4" t="s">
        <v>434</v>
      </c>
      <c r="E222" s="4" t="s">
        <v>433</v>
      </c>
      <c r="F222" s="4" t="s">
        <v>31</v>
      </c>
      <c r="J222"/>
      <c r="K222"/>
    </row>
    <row r="223" spans="1:11" x14ac:dyDescent="0.3">
      <c r="A223" s="4" t="s">
        <v>357</v>
      </c>
      <c r="B223" s="4" t="str">
        <f t="shared" si="3"/>
        <v>DE71</v>
      </c>
      <c r="C223" s="4">
        <v>3</v>
      </c>
      <c r="D223" s="4" t="s">
        <v>438</v>
      </c>
      <c r="E223" s="4" t="s">
        <v>433</v>
      </c>
      <c r="F223" s="4" t="s">
        <v>31</v>
      </c>
      <c r="J223"/>
      <c r="K223"/>
    </row>
    <row r="224" spans="1:11" x14ac:dyDescent="0.3">
      <c r="A224" s="4" t="s">
        <v>363</v>
      </c>
      <c r="B224" s="4" t="str">
        <f t="shared" si="3"/>
        <v>DEG0</v>
      </c>
      <c r="C224" s="4">
        <v>1</v>
      </c>
      <c r="D224" s="4" t="s">
        <v>439</v>
      </c>
      <c r="E224" s="4" t="s">
        <v>433</v>
      </c>
      <c r="F224" s="4" t="s">
        <v>48</v>
      </c>
      <c r="J224"/>
      <c r="K224"/>
    </row>
    <row r="225" spans="1:11" x14ac:dyDescent="0.3">
      <c r="A225" s="4" t="s">
        <v>363</v>
      </c>
      <c r="B225" s="4" t="str">
        <f t="shared" si="3"/>
        <v>DEG0</v>
      </c>
      <c r="C225" s="4">
        <v>2</v>
      </c>
      <c r="D225" s="4" t="s">
        <v>440</v>
      </c>
      <c r="E225" s="4" t="s">
        <v>441</v>
      </c>
      <c r="F225" s="4" t="s">
        <v>31</v>
      </c>
      <c r="J225"/>
      <c r="K225"/>
    </row>
    <row r="226" spans="1:11" x14ac:dyDescent="0.3">
      <c r="A226" s="4" t="s">
        <v>363</v>
      </c>
      <c r="B226" s="4" t="str">
        <f t="shared" si="3"/>
        <v>DEG0</v>
      </c>
      <c r="C226" s="4">
        <v>3</v>
      </c>
      <c r="D226" s="4" t="s">
        <v>435</v>
      </c>
      <c r="E226" s="4" t="s">
        <v>436</v>
      </c>
      <c r="F226" s="4" t="s">
        <v>31</v>
      </c>
      <c r="J226"/>
      <c r="K226"/>
    </row>
    <row r="227" spans="1:11" x14ac:dyDescent="0.3">
      <c r="A227" s="4" t="s">
        <v>367</v>
      </c>
      <c r="B227" s="4" t="str">
        <f t="shared" si="3"/>
        <v>DED2</v>
      </c>
      <c r="C227" s="4">
        <v>1</v>
      </c>
      <c r="D227" s="4" t="s">
        <v>432</v>
      </c>
      <c r="E227" s="4" t="s">
        <v>433</v>
      </c>
      <c r="F227" s="4" t="s">
        <v>48</v>
      </c>
      <c r="J227"/>
      <c r="K227"/>
    </row>
    <row r="228" spans="1:11" x14ac:dyDescent="0.3">
      <c r="A228" s="4" t="s">
        <v>369</v>
      </c>
      <c r="B228" s="4" t="str">
        <f t="shared" si="3"/>
        <v>DEC0</v>
      </c>
      <c r="C228" s="4">
        <v>1</v>
      </c>
      <c r="D228" s="4" t="s">
        <v>435</v>
      </c>
      <c r="E228" s="4" t="s">
        <v>433</v>
      </c>
      <c r="F228" s="4" t="s">
        <v>31</v>
      </c>
      <c r="J228"/>
      <c r="K228"/>
    </row>
    <row r="229" spans="1:11" x14ac:dyDescent="0.3">
      <c r="A229" s="4" t="s">
        <v>369</v>
      </c>
      <c r="B229" s="4" t="str">
        <f t="shared" si="3"/>
        <v>DEC0</v>
      </c>
      <c r="C229" s="4">
        <v>2</v>
      </c>
      <c r="D229" s="4" t="s">
        <v>439</v>
      </c>
      <c r="E229" s="4" t="s">
        <v>433</v>
      </c>
      <c r="F229" s="4" t="s">
        <v>48</v>
      </c>
      <c r="J229"/>
      <c r="K229"/>
    </row>
    <row r="230" spans="1:11" x14ac:dyDescent="0.3">
      <c r="A230" s="4" t="s">
        <v>369</v>
      </c>
      <c r="B230" s="4" t="str">
        <f t="shared" si="3"/>
        <v>DEC0</v>
      </c>
      <c r="C230" s="4">
        <v>3</v>
      </c>
      <c r="D230" s="4" t="s">
        <v>437</v>
      </c>
      <c r="E230" s="4" t="s">
        <v>433</v>
      </c>
      <c r="F230" s="4" t="s">
        <v>31</v>
      </c>
      <c r="J230"/>
      <c r="K230"/>
    </row>
    <row r="231" spans="1:11" x14ac:dyDescent="0.3">
      <c r="A231" s="4" t="s">
        <v>372</v>
      </c>
      <c r="B231" s="4" t="str">
        <f t="shared" si="3"/>
        <v>DE23</v>
      </c>
      <c r="C231" s="4">
        <v>1</v>
      </c>
      <c r="D231" s="4" t="s">
        <v>439</v>
      </c>
      <c r="E231" s="4" t="s">
        <v>433</v>
      </c>
      <c r="F231" s="4" t="s">
        <v>48</v>
      </c>
      <c r="J231"/>
      <c r="K231"/>
    </row>
    <row r="232" spans="1:11" x14ac:dyDescent="0.3">
      <c r="A232" s="4" t="s">
        <v>372</v>
      </c>
      <c r="B232" s="4" t="str">
        <f t="shared" si="3"/>
        <v>DE23</v>
      </c>
      <c r="C232" s="4">
        <v>2</v>
      </c>
      <c r="D232" s="4" t="s">
        <v>440</v>
      </c>
      <c r="E232" s="4" t="s">
        <v>441</v>
      </c>
      <c r="F232" s="4" t="s">
        <v>31</v>
      </c>
      <c r="J232"/>
      <c r="K232"/>
    </row>
    <row r="233" spans="1:11" x14ac:dyDescent="0.3">
      <c r="A233" s="4" t="s">
        <v>372</v>
      </c>
      <c r="B233" s="4" t="str">
        <f t="shared" si="3"/>
        <v>DE23</v>
      </c>
      <c r="C233" s="4">
        <v>3</v>
      </c>
      <c r="D233" s="4" t="s">
        <v>438</v>
      </c>
      <c r="E233" s="4" t="s">
        <v>433</v>
      </c>
      <c r="F233" s="4" t="s">
        <v>31</v>
      </c>
      <c r="J233"/>
      <c r="K233"/>
    </row>
    <row r="234" spans="1:11" x14ac:dyDescent="0.3">
      <c r="A234" s="4" t="s">
        <v>374</v>
      </c>
      <c r="B234" s="4" t="str">
        <f t="shared" si="3"/>
        <v>DE22</v>
      </c>
      <c r="C234" s="4">
        <v>1</v>
      </c>
      <c r="D234" s="4" t="s">
        <v>434</v>
      </c>
      <c r="E234" s="4" t="s">
        <v>433</v>
      </c>
      <c r="F234" s="4" t="s">
        <v>48</v>
      </c>
      <c r="J234"/>
      <c r="K234"/>
    </row>
    <row r="235" spans="1:11" x14ac:dyDescent="0.3">
      <c r="A235" s="4" t="s">
        <v>374</v>
      </c>
      <c r="B235" s="4" t="str">
        <f t="shared" si="3"/>
        <v>DE22</v>
      </c>
      <c r="C235" s="4">
        <v>2</v>
      </c>
      <c r="D235" s="4" t="s">
        <v>437</v>
      </c>
      <c r="E235" s="4" t="s">
        <v>433</v>
      </c>
      <c r="F235" s="4" t="s">
        <v>31</v>
      </c>
      <c r="J235"/>
      <c r="K235"/>
    </row>
    <row r="236" spans="1:11" x14ac:dyDescent="0.3">
      <c r="A236" s="4" t="s">
        <v>374</v>
      </c>
      <c r="B236" s="4" t="str">
        <f t="shared" si="3"/>
        <v>DE22</v>
      </c>
      <c r="C236" s="4">
        <v>3</v>
      </c>
      <c r="D236" s="4" t="s">
        <v>435</v>
      </c>
      <c r="E236" s="4" t="s">
        <v>433</v>
      </c>
      <c r="F236" s="4" t="s">
        <v>31</v>
      </c>
      <c r="J236"/>
      <c r="K236"/>
    </row>
    <row r="237" spans="1:11" x14ac:dyDescent="0.3">
      <c r="A237" s="4" t="s">
        <v>377</v>
      </c>
      <c r="B237" s="4" t="str">
        <f t="shared" si="3"/>
        <v>DEA2</v>
      </c>
      <c r="C237" s="4">
        <v>1</v>
      </c>
      <c r="D237" s="4" t="s">
        <v>432</v>
      </c>
      <c r="E237" s="4" t="s">
        <v>433</v>
      </c>
      <c r="F237" s="4" t="s">
        <v>48</v>
      </c>
      <c r="J237"/>
      <c r="K237"/>
    </row>
    <row r="238" spans="1:11" x14ac:dyDescent="0.3">
      <c r="A238" s="4" t="s">
        <v>377</v>
      </c>
      <c r="B238" s="4" t="str">
        <f t="shared" si="3"/>
        <v>DEA2</v>
      </c>
      <c r="C238" s="4">
        <v>2</v>
      </c>
      <c r="D238" s="4" t="s">
        <v>434</v>
      </c>
      <c r="E238" s="4" t="s">
        <v>433</v>
      </c>
      <c r="F238" s="4" t="s">
        <v>31</v>
      </c>
      <c r="J238"/>
      <c r="K238"/>
    </row>
    <row r="239" spans="1:11" x14ac:dyDescent="0.3">
      <c r="A239" s="4" t="s">
        <v>379</v>
      </c>
      <c r="B239" s="4" t="str">
        <f t="shared" si="3"/>
        <v>DE27</v>
      </c>
      <c r="C239" s="4">
        <v>1</v>
      </c>
      <c r="D239" s="4" t="s">
        <v>432</v>
      </c>
      <c r="E239" s="4" t="s">
        <v>433</v>
      </c>
      <c r="F239" s="4" t="s">
        <v>48</v>
      </c>
      <c r="J239"/>
      <c r="K239"/>
    </row>
    <row r="240" spans="1:11" x14ac:dyDescent="0.3">
      <c r="A240" s="4" t="s">
        <v>379</v>
      </c>
      <c r="B240" s="4" t="str">
        <f t="shared" si="3"/>
        <v>DE27</v>
      </c>
      <c r="C240" s="4">
        <v>2</v>
      </c>
      <c r="D240" s="4" t="s">
        <v>434</v>
      </c>
      <c r="E240" s="4" t="s">
        <v>433</v>
      </c>
      <c r="F240" s="4" t="s">
        <v>31</v>
      </c>
      <c r="J240"/>
      <c r="K240"/>
    </row>
    <row r="241" spans="1:11" x14ac:dyDescent="0.3">
      <c r="A241" s="4" t="s">
        <v>379</v>
      </c>
      <c r="B241" s="4" t="str">
        <f t="shared" si="3"/>
        <v>DE27</v>
      </c>
      <c r="C241" s="4">
        <v>3</v>
      </c>
      <c r="D241" s="4" t="s">
        <v>437</v>
      </c>
      <c r="E241" s="4" t="s">
        <v>433</v>
      </c>
      <c r="F241" s="4" t="s">
        <v>31</v>
      </c>
      <c r="J241"/>
      <c r="K241"/>
    </row>
    <row r="242" spans="1:11" x14ac:dyDescent="0.3">
      <c r="A242" s="4" t="s">
        <v>379</v>
      </c>
      <c r="B242" s="4" t="str">
        <f t="shared" si="3"/>
        <v>DE27</v>
      </c>
      <c r="C242" s="4">
        <v>4</v>
      </c>
      <c r="D242" s="4" t="s">
        <v>438</v>
      </c>
      <c r="E242" s="4" t="s">
        <v>433</v>
      </c>
      <c r="F242" s="4" t="s">
        <v>31</v>
      </c>
      <c r="J242"/>
      <c r="K242"/>
    </row>
    <row r="243" spans="1:11" x14ac:dyDescent="0.3">
      <c r="A243" s="4" t="s">
        <v>381</v>
      </c>
      <c r="B243" s="4" t="str">
        <f t="shared" si="3"/>
        <v>DE24</v>
      </c>
      <c r="C243" s="4">
        <v>1</v>
      </c>
      <c r="D243" s="4" t="s">
        <v>440</v>
      </c>
      <c r="E243" s="4" t="s">
        <v>441</v>
      </c>
      <c r="F243" s="4" t="s">
        <v>48</v>
      </c>
      <c r="J243"/>
      <c r="K243"/>
    </row>
    <row r="244" spans="1:11" x14ac:dyDescent="0.3">
      <c r="A244" s="4" t="s">
        <v>381</v>
      </c>
      <c r="B244" s="4" t="str">
        <f t="shared" si="3"/>
        <v>DE24</v>
      </c>
      <c r="C244" s="4">
        <v>2</v>
      </c>
      <c r="D244" s="4" t="s">
        <v>434</v>
      </c>
      <c r="E244" s="4" t="s">
        <v>433</v>
      </c>
      <c r="F244" s="4" t="s">
        <v>48</v>
      </c>
      <c r="J244"/>
      <c r="K244"/>
    </row>
    <row r="245" spans="1:11" x14ac:dyDescent="0.3">
      <c r="A245" s="4" t="s">
        <v>381</v>
      </c>
      <c r="B245" s="4" t="str">
        <f t="shared" si="3"/>
        <v>DE24</v>
      </c>
      <c r="C245" s="4">
        <v>3</v>
      </c>
      <c r="D245" s="4" t="s">
        <v>438</v>
      </c>
      <c r="E245" s="4" t="s">
        <v>433</v>
      </c>
      <c r="F245" s="4" t="s">
        <v>48</v>
      </c>
      <c r="J245"/>
      <c r="K245"/>
    </row>
    <row r="246" spans="1:11" x14ac:dyDescent="0.3">
      <c r="A246" s="4" t="s">
        <v>381</v>
      </c>
      <c r="B246" s="4" t="str">
        <f t="shared" si="3"/>
        <v>DE24</v>
      </c>
      <c r="C246" s="4">
        <v>4</v>
      </c>
      <c r="D246" s="4" t="s">
        <v>439</v>
      </c>
      <c r="E246" s="4" t="s">
        <v>433</v>
      </c>
      <c r="F246" s="4" t="s">
        <v>31</v>
      </c>
      <c r="J246"/>
      <c r="K246"/>
    </row>
    <row r="247" spans="1:11" x14ac:dyDescent="0.3">
      <c r="A247" s="4" t="s">
        <v>384</v>
      </c>
      <c r="B247" s="4" t="str">
        <f t="shared" si="3"/>
        <v>DE14</v>
      </c>
      <c r="C247" s="4">
        <v>1</v>
      </c>
      <c r="D247" s="4" t="s">
        <v>435</v>
      </c>
      <c r="E247" s="4" t="s">
        <v>436</v>
      </c>
      <c r="F247" s="4" t="s">
        <v>48</v>
      </c>
      <c r="J247"/>
      <c r="K247"/>
    </row>
    <row r="248" spans="1:11" x14ac:dyDescent="0.3">
      <c r="A248" s="4" t="s">
        <v>384</v>
      </c>
      <c r="B248" s="4" t="str">
        <f t="shared" si="3"/>
        <v>DE14</v>
      </c>
      <c r="C248" s="4">
        <v>2</v>
      </c>
      <c r="D248" s="4" t="s">
        <v>437</v>
      </c>
      <c r="E248" s="4" t="s">
        <v>433</v>
      </c>
      <c r="F248" s="4" t="s">
        <v>31</v>
      </c>
      <c r="J248"/>
      <c r="K248"/>
    </row>
    <row r="249" spans="1:11" x14ac:dyDescent="0.3">
      <c r="A249" s="4" t="s">
        <v>384</v>
      </c>
      <c r="B249" s="4" t="str">
        <f t="shared" si="3"/>
        <v>DE14</v>
      </c>
      <c r="C249" s="4">
        <v>3</v>
      </c>
      <c r="D249" s="4" t="s">
        <v>434</v>
      </c>
      <c r="E249" s="4" t="s">
        <v>433</v>
      </c>
      <c r="F249" s="4" t="s">
        <v>31</v>
      </c>
      <c r="J249"/>
      <c r="K249"/>
    </row>
    <row r="250" spans="1:11" x14ac:dyDescent="0.3">
      <c r="A250" s="4" t="s">
        <v>388</v>
      </c>
      <c r="B250" s="4" t="str">
        <f t="shared" si="3"/>
        <v>DE11</v>
      </c>
      <c r="C250" s="4">
        <v>1</v>
      </c>
      <c r="D250" s="4" t="s">
        <v>432</v>
      </c>
      <c r="E250" s="4" t="s">
        <v>433</v>
      </c>
      <c r="F250" s="4" t="s">
        <v>48</v>
      </c>
      <c r="J250"/>
      <c r="K250"/>
    </row>
    <row r="251" spans="1:11" x14ac:dyDescent="0.3">
      <c r="A251" s="4" t="s">
        <v>388</v>
      </c>
      <c r="B251" s="4" t="str">
        <f t="shared" si="3"/>
        <v>DE11</v>
      </c>
      <c r="C251" s="4">
        <v>2</v>
      </c>
      <c r="D251" s="4" t="s">
        <v>434</v>
      </c>
      <c r="E251" s="4" t="s">
        <v>433</v>
      </c>
      <c r="F251" s="4" t="s">
        <v>48</v>
      </c>
      <c r="J251"/>
      <c r="K251"/>
    </row>
    <row r="252" spans="1:11" x14ac:dyDescent="0.3">
      <c r="A252" s="4" t="s">
        <v>388</v>
      </c>
      <c r="B252" s="4" t="str">
        <f t="shared" si="3"/>
        <v>DE11</v>
      </c>
      <c r="C252" s="4">
        <v>3</v>
      </c>
      <c r="D252" s="4" t="s">
        <v>438</v>
      </c>
      <c r="E252" s="4" t="s">
        <v>433</v>
      </c>
      <c r="F252" s="4" t="s">
        <v>48</v>
      </c>
      <c r="J252"/>
      <c r="K252"/>
    </row>
    <row r="253" spans="1:11" x14ac:dyDescent="0.3">
      <c r="A253" s="4" t="s">
        <v>391</v>
      </c>
      <c r="B253" s="4" t="str">
        <f t="shared" si="3"/>
        <v>DE11</v>
      </c>
      <c r="C253" s="4">
        <v>1</v>
      </c>
      <c r="D253" s="4" t="s">
        <v>435</v>
      </c>
      <c r="E253" s="4" t="s">
        <v>436</v>
      </c>
      <c r="F253" s="4" t="s">
        <v>48</v>
      </c>
      <c r="J253"/>
      <c r="K253"/>
    </row>
    <row r="254" spans="1:11" x14ac:dyDescent="0.3">
      <c r="A254" s="4" t="s">
        <v>393</v>
      </c>
      <c r="B254" s="4" t="str">
        <f t="shared" si="3"/>
        <v>DEC0</v>
      </c>
      <c r="C254" s="4">
        <v>1</v>
      </c>
      <c r="D254" s="4" t="s">
        <v>432</v>
      </c>
      <c r="E254" s="4" t="s">
        <v>433</v>
      </c>
      <c r="F254" s="4" t="s">
        <v>48</v>
      </c>
      <c r="J254"/>
      <c r="K254"/>
    </row>
    <row r="255" spans="1:11" x14ac:dyDescent="0.3">
      <c r="A255" s="4" t="s">
        <v>393</v>
      </c>
      <c r="B255" s="4" t="str">
        <f t="shared" si="3"/>
        <v>DEC0</v>
      </c>
      <c r="C255" s="4">
        <v>2</v>
      </c>
      <c r="D255" s="4" t="s">
        <v>434</v>
      </c>
      <c r="E255" s="4" t="s">
        <v>433</v>
      </c>
      <c r="F255" s="4" t="s">
        <v>48</v>
      </c>
      <c r="J255"/>
      <c r="K255"/>
    </row>
    <row r="256" spans="1:11" x14ac:dyDescent="0.3">
      <c r="A256" s="4" t="s">
        <v>395</v>
      </c>
      <c r="B256" s="4" t="str">
        <f t="shared" si="3"/>
        <v>DE11</v>
      </c>
      <c r="C256" s="4">
        <v>1</v>
      </c>
      <c r="D256" s="4" t="s">
        <v>439</v>
      </c>
      <c r="E256" s="4" t="s">
        <v>433</v>
      </c>
      <c r="F256" s="4" t="s">
        <v>48</v>
      </c>
      <c r="J256"/>
      <c r="K256"/>
    </row>
    <row r="257" spans="1:11" x14ac:dyDescent="0.3">
      <c r="A257" s="4" t="s">
        <v>395</v>
      </c>
      <c r="B257" s="4" t="str">
        <f t="shared" si="3"/>
        <v>DE11</v>
      </c>
      <c r="C257" s="4">
        <v>2</v>
      </c>
      <c r="D257" s="4" t="s">
        <v>435</v>
      </c>
      <c r="E257" s="4" t="s">
        <v>436</v>
      </c>
      <c r="F257" s="4" t="s">
        <v>31</v>
      </c>
      <c r="J257"/>
      <c r="K257"/>
    </row>
    <row r="258" spans="1:11" x14ac:dyDescent="0.3">
      <c r="A258" s="4" t="s">
        <v>395</v>
      </c>
      <c r="B258" s="4" t="str">
        <f t="shared" si="3"/>
        <v>DE11</v>
      </c>
      <c r="C258" s="4">
        <v>3</v>
      </c>
      <c r="D258" s="4" t="s">
        <v>440</v>
      </c>
      <c r="E258" s="4" t="s">
        <v>441</v>
      </c>
      <c r="F258" s="4" t="s">
        <v>73</v>
      </c>
      <c r="J258"/>
      <c r="K258"/>
    </row>
    <row r="259" spans="1:11" x14ac:dyDescent="0.3">
      <c r="A259" s="4" t="s">
        <v>397</v>
      </c>
      <c r="B259" s="4" t="str">
        <f t="shared" ref="B259:B281" si="4">RIGHT(A259,LEN(A259)-FIND("@",SUBSTITUTE(A259,"_","@",LEN(A259)-LEN(SUBSTITUTE(A259,"_","")))))</f>
        <v>DE11</v>
      </c>
      <c r="C259" s="4">
        <v>1</v>
      </c>
      <c r="D259" s="4" t="s">
        <v>435</v>
      </c>
      <c r="E259" s="4" t="s">
        <v>436</v>
      </c>
      <c r="F259" s="4" t="s">
        <v>48</v>
      </c>
      <c r="J259"/>
      <c r="K259"/>
    </row>
    <row r="260" spans="1:11" x14ac:dyDescent="0.3">
      <c r="A260" s="4" t="s">
        <v>397</v>
      </c>
      <c r="B260" s="4" t="str">
        <f t="shared" si="4"/>
        <v>DE11</v>
      </c>
      <c r="C260" s="4">
        <v>2</v>
      </c>
      <c r="D260" s="4" t="s">
        <v>438</v>
      </c>
      <c r="E260" s="4" t="s">
        <v>433</v>
      </c>
      <c r="F260" s="4" t="s">
        <v>48</v>
      </c>
      <c r="J260"/>
      <c r="K260"/>
    </row>
    <row r="261" spans="1:11" x14ac:dyDescent="0.3">
      <c r="A261" s="4" t="s">
        <v>397</v>
      </c>
      <c r="B261" s="4" t="str">
        <f t="shared" si="4"/>
        <v>DE11</v>
      </c>
      <c r="C261" s="4">
        <v>3</v>
      </c>
      <c r="D261" s="4" t="s">
        <v>434</v>
      </c>
      <c r="E261" s="4" t="s">
        <v>433</v>
      </c>
      <c r="F261" s="4" t="s">
        <v>31</v>
      </c>
      <c r="J261"/>
      <c r="K261"/>
    </row>
    <row r="262" spans="1:11" x14ac:dyDescent="0.3">
      <c r="A262" s="4" t="s">
        <v>399</v>
      </c>
      <c r="B262" s="4" t="str">
        <f t="shared" si="4"/>
        <v>DEG0</v>
      </c>
      <c r="C262" s="4">
        <v>1</v>
      </c>
      <c r="D262" s="4" t="s">
        <v>432</v>
      </c>
      <c r="E262" s="4" t="s">
        <v>433</v>
      </c>
      <c r="F262" s="4" t="s">
        <v>48</v>
      </c>
      <c r="J262"/>
      <c r="K262"/>
    </row>
    <row r="263" spans="1:11" x14ac:dyDescent="0.3">
      <c r="A263" s="4" t="s">
        <v>403</v>
      </c>
      <c r="B263" s="4" t="str">
        <f t="shared" si="4"/>
        <v>DE21</v>
      </c>
      <c r="C263" s="4">
        <v>1</v>
      </c>
      <c r="D263" s="4" t="s">
        <v>434</v>
      </c>
      <c r="E263" s="4" t="s">
        <v>433</v>
      </c>
      <c r="F263" s="4" t="s">
        <v>48</v>
      </c>
      <c r="J263"/>
      <c r="K263"/>
    </row>
    <row r="264" spans="1:11" x14ac:dyDescent="0.3">
      <c r="A264" s="4" t="s">
        <v>403</v>
      </c>
      <c r="B264" s="4" t="str">
        <f t="shared" si="4"/>
        <v>DE21</v>
      </c>
      <c r="C264" s="4">
        <v>2</v>
      </c>
      <c r="D264" s="4" t="s">
        <v>438</v>
      </c>
      <c r="E264" s="4" t="s">
        <v>433</v>
      </c>
      <c r="F264" s="4" t="s">
        <v>31</v>
      </c>
      <c r="J264"/>
      <c r="K264"/>
    </row>
    <row r="265" spans="1:11" x14ac:dyDescent="0.3">
      <c r="A265" s="4" t="s">
        <v>403</v>
      </c>
      <c r="B265" s="4" t="str">
        <f t="shared" si="4"/>
        <v>DE21</v>
      </c>
      <c r="C265" s="4">
        <v>3</v>
      </c>
      <c r="D265" s="4" t="s">
        <v>439</v>
      </c>
      <c r="E265" s="4" t="s">
        <v>433</v>
      </c>
      <c r="F265" s="4" t="s">
        <v>31</v>
      </c>
      <c r="J265"/>
      <c r="K265"/>
    </row>
    <row r="266" spans="1:11" x14ac:dyDescent="0.3">
      <c r="A266" s="4" t="s">
        <v>406</v>
      </c>
      <c r="B266" s="4" t="str">
        <f t="shared" si="4"/>
        <v>DE26</v>
      </c>
      <c r="C266" s="4">
        <v>1</v>
      </c>
      <c r="D266" s="4" t="s">
        <v>435</v>
      </c>
      <c r="E266" s="4" t="s">
        <v>433</v>
      </c>
      <c r="F266" s="4" t="s">
        <v>48</v>
      </c>
      <c r="J266"/>
      <c r="K266"/>
    </row>
    <row r="267" spans="1:11" x14ac:dyDescent="0.3">
      <c r="A267" s="4" t="s">
        <v>406</v>
      </c>
      <c r="B267" s="4" t="str">
        <f t="shared" si="4"/>
        <v>DE26</v>
      </c>
      <c r="C267" s="4">
        <v>2</v>
      </c>
      <c r="D267" s="4" t="s">
        <v>437</v>
      </c>
      <c r="E267" s="4" t="s">
        <v>433</v>
      </c>
      <c r="F267" s="4" t="s">
        <v>31</v>
      </c>
      <c r="J267"/>
      <c r="K267"/>
    </row>
    <row r="268" spans="1:11" x14ac:dyDescent="0.3">
      <c r="A268" s="4" t="s">
        <v>411</v>
      </c>
      <c r="B268" s="4" t="str">
        <f t="shared" si="4"/>
        <v>DED2</v>
      </c>
      <c r="C268" s="4">
        <v>1</v>
      </c>
      <c r="D268" s="4" t="s">
        <v>439</v>
      </c>
      <c r="E268" s="4" t="s">
        <v>433</v>
      </c>
      <c r="F268" s="4" t="s">
        <v>48</v>
      </c>
      <c r="J268"/>
      <c r="K268"/>
    </row>
    <row r="269" spans="1:11" x14ac:dyDescent="0.3">
      <c r="A269" s="4" t="s">
        <v>413</v>
      </c>
      <c r="B269" s="4" t="str">
        <f t="shared" si="4"/>
        <v>DE94</v>
      </c>
      <c r="C269" s="4">
        <v>1</v>
      </c>
      <c r="D269" s="4" t="s">
        <v>432</v>
      </c>
      <c r="E269" s="4" t="s">
        <v>433</v>
      </c>
      <c r="F269" s="4" t="s">
        <v>48</v>
      </c>
      <c r="J269"/>
      <c r="K269"/>
    </row>
    <row r="270" spans="1:11" x14ac:dyDescent="0.3">
      <c r="A270" s="4" t="s">
        <v>413</v>
      </c>
      <c r="B270" s="4" t="str">
        <f t="shared" si="4"/>
        <v>DE94</v>
      </c>
      <c r="C270" s="4">
        <v>2</v>
      </c>
      <c r="D270" s="4" t="s">
        <v>434</v>
      </c>
      <c r="E270" s="4" t="s">
        <v>433</v>
      </c>
      <c r="F270" s="4" t="s">
        <v>48</v>
      </c>
      <c r="J270"/>
      <c r="K270"/>
    </row>
    <row r="271" spans="1:11" x14ac:dyDescent="0.3">
      <c r="A271" s="4" t="s">
        <v>413</v>
      </c>
      <c r="B271" s="4" t="str">
        <f t="shared" si="4"/>
        <v>DE94</v>
      </c>
      <c r="C271" s="4">
        <v>3</v>
      </c>
      <c r="D271" s="4" t="s">
        <v>437</v>
      </c>
      <c r="E271" s="4" t="s">
        <v>433</v>
      </c>
      <c r="F271" s="4" t="s">
        <v>48</v>
      </c>
      <c r="J271"/>
      <c r="K271"/>
    </row>
    <row r="272" spans="1:11" x14ac:dyDescent="0.3">
      <c r="A272" s="4" t="s">
        <v>417</v>
      </c>
      <c r="B272" s="4" t="str">
        <f t="shared" si="4"/>
        <v>DED5</v>
      </c>
      <c r="C272" s="4">
        <v>1</v>
      </c>
      <c r="D272" s="4" t="s">
        <v>432</v>
      </c>
      <c r="E272" s="4" t="s">
        <v>433</v>
      </c>
      <c r="F272" s="4" t="s">
        <v>48</v>
      </c>
      <c r="J272"/>
      <c r="K272"/>
    </row>
    <row r="273" spans="1:11" x14ac:dyDescent="0.3">
      <c r="A273" s="4" t="s">
        <v>417</v>
      </c>
      <c r="B273" s="4" t="str">
        <f t="shared" si="4"/>
        <v>DED5</v>
      </c>
      <c r="C273" s="4">
        <v>2</v>
      </c>
      <c r="D273" s="4" t="s">
        <v>434</v>
      </c>
      <c r="E273" s="4" t="s">
        <v>433</v>
      </c>
      <c r="F273" s="4" t="s">
        <v>48</v>
      </c>
      <c r="J273"/>
      <c r="K273"/>
    </row>
    <row r="274" spans="1:11" x14ac:dyDescent="0.3">
      <c r="A274" s="4" t="s">
        <v>419</v>
      </c>
      <c r="B274" s="4" t="str">
        <f t="shared" si="4"/>
        <v>DEA1</v>
      </c>
      <c r="C274" s="4">
        <v>1</v>
      </c>
      <c r="D274" s="4" t="s">
        <v>434</v>
      </c>
      <c r="E274" s="4" t="s">
        <v>433</v>
      </c>
      <c r="F274" s="4" t="s">
        <v>48</v>
      </c>
      <c r="J274"/>
      <c r="K274"/>
    </row>
    <row r="275" spans="1:11" x14ac:dyDescent="0.3">
      <c r="A275" s="4" t="s">
        <v>419</v>
      </c>
      <c r="B275" s="4" t="str">
        <f t="shared" si="4"/>
        <v>DEA1</v>
      </c>
      <c r="C275" s="4">
        <v>2</v>
      </c>
      <c r="D275" s="4" t="s">
        <v>438</v>
      </c>
      <c r="E275" s="4" t="s">
        <v>433</v>
      </c>
      <c r="F275" s="4" t="s">
        <v>48</v>
      </c>
      <c r="J275"/>
      <c r="K275"/>
    </row>
    <row r="276" spans="1:11" x14ac:dyDescent="0.3">
      <c r="A276" s="4" t="s">
        <v>419</v>
      </c>
      <c r="B276" s="4" t="str">
        <f t="shared" si="4"/>
        <v>DEA1</v>
      </c>
      <c r="C276" s="4">
        <v>3</v>
      </c>
      <c r="D276" s="4" t="s">
        <v>439</v>
      </c>
      <c r="E276" s="4" t="s">
        <v>433</v>
      </c>
      <c r="F276" s="4" t="s">
        <v>31</v>
      </c>
      <c r="J276"/>
      <c r="K276"/>
    </row>
    <row r="277" spans="1:11" x14ac:dyDescent="0.3">
      <c r="A277" s="4" t="s">
        <v>419</v>
      </c>
      <c r="B277" s="4" t="str">
        <f t="shared" si="4"/>
        <v>DEA1</v>
      </c>
      <c r="C277" s="4">
        <v>4</v>
      </c>
      <c r="D277" s="4" t="s">
        <v>440</v>
      </c>
      <c r="E277" s="4" t="s">
        <v>441</v>
      </c>
      <c r="F277" s="4" t="s">
        <v>31</v>
      </c>
      <c r="J277"/>
      <c r="K277"/>
    </row>
    <row r="278" spans="1:11" x14ac:dyDescent="0.3">
      <c r="A278" s="4" t="s">
        <v>422</v>
      </c>
      <c r="B278" s="4" t="str">
        <f t="shared" si="4"/>
        <v>DEA1</v>
      </c>
      <c r="C278" s="4">
        <v>1</v>
      </c>
      <c r="D278" s="4" t="s">
        <v>434</v>
      </c>
      <c r="E278" s="4" t="s">
        <v>433</v>
      </c>
      <c r="F278" s="4" t="s">
        <v>48</v>
      </c>
      <c r="J278"/>
      <c r="K278"/>
    </row>
    <row r="279" spans="1:11" x14ac:dyDescent="0.3">
      <c r="A279" s="4" t="s">
        <v>422</v>
      </c>
      <c r="B279" s="4" t="str">
        <f t="shared" si="4"/>
        <v>DEA1</v>
      </c>
      <c r="C279" s="4">
        <v>2</v>
      </c>
      <c r="D279" s="4" t="s">
        <v>439</v>
      </c>
      <c r="E279" s="4" t="s">
        <v>433</v>
      </c>
      <c r="F279" s="4" t="s">
        <v>31</v>
      </c>
      <c r="J279"/>
      <c r="K279"/>
    </row>
    <row r="280" spans="1:11" x14ac:dyDescent="0.3">
      <c r="A280" s="4" t="s">
        <v>422</v>
      </c>
      <c r="B280" s="4" t="str">
        <f t="shared" si="4"/>
        <v>DEA1</v>
      </c>
      <c r="C280" s="4">
        <v>3</v>
      </c>
      <c r="D280" s="4" t="s">
        <v>438</v>
      </c>
      <c r="E280" s="4" t="s">
        <v>433</v>
      </c>
      <c r="F280" s="4" t="s">
        <v>31</v>
      </c>
      <c r="J280"/>
      <c r="K280"/>
    </row>
    <row r="281" spans="1:11" x14ac:dyDescent="0.3">
      <c r="A281" s="4" t="s">
        <v>426</v>
      </c>
      <c r="B281" s="4" t="str">
        <f t="shared" si="4"/>
        <v>DEA5</v>
      </c>
      <c r="C281" s="4">
        <v>2</v>
      </c>
      <c r="D281" s="4" t="s">
        <v>434</v>
      </c>
      <c r="E281" s="4" t="s">
        <v>433</v>
      </c>
      <c r="F281" s="4" t="s">
        <v>48</v>
      </c>
      <c r="J281"/>
      <c r="K281"/>
    </row>
    <row r="282" spans="1:11" x14ac:dyDescent="0.3">
      <c r="J282"/>
      <c r="K282"/>
    </row>
    <row r="283" spans="1:11" x14ac:dyDescent="0.3">
      <c r="A283"/>
      <c r="C283"/>
      <c r="D283"/>
      <c r="E283"/>
      <c r="F283"/>
      <c r="J283"/>
      <c r="K283"/>
    </row>
    <row r="284" spans="1:11" x14ac:dyDescent="0.3">
      <c r="A284"/>
      <c r="C284"/>
      <c r="D284"/>
      <c r="E284"/>
      <c r="F284"/>
      <c r="J284"/>
      <c r="K284"/>
    </row>
    <row r="285" spans="1:11" x14ac:dyDescent="0.3">
      <c r="A285"/>
      <c r="C285"/>
      <c r="D285"/>
      <c r="E285"/>
      <c r="F285"/>
      <c r="J285"/>
      <c r="K285"/>
    </row>
    <row r="286" spans="1:11" x14ac:dyDescent="0.3">
      <c r="A286"/>
      <c r="C286"/>
      <c r="D286"/>
      <c r="E286"/>
      <c r="F286"/>
      <c r="J286"/>
      <c r="K286"/>
    </row>
    <row r="287" spans="1:11" x14ac:dyDescent="0.3">
      <c r="A287"/>
      <c r="C287"/>
      <c r="D287"/>
      <c r="E287"/>
      <c r="F287"/>
      <c r="J287"/>
      <c r="K287"/>
    </row>
    <row r="288" spans="1:11" x14ac:dyDescent="0.3">
      <c r="A288"/>
      <c r="C288"/>
      <c r="D288"/>
      <c r="E288"/>
      <c r="F288"/>
      <c r="J288"/>
      <c r="K288"/>
    </row>
    <row r="289" spans="1:11" x14ac:dyDescent="0.3">
      <c r="A289"/>
      <c r="C289"/>
      <c r="D289"/>
      <c r="E289"/>
      <c r="F289"/>
      <c r="J289"/>
      <c r="K289"/>
    </row>
    <row r="290" spans="1:11" x14ac:dyDescent="0.3">
      <c r="A290"/>
      <c r="C290"/>
      <c r="D290"/>
      <c r="E290"/>
      <c r="F290"/>
      <c r="J290"/>
      <c r="K290"/>
    </row>
    <row r="291" spans="1:11" x14ac:dyDescent="0.3">
      <c r="A291"/>
      <c r="C291"/>
      <c r="D291"/>
      <c r="E291"/>
      <c r="F291"/>
      <c r="J291"/>
      <c r="K291"/>
    </row>
    <row r="292" spans="1:11" x14ac:dyDescent="0.3">
      <c r="A292"/>
      <c r="C292"/>
      <c r="D292"/>
      <c r="E292"/>
      <c r="F292"/>
      <c r="J292"/>
      <c r="K292"/>
    </row>
    <row r="293" spans="1:11" x14ac:dyDescent="0.3">
      <c r="A293"/>
      <c r="C293"/>
      <c r="D293"/>
      <c r="E293"/>
      <c r="F293"/>
      <c r="J293"/>
      <c r="K293"/>
    </row>
    <row r="294" spans="1:11" x14ac:dyDescent="0.3">
      <c r="A294"/>
      <c r="C294"/>
      <c r="D294"/>
      <c r="E294"/>
      <c r="F294"/>
      <c r="J294"/>
      <c r="K294"/>
    </row>
    <row r="295" spans="1:11" x14ac:dyDescent="0.3">
      <c r="A295"/>
      <c r="C295"/>
      <c r="D295"/>
      <c r="E295"/>
      <c r="F295"/>
      <c r="J295"/>
      <c r="K295"/>
    </row>
    <row r="296" spans="1:11" x14ac:dyDescent="0.3">
      <c r="A296"/>
      <c r="C296"/>
      <c r="D296"/>
      <c r="E296"/>
      <c r="F296"/>
      <c r="J296"/>
      <c r="K296"/>
    </row>
    <row r="297" spans="1:11" x14ac:dyDescent="0.3">
      <c r="A297"/>
      <c r="C297"/>
      <c r="D297"/>
      <c r="E297"/>
      <c r="F297"/>
      <c r="J297"/>
      <c r="K297"/>
    </row>
    <row r="298" spans="1:11" x14ac:dyDescent="0.3">
      <c r="A298"/>
      <c r="C298"/>
      <c r="D298"/>
      <c r="E298"/>
      <c r="F298"/>
      <c r="J298"/>
      <c r="K298"/>
    </row>
    <row r="299" spans="1:11" x14ac:dyDescent="0.3">
      <c r="A299"/>
      <c r="C299"/>
      <c r="D299"/>
      <c r="E299"/>
      <c r="F299"/>
      <c r="J299"/>
      <c r="K299"/>
    </row>
    <row r="300" spans="1:11" x14ac:dyDescent="0.3">
      <c r="A300"/>
      <c r="C300"/>
      <c r="D300"/>
      <c r="E300"/>
      <c r="F300"/>
      <c r="J300"/>
      <c r="K300"/>
    </row>
    <row r="301" spans="1:11" x14ac:dyDescent="0.3">
      <c r="A301"/>
      <c r="C301"/>
      <c r="D301"/>
      <c r="E301"/>
      <c r="F301"/>
      <c r="J301"/>
      <c r="K301"/>
    </row>
    <row r="302" spans="1:11" x14ac:dyDescent="0.3">
      <c r="A302"/>
      <c r="C302"/>
      <c r="D302"/>
      <c r="E302"/>
      <c r="F302"/>
      <c r="J302"/>
      <c r="K302"/>
    </row>
    <row r="303" spans="1:11" x14ac:dyDescent="0.3">
      <c r="A303"/>
      <c r="C303"/>
      <c r="D303"/>
      <c r="E303"/>
      <c r="F303"/>
      <c r="J303"/>
      <c r="K303"/>
    </row>
    <row r="304" spans="1:11" x14ac:dyDescent="0.3">
      <c r="A304"/>
      <c r="C304"/>
      <c r="D304"/>
      <c r="E304"/>
      <c r="F304"/>
      <c r="J304"/>
      <c r="K304"/>
    </row>
    <row r="305" spans="1:11" x14ac:dyDescent="0.3">
      <c r="A305"/>
      <c r="C305"/>
      <c r="D305"/>
      <c r="E305"/>
      <c r="F305"/>
      <c r="J305"/>
      <c r="K305"/>
    </row>
    <row r="306" spans="1:11" x14ac:dyDescent="0.3">
      <c r="A306"/>
      <c r="C306"/>
      <c r="D306"/>
      <c r="E306"/>
      <c r="F306"/>
      <c r="J306"/>
      <c r="K306"/>
    </row>
    <row r="307" spans="1:11" x14ac:dyDescent="0.3">
      <c r="A307"/>
      <c r="C307"/>
      <c r="D307"/>
      <c r="E307"/>
      <c r="F307"/>
      <c r="J307"/>
      <c r="K307"/>
    </row>
    <row r="308" spans="1:11" x14ac:dyDescent="0.3">
      <c r="A308"/>
      <c r="C308"/>
      <c r="D308"/>
      <c r="E308"/>
      <c r="F308"/>
      <c r="J308"/>
      <c r="K308"/>
    </row>
    <row r="309" spans="1:11" x14ac:dyDescent="0.3">
      <c r="A309"/>
      <c r="C309"/>
      <c r="D309"/>
      <c r="E309"/>
      <c r="F309"/>
      <c r="J309"/>
      <c r="K309"/>
    </row>
    <row r="310" spans="1:11" x14ac:dyDescent="0.3">
      <c r="A310"/>
      <c r="C310"/>
      <c r="D310"/>
      <c r="E310"/>
      <c r="F310"/>
      <c r="J310"/>
      <c r="K310"/>
    </row>
    <row r="311" spans="1:11" x14ac:dyDescent="0.3">
      <c r="A311"/>
      <c r="C311"/>
      <c r="D311"/>
      <c r="E311"/>
      <c r="F311"/>
      <c r="J311"/>
      <c r="K311"/>
    </row>
    <row r="312" spans="1:11" x14ac:dyDescent="0.3">
      <c r="A312"/>
      <c r="C312"/>
      <c r="D312"/>
      <c r="E312"/>
      <c r="F312"/>
      <c r="J312"/>
      <c r="K312"/>
    </row>
    <row r="313" spans="1:11" x14ac:dyDescent="0.3">
      <c r="A313"/>
      <c r="C313"/>
      <c r="D313"/>
      <c r="E313"/>
      <c r="F313"/>
      <c r="J313"/>
      <c r="K313"/>
    </row>
    <row r="314" spans="1:11" x14ac:dyDescent="0.3">
      <c r="A314"/>
      <c r="C314"/>
      <c r="D314"/>
      <c r="E314"/>
      <c r="F314"/>
      <c r="J314"/>
      <c r="K314"/>
    </row>
    <row r="315" spans="1:11" x14ac:dyDescent="0.3">
      <c r="A315"/>
      <c r="C315"/>
      <c r="D315"/>
      <c r="E315"/>
      <c r="F315"/>
      <c r="J315"/>
      <c r="K315"/>
    </row>
    <row r="316" spans="1:11" x14ac:dyDescent="0.3">
      <c r="A316"/>
      <c r="C316"/>
      <c r="D316"/>
      <c r="E316"/>
      <c r="F316"/>
      <c r="J316"/>
      <c r="K316"/>
    </row>
    <row r="317" spans="1:11" x14ac:dyDescent="0.3">
      <c r="A317"/>
      <c r="C317"/>
      <c r="D317"/>
      <c r="E317"/>
      <c r="F317"/>
      <c r="J317"/>
      <c r="K317"/>
    </row>
    <row r="318" spans="1:11" x14ac:dyDescent="0.3">
      <c r="A318"/>
      <c r="C318"/>
      <c r="D318"/>
      <c r="E318"/>
      <c r="F318"/>
      <c r="J318"/>
      <c r="K318"/>
    </row>
    <row r="319" spans="1:11" x14ac:dyDescent="0.3">
      <c r="A319"/>
      <c r="C319"/>
      <c r="D319"/>
      <c r="E319"/>
      <c r="F319"/>
      <c r="J319"/>
      <c r="K319"/>
    </row>
    <row r="320" spans="1:11" x14ac:dyDescent="0.3">
      <c r="A320"/>
      <c r="C320"/>
      <c r="D320"/>
      <c r="E320"/>
      <c r="F320"/>
      <c r="J320"/>
      <c r="K320"/>
    </row>
    <row r="321" spans="1:11" x14ac:dyDescent="0.3">
      <c r="A321"/>
      <c r="C321"/>
      <c r="D321"/>
      <c r="E321"/>
      <c r="F321"/>
      <c r="J321"/>
      <c r="K321"/>
    </row>
    <row r="322" spans="1:11" x14ac:dyDescent="0.3">
      <c r="A322"/>
      <c r="C322"/>
      <c r="D322"/>
      <c r="E322"/>
      <c r="F322"/>
      <c r="J322"/>
      <c r="K322"/>
    </row>
    <row r="323" spans="1:11" x14ac:dyDescent="0.3">
      <c r="A323"/>
      <c r="C323"/>
      <c r="D323"/>
      <c r="E323"/>
      <c r="F323"/>
      <c r="J323"/>
      <c r="K323"/>
    </row>
    <row r="324" spans="1:11" x14ac:dyDescent="0.3">
      <c r="A324"/>
      <c r="C324"/>
      <c r="D324"/>
      <c r="E324"/>
      <c r="F324"/>
      <c r="J324"/>
      <c r="K324"/>
    </row>
    <row r="325" spans="1:11" x14ac:dyDescent="0.3">
      <c r="A325"/>
      <c r="C325"/>
      <c r="D325"/>
      <c r="E325"/>
      <c r="F325"/>
      <c r="J325"/>
      <c r="K325"/>
    </row>
    <row r="326" spans="1:11" x14ac:dyDescent="0.3">
      <c r="A326"/>
      <c r="C326"/>
      <c r="D326"/>
      <c r="E326"/>
      <c r="F326"/>
      <c r="J326"/>
      <c r="K326"/>
    </row>
    <row r="327" spans="1:11" x14ac:dyDescent="0.3">
      <c r="A327"/>
      <c r="C327"/>
      <c r="D327"/>
      <c r="E327"/>
      <c r="F327"/>
      <c r="J327"/>
      <c r="K327"/>
    </row>
    <row r="328" spans="1:11" x14ac:dyDescent="0.3">
      <c r="A328"/>
      <c r="C328"/>
      <c r="D328"/>
      <c r="E328"/>
      <c r="F328"/>
      <c r="J328"/>
      <c r="K328"/>
    </row>
    <row r="329" spans="1:11" x14ac:dyDescent="0.3">
      <c r="A329"/>
      <c r="C329"/>
      <c r="D329"/>
      <c r="E329"/>
      <c r="F329"/>
      <c r="J329"/>
      <c r="K329"/>
    </row>
    <row r="330" spans="1:11" x14ac:dyDescent="0.3">
      <c r="A330"/>
      <c r="C330"/>
      <c r="D330"/>
      <c r="E330"/>
      <c r="F330"/>
      <c r="J330"/>
      <c r="K330"/>
    </row>
    <row r="331" spans="1:11" x14ac:dyDescent="0.3">
      <c r="A331"/>
      <c r="C331"/>
      <c r="D331"/>
      <c r="E331"/>
      <c r="F331"/>
      <c r="J331"/>
      <c r="K331"/>
    </row>
    <row r="332" spans="1:11" x14ac:dyDescent="0.3">
      <c r="A332"/>
      <c r="C332"/>
      <c r="D332"/>
      <c r="E332"/>
      <c r="F332"/>
      <c r="J332"/>
      <c r="K332"/>
    </row>
    <row r="333" spans="1:11" x14ac:dyDescent="0.3">
      <c r="A333"/>
      <c r="C333"/>
      <c r="D333"/>
      <c r="E333"/>
      <c r="F333"/>
      <c r="J333"/>
      <c r="K333"/>
    </row>
    <row r="334" spans="1:11" x14ac:dyDescent="0.3">
      <c r="A334"/>
      <c r="C334"/>
      <c r="D334"/>
      <c r="E334"/>
      <c r="F334"/>
      <c r="J334"/>
      <c r="K334"/>
    </row>
    <row r="335" spans="1:11" x14ac:dyDescent="0.3">
      <c r="A335"/>
      <c r="C335"/>
      <c r="D335"/>
      <c r="E335"/>
      <c r="F335"/>
      <c r="J335"/>
      <c r="K335"/>
    </row>
    <row r="336" spans="1:11" x14ac:dyDescent="0.3">
      <c r="A336"/>
      <c r="C336"/>
      <c r="D336"/>
      <c r="E336"/>
      <c r="F336"/>
      <c r="J336"/>
      <c r="K336"/>
    </row>
    <row r="337" spans="1:11" x14ac:dyDescent="0.3">
      <c r="A337"/>
      <c r="C337"/>
      <c r="D337"/>
      <c r="E337"/>
      <c r="F337"/>
      <c r="J337"/>
      <c r="K337"/>
    </row>
    <row r="338" spans="1:11" x14ac:dyDescent="0.3">
      <c r="A338"/>
      <c r="C338"/>
      <c r="D338"/>
      <c r="E338"/>
      <c r="F338"/>
      <c r="J338"/>
      <c r="K338"/>
    </row>
    <row r="339" spans="1:11" x14ac:dyDescent="0.3">
      <c r="A339"/>
      <c r="C339"/>
      <c r="D339"/>
      <c r="E339"/>
      <c r="F339"/>
      <c r="J339"/>
      <c r="K339"/>
    </row>
    <row r="340" spans="1:11" x14ac:dyDescent="0.3">
      <c r="A340"/>
      <c r="C340"/>
      <c r="D340"/>
      <c r="E340"/>
      <c r="F340"/>
      <c r="J340"/>
      <c r="K340"/>
    </row>
    <row r="341" spans="1:11" x14ac:dyDescent="0.3">
      <c r="A341"/>
      <c r="C341"/>
      <c r="D341"/>
      <c r="E341"/>
      <c r="F341"/>
      <c r="J341"/>
      <c r="K341"/>
    </row>
    <row r="342" spans="1:11" x14ac:dyDescent="0.3">
      <c r="A342"/>
      <c r="C342"/>
      <c r="D342"/>
      <c r="E342"/>
      <c r="F342"/>
      <c r="J342"/>
      <c r="K342"/>
    </row>
    <row r="343" spans="1:11" x14ac:dyDescent="0.3">
      <c r="A343"/>
      <c r="C343"/>
      <c r="D343"/>
      <c r="E343"/>
      <c r="F343"/>
      <c r="J343"/>
      <c r="K343"/>
    </row>
    <row r="344" spans="1:11" x14ac:dyDescent="0.3">
      <c r="A344"/>
      <c r="C344"/>
      <c r="D344"/>
      <c r="E344"/>
      <c r="F344"/>
      <c r="J344"/>
      <c r="K344"/>
    </row>
    <row r="345" spans="1:11" x14ac:dyDescent="0.3">
      <c r="A345"/>
      <c r="C345"/>
      <c r="D345"/>
      <c r="E345"/>
      <c r="F345"/>
      <c r="J345"/>
      <c r="K345"/>
    </row>
    <row r="346" spans="1:11" x14ac:dyDescent="0.3">
      <c r="A346"/>
      <c r="C346"/>
      <c r="D346"/>
      <c r="E346"/>
      <c r="F346"/>
      <c r="J346"/>
      <c r="K346"/>
    </row>
    <row r="347" spans="1:11" x14ac:dyDescent="0.3">
      <c r="A347"/>
      <c r="C347"/>
      <c r="D347"/>
      <c r="E347"/>
      <c r="F347"/>
      <c r="J347"/>
      <c r="K347"/>
    </row>
    <row r="348" spans="1:11" x14ac:dyDescent="0.3">
      <c r="A348"/>
      <c r="C348"/>
      <c r="D348"/>
      <c r="E348"/>
      <c r="F348"/>
      <c r="J348"/>
      <c r="K348"/>
    </row>
    <row r="349" spans="1:11" x14ac:dyDescent="0.3">
      <c r="A349"/>
      <c r="C349"/>
      <c r="D349"/>
      <c r="E349"/>
      <c r="F349"/>
      <c r="J349"/>
      <c r="K349"/>
    </row>
    <row r="350" spans="1:11" x14ac:dyDescent="0.3">
      <c r="A350"/>
      <c r="C350"/>
      <c r="D350"/>
      <c r="E350"/>
      <c r="F350"/>
      <c r="J350"/>
      <c r="K350"/>
    </row>
    <row r="351" spans="1:11" x14ac:dyDescent="0.3">
      <c r="A351"/>
      <c r="C351"/>
      <c r="D351"/>
      <c r="E351"/>
      <c r="F351"/>
      <c r="J351"/>
      <c r="K351"/>
    </row>
    <row r="352" spans="1:11" x14ac:dyDescent="0.3">
      <c r="A352"/>
      <c r="C352"/>
      <c r="D352"/>
      <c r="E352"/>
      <c r="F352"/>
      <c r="J352"/>
      <c r="K352"/>
    </row>
    <row r="353" spans="1:11" x14ac:dyDescent="0.3">
      <c r="A353"/>
      <c r="C353"/>
      <c r="D353"/>
      <c r="E353"/>
      <c r="F353"/>
      <c r="J353"/>
      <c r="K353"/>
    </row>
    <row r="354" spans="1:11" x14ac:dyDescent="0.3">
      <c r="A354"/>
      <c r="C354"/>
      <c r="D354"/>
      <c r="E354"/>
      <c r="F354"/>
      <c r="J354"/>
      <c r="K354"/>
    </row>
    <row r="355" spans="1:11" x14ac:dyDescent="0.3">
      <c r="A355"/>
      <c r="C355"/>
      <c r="D355"/>
      <c r="E355"/>
      <c r="F355"/>
      <c r="J355"/>
      <c r="K355"/>
    </row>
    <row r="356" spans="1:11" x14ac:dyDescent="0.3">
      <c r="A356"/>
      <c r="C356"/>
      <c r="D356"/>
      <c r="E356"/>
      <c r="F356"/>
      <c r="J356"/>
      <c r="K356"/>
    </row>
    <row r="357" spans="1:11" x14ac:dyDescent="0.3">
      <c r="A357"/>
      <c r="C357"/>
      <c r="D357"/>
      <c r="E357"/>
      <c r="F357"/>
      <c r="J357"/>
      <c r="K357"/>
    </row>
    <row r="358" spans="1:11" x14ac:dyDescent="0.3">
      <c r="A358"/>
      <c r="C358"/>
      <c r="D358"/>
      <c r="E358"/>
      <c r="F358"/>
      <c r="J358"/>
      <c r="K358"/>
    </row>
    <row r="359" spans="1:11" x14ac:dyDescent="0.3">
      <c r="A359"/>
      <c r="C359"/>
      <c r="D359"/>
      <c r="E359"/>
      <c r="F359"/>
      <c r="J359"/>
      <c r="K359"/>
    </row>
    <row r="360" spans="1:11" x14ac:dyDescent="0.3">
      <c r="A360"/>
      <c r="C360"/>
      <c r="D360"/>
      <c r="E360"/>
      <c r="F360"/>
      <c r="J360"/>
      <c r="K360"/>
    </row>
    <row r="361" spans="1:11" x14ac:dyDescent="0.3">
      <c r="A361"/>
      <c r="C361"/>
      <c r="D361"/>
      <c r="E361"/>
      <c r="F361"/>
      <c r="J361"/>
      <c r="K361"/>
    </row>
    <row r="362" spans="1:11" x14ac:dyDescent="0.3">
      <c r="A362"/>
      <c r="C362"/>
      <c r="D362"/>
      <c r="E362"/>
      <c r="F362"/>
      <c r="J362"/>
      <c r="K362"/>
    </row>
    <row r="363" spans="1:11" x14ac:dyDescent="0.3">
      <c r="A363"/>
      <c r="C363"/>
      <c r="D363"/>
      <c r="E363"/>
      <c r="F363"/>
      <c r="J363"/>
      <c r="K363"/>
    </row>
    <row r="364" spans="1:11" x14ac:dyDescent="0.3">
      <c r="A364"/>
      <c r="C364"/>
      <c r="D364"/>
      <c r="E364"/>
      <c r="F364"/>
      <c r="J364"/>
      <c r="K364"/>
    </row>
    <row r="365" spans="1:11" x14ac:dyDescent="0.3">
      <c r="A365"/>
      <c r="C365"/>
      <c r="D365"/>
      <c r="E365"/>
      <c r="F365"/>
      <c r="J365"/>
      <c r="K365"/>
    </row>
    <row r="366" spans="1:11" x14ac:dyDescent="0.3">
      <c r="A366"/>
      <c r="C366"/>
      <c r="D366"/>
      <c r="E366"/>
      <c r="F366"/>
      <c r="J366"/>
      <c r="K366"/>
    </row>
    <row r="367" spans="1:11" x14ac:dyDescent="0.3">
      <c r="A367"/>
      <c r="C367"/>
      <c r="D367"/>
      <c r="E367"/>
      <c r="F367"/>
      <c r="J367"/>
      <c r="K367"/>
    </row>
    <row r="368" spans="1:11" x14ac:dyDescent="0.3">
      <c r="A368"/>
      <c r="C368"/>
      <c r="D368"/>
      <c r="E368"/>
      <c r="F368"/>
      <c r="J368"/>
      <c r="K368"/>
    </row>
    <row r="369" spans="1:11" x14ac:dyDescent="0.3">
      <c r="A369"/>
      <c r="C369"/>
      <c r="D369"/>
      <c r="E369"/>
      <c r="F369"/>
      <c r="J369"/>
      <c r="K369"/>
    </row>
    <row r="370" spans="1:11" x14ac:dyDescent="0.3">
      <c r="A370"/>
      <c r="C370"/>
      <c r="D370"/>
      <c r="E370"/>
      <c r="F370"/>
      <c r="J370"/>
      <c r="K370"/>
    </row>
    <row r="371" spans="1:11" x14ac:dyDescent="0.3">
      <c r="A371"/>
      <c r="C371"/>
      <c r="D371"/>
      <c r="E371"/>
      <c r="F371"/>
      <c r="J371"/>
      <c r="K371"/>
    </row>
    <row r="372" spans="1:11" x14ac:dyDescent="0.3">
      <c r="A372"/>
      <c r="C372"/>
      <c r="D372"/>
      <c r="E372"/>
      <c r="F372"/>
      <c r="J372"/>
      <c r="K372"/>
    </row>
    <row r="373" spans="1:11" x14ac:dyDescent="0.3">
      <c r="A373"/>
      <c r="C373"/>
      <c r="D373"/>
      <c r="E373"/>
      <c r="F373"/>
      <c r="J373"/>
      <c r="K373"/>
    </row>
    <row r="374" spans="1:11" x14ac:dyDescent="0.3">
      <c r="A374"/>
      <c r="C374"/>
      <c r="D374"/>
      <c r="E374"/>
      <c r="F374"/>
      <c r="J374"/>
      <c r="K374"/>
    </row>
    <row r="375" spans="1:11" x14ac:dyDescent="0.3">
      <c r="A375"/>
      <c r="C375"/>
      <c r="D375"/>
      <c r="E375"/>
      <c r="F375"/>
      <c r="J375"/>
      <c r="K375"/>
    </row>
    <row r="376" spans="1:11" x14ac:dyDescent="0.3">
      <c r="A376"/>
      <c r="C376"/>
      <c r="D376"/>
      <c r="E376"/>
      <c r="F376"/>
      <c r="J376"/>
      <c r="K376"/>
    </row>
    <row r="377" spans="1:11" x14ac:dyDescent="0.3">
      <c r="A377"/>
      <c r="C377"/>
      <c r="D377"/>
      <c r="E377"/>
      <c r="F377"/>
      <c r="J377"/>
      <c r="K377"/>
    </row>
    <row r="378" spans="1:11" x14ac:dyDescent="0.3">
      <c r="A378"/>
      <c r="C378"/>
      <c r="D378"/>
      <c r="E378"/>
      <c r="F378"/>
      <c r="J378"/>
      <c r="K378"/>
    </row>
    <row r="379" spans="1:11" x14ac:dyDescent="0.3">
      <c r="A379"/>
      <c r="C379"/>
      <c r="D379"/>
      <c r="E379"/>
      <c r="F379"/>
      <c r="J379"/>
      <c r="K379"/>
    </row>
    <row r="380" spans="1:11" x14ac:dyDescent="0.3">
      <c r="A380"/>
      <c r="C380"/>
      <c r="D380"/>
      <c r="E380"/>
      <c r="F380"/>
      <c r="J380"/>
      <c r="K380"/>
    </row>
    <row r="381" spans="1:11" x14ac:dyDescent="0.3">
      <c r="A381"/>
      <c r="C381"/>
      <c r="D381"/>
      <c r="E381"/>
      <c r="F381"/>
      <c r="J381"/>
      <c r="K381"/>
    </row>
    <row r="382" spans="1:11" x14ac:dyDescent="0.3">
      <c r="A382"/>
      <c r="C382"/>
      <c r="D382"/>
      <c r="E382"/>
      <c r="F382"/>
      <c r="J382"/>
      <c r="K382"/>
    </row>
    <row r="383" spans="1:11" x14ac:dyDescent="0.3">
      <c r="A383"/>
      <c r="C383"/>
      <c r="D383"/>
      <c r="E383"/>
      <c r="F383"/>
      <c r="J383"/>
      <c r="K383"/>
    </row>
    <row r="384" spans="1:11" x14ac:dyDescent="0.3">
      <c r="A384"/>
      <c r="C384"/>
      <c r="D384"/>
      <c r="E384"/>
      <c r="F384"/>
      <c r="J384"/>
      <c r="K384"/>
    </row>
    <row r="385" spans="1:11" x14ac:dyDescent="0.3">
      <c r="A385"/>
      <c r="C385"/>
      <c r="D385"/>
      <c r="E385"/>
      <c r="F385"/>
      <c r="J385"/>
      <c r="K385"/>
    </row>
    <row r="386" spans="1:11" x14ac:dyDescent="0.3">
      <c r="A386"/>
      <c r="C386"/>
      <c r="D386"/>
      <c r="E386"/>
      <c r="F386"/>
      <c r="J386"/>
      <c r="K386"/>
    </row>
    <row r="387" spans="1:11" x14ac:dyDescent="0.3">
      <c r="A387"/>
      <c r="C387"/>
      <c r="D387"/>
      <c r="E387"/>
      <c r="F387"/>
      <c r="J387"/>
      <c r="K387"/>
    </row>
    <row r="388" spans="1:11" x14ac:dyDescent="0.3">
      <c r="A388"/>
      <c r="C388"/>
      <c r="D388"/>
      <c r="E388"/>
      <c r="F388"/>
      <c r="J388"/>
      <c r="K388"/>
    </row>
    <row r="389" spans="1:11" x14ac:dyDescent="0.3">
      <c r="A389"/>
      <c r="C389"/>
      <c r="D389"/>
      <c r="E389"/>
      <c r="F389"/>
      <c r="J389"/>
      <c r="K389"/>
    </row>
    <row r="390" spans="1:11" x14ac:dyDescent="0.3">
      <c r="A390"/>
      <c r="C390"/>
      <c r="D390"/>
      <c r="E390"/>
      <c r="F390"/>
      <c r="J390"/>
      <c r="K390"/>
    </row>
    <row r="391" spans="1:11" x14ac:dyDescent="0.3">
      <c r="A391"/>
      <c r="C391"/>
      <c r="D391"/>
      <c r="E391"/>
      <c r="F391"/>
      <c r="J391"/>
      <c r="K391"/>
    </row>
    <row r="392" spans="1:11" x14ac:dyDescent="0.3">
      <c r="A392"/>
      <c r="C392"/>
      <c r="D392"/>
      <c r="E392"/>
      <c r="F392"/>
      <c r="J392"/>
      <c r="K392"/>
    </row>
    <row r="393" spans="1:11" x14ac:dyDescent="0.3">
      <c r="A393"/>
      <c r="C393"/>
      <c r="D393"/>
      <c r="E393"/>
      <c r="F393"/>
      <c r="J393"/>
      <c r="K393"/>
    </row>
    <row r="394" spans="1:11" x14ac:dyDescent="0.3">
      <c r="A394"/>
      <c r="C394"/>
      <c r="D394"/>
      <c r="E394"/>
      <c r="F394"/>
      <c r="J394"/>
      <c r="K394"/>
    </row>
    <row r="395" spans="1:11" x14ac:dyDescent="0.3">
      <c r="A395"/>
      <c r="C395"/>
      <c r="D395"/>
      <c r="E395"/>
      <c r="F395"/>
      <c r="J395"/>
      <c r="K395"/>
    </row>
    <row r="396" spans="1:11" x14ac:dyDescent="0.3">
      <c r="A396"/>
      <c r="C396"/>
      <c r="D396"/>
      <c r="E396"/>
      <c r="F396"/>
      <c r="J396"/>
      <c r="K396"/>
    </row>
    <row r="397" spans="1:11" x14ac:dyDescent="0.3">
      <c r="A397"/>
      <c r="C397"/>
      <c r="D397"/>
      <c r="E397"/>
      <c r="F397"/>
      <c r="J397"/>
      <c r="K397"/>
    </row>
    <row r="398" spans="1:11" x14ac:dyDescent="0.3">
      <c r="A398"/>
      <c r="C398"/>
      <c r="D398"/>
      <c r="E398"/>
      <c r="F398"/>
      <c r="J398"/>
      <c r="K398"/>
    </row>
    <row r="399" spans="1:11" x14ac:dyDescent="0.3">
      <c r="A399"/>
      <c r="C399"/>
      <c r="D399"/>
      <c r="E399"/>
      <c r="F399"/>
      <c r="J399"/>
      <c r="K399"/>
    </row>
    <row r="400" spans="1:11" x14ac:dyDescent="0.3">
      <c r="A400"/>
      <c r="C400"/>
      <c r="D400"/>
      <c r="E400"/>
      <c r="F400"/>
      <c r="J400"/>
      <c r="K400"/>
    </row>
    <row r="401" spans="1:11" x14ac:dyDescent="0.3">
      <c r="A401"/>
      <c r="C401"/>
      <c r="D401"/>
      <c r="E401"/>
      <c r="F401"/>
      <c r="J401"/>
      <c r="K401"/>
    </row>
    <row r="402" spans="1:11" x14ac:dyDescent="0.3">
      <c r="A402"/>
      <c r="C402"/>
      <c r="D402"/>
      <c r="E402"/>
      <c r="F402"/>
      <c r="J402"/>
      <c r="K402"/>
    </row>
    <row r="403" spans="1:11" x14ac:dyDescent="0.3">
      <c r="A403"/>
      <c r="C403"/>
      <c r="D403"/>
      <c r="E403"/>
      <c r="F403"/>
      <c r="J403"/>
      <c r="K403"/>
    </row>
    <row r="404" spans="1:11" x14ac:dyDescent="0.3">
      <c r="A404"/>
      <c r="C404"/>
      <c r="D404"/>
      <c r="E404"/>
      <c r="F404"/>
      <c r="J404"/>
      <c r="K404"/>
    </row>
    <row r="405" spans="1:11" x14ac:dyDescent="0.3">
      <c r="A405"/>
      <c r="C405"/>
      <c r="D405"/>
      <c r="E405"/>
      <c r="F405"/>
      <c r="J405"/>
      <c r="K405"/>
    </row>
    <row r="406" spans="1:11" x14ac:dyDescent="0.3">
      <c r="A406"/>
      <c r="C406"/>
      <c r="D406"/>
      <c r="E406"/>
      <c r="F406"/>
      <c r="J406"/>
      <c r="K406"/>
    </row>
    <row r="407" spans="1:11" x14ac:dyDescent="0.3">
      <c r="A407"/>
      <c r="C407"/>
      <c r="D407"/>
      <c r="E407"/>
      <c r="F407"/>
      <c r="J407"/>
      <c r="K407"/>
    </row>
    <row r="408" spans="1:11" x14ac:dyDescent="0.3">
      <c r="A408"/>
      <c r="C408"/>
      <c r="D408"/>
      <c r="E408"/>
      <c r="F408"/>
      <c r="J408"/>
      <c r="K408"/>
    </row>
    <row r="409" spans="1:11" x14ac:dyDescent="0.3">
      <c r="A409"/>
      <c r="C409"/>
      <c r="D409"/>
      <c r="E409"/>
      <c r="F409"/>
      <c r="J409"/>
      <c r="K409"/>
    </row>
    <row r="410" spans="1:11" x14ac:dyDescent="0.3">
      <c r="A410"/>
      <c r="C410"/>
      <c r="D410"/>
      <c r="E410"/>
      <c r="F410"/>
      <c r="J410"/>
      <c r="K410"/>
    </row>
    <row r="411" spans="1:11" x14ac:dyDescent="0.3">
      <c r="A411"/>
      <c r="C411"/>
      <c r="D411"/>
      <c r="E411"/>
      <c r="F411"/>
      <c r="J411"/>
      <c r="K411"/>
    </row>
    <row r="412" spans="1:11" x14ac:dyDescent="0.3">
      <c r="A412"/>
      <c r="C412"/>
      <c r="D412"/>
      <c r="E412"/>
      <c r="F412"/>
      <c r="J412"/>
      <c r="K412"/>
    </row>
    <row r="413" spans="1:11" x14ac:dyDescent="0.3">
      <c r="A413"/>
      <c r="C413"/>
      <c r="D413"/>
      <c r="E413"/>
      <c r="F413"/>
      <c r="J413"/>
      <c r="K413"/>
    </row>
    <row r="414" spans="1:11" x14ac:dyDescent="0.3">
      <c r="A414"/>
      <c r="C414"/>
      <c r="D414"/>
      <c r="E414"/>
      <c r="F414"/>
      <c r="J414"/>
      <c r="K414"/>
    </row>
    <row r="415" spans="1:11" x14ac:dyDescent="0.3">
      <c r="A415"/>
      <c r="C415"/>
      <c r="D415"/>
      <c r="E415"/>
      <c r="F415"/>
      <c r="J415"/>
      <c r="K415"/>
    </row>
    <row r="416" spans="1:11" x14ac:dyDescent="0.3">
      <c r="A416"/>
      <c r="C416"/>
      <c r="D416"/>
      <c r="E416"/>
      <c r="F416"/>
      <c r="J416"/>
      <c r="K416"/>
    </row>
    <row r="417" spans="1:11" x14ac:dyDescent="0.3">
      <c r="A417"/>
      <c r="C417"/>
      <c r="D417"/>
      <c r="E417"/>
      <c r="F417"/>
      <c r="J417"/>
      <c r="K417"/>
    </row>
    <row r="418" spans="1:11" x14ac:dyDescent="0.3">
      <c r="A418"/>
      <c r="C418"/>
      <c r="D418"/>
      <c r="E418"/>
      <c r="F418"/>
      <c r="J418"/>
      <c r="K418"/>
    </row>
    <row r="419" spans="1:11" x14ac:dyDescent="0.3">
      <c r="A419"/>
      <c r="C419"/>
      <c r="D419"/>
      <c r="E419"/>
      <c r="F419"/>
      <c r="J419"/>
      <c r="K419"/>
    </row>
    <row r="420" spans="1:11" x14ac:dyDescent="0.3">
      <c r="A420"/>
      <c r="C420"/>
      <c r="D420"/>
      <c r="E420"/>
      <c r="F420"/>
      <c r="J420"/>
      <c r="K420"/>
    </row>
    <row r="421" spans="1:11" x14ac:dyDescent="0.3">
      <c r="A421"/>
      <c r="C421"/>
      <c r="D421"/>
      <c r="E421"/>
      <c r="F421"/>
      <c r="J421"/>
      <c r="K421"/>
    </row>
    <row r="422" spans="1:11" x14ac:dyDescent="0.3">
      <c r="A422"/>
      <c r="C422"/>
      <c r="D422"/>
      <c r="E422"/>
      <c r="F422"/>
      <c r="J422"/>
      <c r="K422"/>
    </row>
    <row r="423" spans="1:11" x14ac:dyDescent="0.3">
      <c r="A423"/>
      <c r="C423"/>
      <c r="D423"/>
      <c r="E423"/>
      <c r="F423"/>
      <c r="J423"/>
      <c r="K423"/>
    </row>
    <row r="424" spans="1:11" x14ac:dyDescent="0.3">
      <c r="A424"/>
      <c r="C424"/>
      <c r="D424"/>
      <c r="E424"/>
      <c r="F424"/>
      <c r="J424"/>
      <c r="K424"/>
    </row>
    <row r="425" spans="1:11" x14ac:dyDescent="0.3">
      <c r="A425"/>
      <c r="C425"/>
      <c r="D425"/>
      <c r="E425"/>
      <c r="F425"/>
      <c r="J425"/>
      <c r="K425"/>
    </row>
    <row r="426" spans="1:11" x14ac:dyDescent="0.3">
      <c r="A426"/>
      <c r="C426"/>
      <c r="D426"/>
      <c r="E426"/>
      <c r="F426"/>
      <c r="J426"/>
      <c r="K426"/>
    </row>
    <row r="427" spans="1:11" x14ac:dyDescent="0.3">
      <c r="A427"/>
      <c r="C427"/>
      <c r="D427"/>
      <c r="E427"/>
      <c r="F427"/>
      <c r="J427"/>
      <c r="K427"/>
    </row>
    <row r="428" spans="1:11" x14ac:dyDescent="0.3">
      <c r="A428"/>
      <c r="C428"/>
      <c r="D428"/>
      <c r="E428"/>
      <c r="F428"/>
      <c r="J428"/>
      <c r="K428"/>
    </row>
    <row r="429" spans="1:11" x14ac:dyDescent="0.3">
      <c r="A429"/>
      <c r="C429"/>
      <c r="D429"/>
      <c r="E429"/>
      <c r="F429"/>
      <c r="J429"/>
      <c r="K429"/>
    </row>
    <row r="430" spans="1:11" x14ac:dyDescent="0.3">
      <c r="A430"/>
      <c r="C430"/>
      <c r="D430"/>
      <c r="E430"/>
      <c r="F430"/>
      <c r="J430"/>
      <c r="K430"/>
    </row>
    <row r="431" spans="1:11" x14ac:dyDescent="0.3">
      <c r="A431"/>
      <c r="C431"/>
      <c r="D431"/>
      <c r="E431"/>
      <c r="F431"/>
      <c r="J431"/>
      <c r="K431"/>
    </row>
    <row r="432" spans="1:11" x14ac:dyDescent="0.3">
      <c r="A432"/>
      <c r="C432"/>
      <c r="D432"/>
      <c r="E432"/>
      <c r="F432"/>
      <c r="J432"/>
      <c r="K432"/>
    </row>
    <row r="433" spans="1:11" x14ac:dyDescent="0.3">
      <c r="A433"/>
      <c r="C433"/>
      <c r="D433"/>
      <c r="E433"/>
      <c r="F433"/>
      <c r="J433"/>
      <c r="K433"/>
    </row>
    <row r="434" spans="1:11" x14ac:dyDescent="0.3">
      <c r="A434"/>
      <c r="C434"/>
      <c r="D434"/>
      <c r="E434"/>
      <c r="F434"/>
      <c r="J434"/>
      <c r="K434"/>
    </row>
    <row r="435" spans="1:11" x14ac:dyDescent="0.3">
      <c r="A435"/>
      <c r="C435"/>
      <c r="D435"/>
      <c r="E435"/>
      <c r="F435"/>
      <c r="J435"/>
      <c r="K435"/>
    </row>
    <row r="436" spans="1:11" x14ac:dyDescent="0.3">
      <c r="A436"/>
      <c r="C436"/>
      <c r="D436"/>
      <c r="E436"/>
      <c r="F436"/>
      <c r="J436"/>
      <c r="K436"/>
    </row>
    <row r="437" spans="1:11" x14ac:dyDescent="0.3">
      <c r="A437"/>
      <c r="C437"/>
      <c r="D437"/>
      <c r="E437"/>
      <c r="F437"/>
      <c r="J437"/>
      <c r="K437"/>
    </row>
    <row r="438" spans="1:11" x14ac:dyDescent="0.3">
      <c r="A438"/>
      <c r="C438"/>
      <c r="D438"/>
      <c r="E438"/>
      <c r="F438"/>
      <c r="J438"/>
      <c r="K438"/>
    </row>
    <row r="439" spans="1:11" x14ac:dyDescent="0.3">
      <c r="A439"/>
      <c r="C439"/>
      <c r="D439"/>
      <c r="E439"/>
      <c r="F439"/>
      <c r="J439"/>
      <c r="K439"/>
    </row>
    <row r="440" spans="1:11" x14ac:dyDescent="0.3">
      <c r="A440"/>
      <c r="C440"/>
      <c r="D440"/>
      <c r="E440"/>
      <c r="F440"/>
      <c r="J440"/>
      <c r="K440"/>
    </row>
    <row r="441" spans="1:11" x14ac:dyDescent="0.3">
      <c r="A441"/>
      <c r="C441"/>
      <c r="D441"/>
      <c r="E441"/>
      <c r="F441"/>
      <c r="J441"/>
      <c r="K441"/>
    </row>
    <row r="442" spans="1:11" x14ac:dyDescent="0.3">
      <c r="A442"/>
      <c r="C442"/>
      <c r="D442"/>
      <c r="E442"/>
      <c r="F442"/>
      <c r="J442"/>
      <c r="K442"/>
    </row>
    <row r="443" spans="1:11" x14ac:dyDescent="0.3">
      <c r="A443"/>
      <c r="C443"/>
      <c r="D443"/>
      <c r="E443"/>
      <c r="F443"/>
      <c r="J443"/>
      <c r="K443"/>
    </row>
    <row r="444" spans="1:11" x14ac:dyDescent="0.3">
      <c r="A444"/>
      <c r="C444"/>
      <c r="D444"/>
      <c r="E444"/>
      <c r="F444"/>
      <c r="J444"/>
      <c r="K444"/>
    </row>
    <row r="445" spans="1:11" x14ac:dyDescent="0.3">
      <c r="A445"/>
      <c r="C445"/>
      <c r="D445"/>
      <c r="E445"/>
      <c r="F445"/>
      <c r="J445"/>
      <c r="K445"/>
    </row>
    <row r="446" spans="1:11" x14ac:dyDescent="0.3">
      <c r="A446"/>
      <c r="C446"/>
      <c r="D446"/>
      <c r="E446"/>
      <c r="F446"/>
      <c r="J446"/>
      <c r="K446"/>
    </row>
    <row r="447" spans="1:11" x14ac:dyDescent="0.3">
      <c r="A447"/>
      <c r="C447"/>
      <c r="D447"/>
      <c r="E447"/>
      <c r="F447"/>
      <c r="J447"/>
      <c r="K447"/>
    </row>
    <row r="448" spans="1:11" x14ac:dyDescent="0.3">
      <c r="A448"/>
      <c r="C448"/>
      <c r="D448"/>
      <c r="E448"/>
      <c r="F448"/>
      <c r="J448"/>
      <c r="K448"/>
    </row>
    <row r="449" spans="1:11" x14ac:dyDescent="0.3">
      <c r="A449"/>
      <c r="C449"/>
      <c r="D449"/>
      <c r="E449"/>
      <c r="F449"/>
      <c r="J449"/>
      <c r="K449"/>
    </row>
    <row r="450" spans="1:11" x14ac:dyDescent="0.3">
      <c r="A450"/>
      <c r="C450"/>
      <c r="D450"/>
      <c r="E450"/>
      <c r="F450"/>
      <c r="J450"/>
      <c r="K450"/>
    </row>
    <row r="451" spans="1:11" x14ac:dyDescent="0.3">
      <c r="A451"/>
      <c r="C451"/>
      <c r="D451"/>
      <c r="E451"/>
      <c r="F451"/>
      <c r="J451"/>
      <c r="K451"/>
    </row>
    <row r="452" spans="1:11" x14ac:dyDescent="0.3">
      <c r="A452"/>
      <c r="C452"/>
      <c r="D452"/>
      <c r="E452"/>
      <c r="F452"/>
      <c r="J452"/>
      <c r="K452"/>
    </row>
    <row r="453" spans="1:11" x14ac:dyDescent="0.3">
      <c r="A453"/>
      <c r="C453"/>
      <c r="D453"/>
      <c r="E453"/>
      <c r="F453"/>
      <c r="J453"/>
      <c r="K453"/>
    </row>
    <row r="454" spans="1:11" x14ac:dyDescent="0.3">
      <c r="A454"/>
      <c r="C454"/>
      <c r="D454"/>
      <c r="E454"/>
      <c r="F454"/>
      <c r="J454"/>
      <c r="K454"/>
    </row>
    <row r="455" spans="1:11" x14ac:dyDescent="0.3">
      <c r="A455"/>
      <c r="C455"/>
      <c r="D455"/>
      <c r="E455"/>
      <c r="F455"/>
      <c r="J455"/>
      <c r="K455"/>
    </row>
    <row r="456" spans="1:11" x14ac:dyDescent="0.3">
      <c r="A456"/>
      <c r="C456"/>
      <c r="D456"/>
      <c r="E456"/>
      <c r="F456"/>
      <c r="J456"/>
      <c r="K456"/>
    </row>
    <row r="457" spans="1:11" x14ac:dyDescent="0.3">
      <c r="A457"/>
      <c r="C457"/>
      <c r="D457"/>
      <c r="E457"/>
      <c r="F457"/>
      <c r="J457"/>
      <c r="K457"/>
    </row>
    <row r="458" spans="1:11" x14ac:dyDescent="0.3">
      <c r="A458"/>
      <c r="C458"/>
      <c r="D458"/>
      <c r="E458"/>
      <c r="F458"/>
      <c r="J458"/>
      <c r="K458"/>
    </row>
    <row r="459" spans="1:11" x14ac:dyDescent="0.3">
      <c r="A459"/>
      <c r="C459"/>
      <c r="D459"/>
      <c r="E459"/>
      <c r="F459"/>
      <c r="J459"/>
      <c r="K459"/>
    </row>
    <row r="460" spans="1:11" x14ac:dyDescent="0.3">
      <c r="A460"/>
      <c r="C460"/>
      <c r="D460"/>
      <c r="E460"/>
      <c r="F460"/>
      <c r="J460"/>
      <c r="K460"/>
    </row>
    <row r="461" spans="1:11" x14ac:dyDescent="0.3">
      <c r="A461"/>
      <c r="C461"/>
      <c r="D461"/>
      <c r="E461"/>
      <c r="F461"/>
      <c r="J461"/>
      <c r="K461"/>
    </row>
    <row r="462" spans="1:11" x14ac:dyDescent="0.3">
      <c r="A462"/>
      <c r="C462"/>
      <c r="D462"/>
      <c r="E462"/>
      <c r="F462"/>
      <c r="J462"/>
      <c r="K462"/>
    </row>
    <row r="463" spans="1:11" x14ac:dyDescent="0.3">
      <c r="A463"/>
      <c r="C463"/>
      <c r="D463"/>
      <c r="E463"/>
      <c r="F463"/>
      <c r="J463"/>
      <c r="K463"/>
    </row>
    <row r="464" spans="1:11" x14ac:dyDescent="0.3">
      <c r="A464"/>
      <c r="C464"/>
      <c r="D464"/>
      <c r="E464"/>
      <c r="F464"/>
      <c r="J464"/>
      <c r="K464"/>
    </row>
    <row r="465" spans="1:11" x14ac:dyDescent="0.3">
      <c r="A465"/>
      <c r="C465"/>
      <c r="D465"/>
      <c r="E465"/>
      <c r="F465"/>
      <c r="J465"/>
      <c r="K465"/>
    </row>
    <row r="466" spans="1:11" x14ac:dyDescent="0.3">
      <c r="A466"/>
      <c r="C466"/>
      <c r="D466"/>
      <c r="E466"/>
      <c r="F466"/>
      <c r="J466"/>
      <c r="K466"/>
    </row>
    <row r="467" spans="1:11" x14ac:dyDescent="0.3">
      <c r="A467"/>
      <c r="C467"/>
      <c r="D467"/>
      <c r="E467"/>
      <c r="F467"/>
      <c r="J467"/>
      <c r="K467"/>
    </row>
    <row r="468" spans="1:11" x14ac:dyDescent="0.3">
      <c r="A468"/>
      <c r="C468"/>
      <c r="D468"/>
      <c r="E468"/>
      <c r="F468"/>
      <c r="J468"/>
      <c r="K468"/>
    </row>
    <row r="469" spans="1:11" x14ac:dyDescent="0.3">
      <c r="A469"/>
      <c r="C469"/>
      <c r="D469"/>
      <c r="E469"/>
      <c r="F469"/>
      <c r="J469"/>
      <c r="K469"/>
    </row>
    <row r="470" spans="1:11" x14ac:dyDescent="0.3">
      <c r="A470"/>
      <c r="C470"/>
      <c r="D470"/>
      <c r="E470"/>
      <c r="F470"/>
      <c r="J470"/>
      <c r="K470"/>
    </row>
    <row r="471" spans="1:11" x14ac:dyDescent="0.3">
      <c r="A471"/>
      <c r="C471"/>
      <c r="D471"/>
      <c r="E471"/>
      <c r="F471"/>
      <c r="J471"/>
      <c r="K471"/>
    </row>
    <row r="472" spans="1:11" x14ac:dyDescent="0.3">
      <c r="A472"/>
      <c r="C472"/>
      <c r="D472"/>
      <c r="E472"/>
      <c r="F472"/>
      <c r="J472"/>
      <c r="K472"/>
    </row>
    <row r="473" spans="1:11" x14ac:dyDescent="0.3">
      <c r="A473"/>
      <c r="C473"/>
      <c r="D473"/>
      <c r="E473"/>
      <c r="F473"/>
      <c r="J473"/>
      <c r="K473"/>
    </row>
    <row r="474" spans="1:11" x14ac:dyDescent="0.3">
      <c r="A474"/>
      <c r="C474"/>
      <c r="D474"/>
      <c r="E474"/>
      <c r="F474"/>
      <c r="J474"/>
      <c r="K474"/>
    </row>
    <row r="475" spans="1:11" x14ac:dyDescent="0.3">
      <c r="A475"/>
      <c r="C475"/>
      <c r="D475"/>
      <c r="E475"/>
      <c r="F475"/>
      <c r="J475"/>
      <c r="K475"/>
    </row>
    <row r="476" spans="1:11" x14ac:dyDescent="0.3">
      <c r="A476"/>
      <c r="C476"/>
      <c r="D476"/>
      <c r="E476"/>
      <c r="F476"/>
      <c r="J476"/>
      <c r="K476"/>
    </row>
    <row r="477" spans="1:11" x14ac:dyDescent="0.3">
      <c r="A477"/>
      <c r="C477"/>
      <c r="D477"/>
      <c r="E477"/>
      <c r="F477"/>
      <c r="J477"/>
      <c r="K477"/>
    </row>
    <row r="478" spans="1:11" x14ac:dyDescent="0.3">
      <c r="A478"/>
      <c r="C478"/>
      <c r="D478"/>
      <c r="E478"/>
      <c r="F478"/>
      <c r="J478"/>
      <c r="K478"/>
    </row>
    <row r="479" spans="1:11" x14ac:dyDescent="0.3">
      <c r="A479"/>
      <c r="C479"/>
      <c r="D479"/>
      <c r="E479"/>
      <c r="F479"/>
      <c r="J479"/>
      <c r="K479"/>
    </row>
    <row r="480" spans="1:11" x14ac:dyDescent="0.3">
      <c r="A480"/>
      <c r="C480"/>
      <c r="D480"/>
      <c r="E480"/>
      <c r="F480"/>
      <c r="J480"/>
      <c r="K480"/>
    </row>
    <row r="481" spans="1:11" x14ac:dyDescent="0.3">
      <c r="A481"/>
      <c r="C481"/>
      <c r="D481"/>
      <c r="E481"/>
      <c r="F481"/>
      <c r="J481"/>
      <c r="K481"/>
    </row>
    <row r="482" spans="1:11" x14ac:dyDescent="0.3">
      <c r="A482"/>
      <c r="C482"/>
      <c r="D482"/>
      <c r="E482"/>
      <c r="F482"/>
      <c r="J482"/>
      <c r="K482"/>
    </row>
    <row r="483" spans="1:11" x14ac:dyDescent="0.3">
      <c r="A483"/>
      <c r="C483"/>
      <c r="D483"/>
      <c r="E483"/>
      <c r="F483"/>
      <c r="J483"/>
      <c r="K483"/>
    </row>
    <row r="484" spans="1:11" x14ac:dyDescent="0.3">
      <c r="A484"/>
      <c r="C484"/>
      <c r="D484"/>
      <c r="E484"/>
      <c r="F484"/>
      <c r="J484"/>
      <c r="K484"/>
    </row>
    <row r="485" spans="1:11" x14ac:dyDescent="0.3">
      <c r="A485"/>
      <c r="C485"/>
      <c r="D485"/>
      <c r="E485"/>
      <c r="F485"/>
      <c r="J485"/>
      <c r="K485"/>
    </row>
    <row r="486" spans="1:11" x14ac:dyDescent="0.3">
      <c r="A486"/>
      <c r="C486"/>
      <c r="D486"/>
      <c r="E486"/>
      <c r="F486"/>
      <c r="J486"/>
      <c r="K486"/>
    </row>
    <row r="487" spans="1:11" x14ac:dyDescent="0.3">
      <c r="A487"/>
      <c r="C487"/>
      <c r="D487"/>
      <c r="E487"/>
      <c r="F487"/>
      <c r="J487"/>
      <c r="K487"/>
    </row>
    <row r="488" spans="1:11" x14ac:dyDescent="0.3">
      <c r="A488"/>
      <c r="C488"/>
      <c r="D488"/>
      <c r="E488"/>
      <c r="F488"/>
      <c r="J488"/>
      <c r="K488"/>
    </row>
    <row r="489" spans="1:11" x14ac:dyDescent="0.3">
      <c r="A489"/>
      <c r="C489"/>
      <c r="D489"/>
      <c r="E489"/>
      <c r="F489"/>
      <c r="J489"/>
      <c r="K489"/>
    </row>
    <row r="490" spans="1:11" x14ac:dyDescent="0.3">
      <c r="A490"/>
      <c r="C490"/>
      <c r="D490"/>
      <c r="E490"/>
      <c r="F490"/>
      <c r="J490"/>
      <c r="K490"/>
    </row>
    <row r="491" spans="1:11" x14ac:dyDescent="0.3">
      <c r="A491"/>
      <c r="C491"/>
      <c r="D491"/>
      <c r="E491"/>
      <c r="F491"/>
      <c r="J491"/>
      <c r="K491"/>
    </row>
    <row r="492" spans="1:11" x14ac:dyDescent="0.3">
      <c r="A492"/>
      <c r="C492"/>
      <c r="D492"/>
      <c r="E492"/>
      <c r="F492"/>
      <c r="J492"/>
      <c r="K492"/>
    </row>
    <row r="493" spans="1:11" x14ac:dyDescent="0.3">
      <c r="A493"/>
      <c r="C493"/>
      <c r="D493"/>
      <c r="E493"/>
      <c r="F493"/>
      <c r="J493"/>
      <c r="K493"/>
    </row>
    <row r="494" spans="1:11" x14ac:dyDescent="0.3">
      <c r="A494"/>
      <c r="C494"/>
      <c r="D494"/>
      <c r="E494"/>
      <c r="F494"/>
      <c r="J494"/>
      <c r="K494"/>
    </row>
    <row r="495" spans="1:11" x14ac:dyDescent="0.3">
      <c r="A495"/>
      <c r="C495"/>
      <c r="D495"/>
      <c r="E495"/>
      <c r="F495"/>
      <c r="J495"/>
      <c r="K495"/>
    </row>
    <row r="496" spans="1:11" x14ac:dyDescent="0.3">
      <c r="A496"/>
      <c r="C496"/>
      <c r="D496"/>
      <c r="E496"/>
      <c r="F496"/>
      <c r="J496"/>
      <c r="K496"/>
    </row>
    <row r="497" spans="1:11" x14ac:dyDescent="0.3">
      <c r="A497"/>
      <c r="C497"/>
      <c r="D497"/>
      <c r="E497"/>
      <c r="F497"/>
      <c r="J497"/>
      <c r="K497"/>
    </row>
    <row r="498" spans="1:11" x14ac:dyDescent="0.3">
      <c r="A498"/>
      <c r="C498"/>
      <c r="D498"/>
      <c r="E498"/>
      <c r="F498"/>
      <c r="J498"/>
      <c r="K498"/>
    </row>
    <row r="499" spans="1:11" x14ac:dyDescent="0.3">
      <c r="A499"/>
      <c r="C499"/>
      <c r="D499"/>
      <c r="E499"/>
      <c r="F499"/>
      <c r="J499"/>
      <c r="K499"/>
    </row>
    <row r="500" spans="1:11" x14ac:dyDescent="0.3">
      <c r="A500"/>
      <c r="C500"/>
      <c r="D500"/>
      <c r="E500"/>
      <c r="F500"/>
      <c r="J500"/>
      <c r="K500"/>
    </row>
    <row r="501" spans="1:11" x14ac:dyDescent="0.3">
      <c r="A501"/>
      <c r="C501"/>
      <c r="D501"/>
      <c r="E501"/>
      <c r="F501"/>
      <c r="J501"/>
      <c r="K501"/>
    </row>
    <row r="502" spans="1:11" x14ac:dyDescent="0.3">
      <c r="A502"/>
      <c r="C502"/>
      <c r="D502"/>
      <c r="E502"/>
      <c r="F502"/>
      <c r="J502"/>
      <c r="K502"/>
    </row>
    <row r="503" spans="1:11" x14ac:dyDescent="0.3">
      <c r="A503"/>
      <c r="C503"/>
      <c r="D503"/>
      <c r="E503"/>
      <c r="F503"/>
      <c r="J503"/>
      <c r="K503"/>
    </row>
    <row r="504" spans="1:11" x14ac:dyDescent="0.3">
      <c r="A504"/>
      <c r="C504"/>
      <c r="D504"/>
      <c r="E504"/>
      <c r="F504"/>
      <c r="J504"/>
      <c r="K504"/>
    </row>
    <row r="505" spans="1:11" x14ac:dyDescent="0.3">
      <c r="A505"/>
      <c r="C505"/>
      <c r="D505"/>
      <c r="E505"/>
      <c r="F505"/>
      <c r="J505"/>
      <c r="K505"/>
    </row>
    <row r="506" spans="1:11" x14ac:dyDescent="0.3">
      <c r="A506"/>
      <c r="C506"/>
      <c r="D506"/>
      <c r="E506"/>
      <c r="F506"/>
      <c r="J506"/>
      <c r="K506"/>
    </row>
    <row r="507" spans="1:11" x14ac:dyDescent="0.3">
      <c r="A507"/>
      <c r="C507"/>
      <c r="D507"/>
      <c r="E507"/>
      <c r="F507"/>
      <c r="J507"/>
      <c r="K507"/>
    </row>
    <row r="508" spans="1:11" x14ac:dyDescent="0.3">
      <c r="A508"/>
      <c r="C508"/>
      <c r="D508"/>
      <c r="E508"/>
      <c r="F508"/>
      <c r="J508"/>
      <c r="K508"/>
    </row>
    <row r="509" spans="1:11" x14ac:dyDescent="0.3">
      <c r="A509"/>
      <c r="C509"/>
      <c r="D509"/>
      <c r="E509"/>
      <c r="F509"/>
      <c r="J509"/>
      <c r="K509"/>
    </row>
    <row r="510" spans="1:11" x14ac:dyDescent="0.3">
      <c r="A510"/>
      <c r="C510"/>
      <c r="D510"/>
      <c r="E510"/>
      <c r="F510"/>
      <c r="J510"/>
      <c r="K510"/>
    </row>
    <row r="511" spans="1:11" x14ac:dyDescent="0.3">
      <c r="A511"/>
      <c r="C511"/>
      <c r="D511"/>
      <c r="E511"/>
      <c r="F511"/>
      <c r="J511"/>
      <c r="K511"/>
    </row>
    <row r="512" spans="1:11" x14ac:dyDescent="0.3">
      <c r="A512"/>
      <c r="C512"/>
      <c r="D512"/>
      <c r="E512"/>
      <c r="F512"/>
      <c r="J512"/>
      <c r="K512"/>
    </row>
    <row r="513" spans="1:11" x14ac:dyDescent="0.3">
      <c r="A513"/>
      <c r="C513"/>
      <c r="D513"/>
      <c r="E513"/>
      <c r="F513"/>
      <c r="J513"/>
      <c r="K513"/>
    </row>
    <row r="514" spans="1:11" x14ac:dyDescent="0.3">
      <c r="A514"/>
      <c r="C514"/>
      <c r="D514"/>
      <c r="E514"/>
      <c r="F514"/>
      <c r="J514"/>
      <c r="K514"/>
    </row>
    <row r="515" spans="1:11" x14ac:dyDescent="0.3">
      <c r="A515"/>
      <c r="C515"/>
      <c r="D515"/>
      <c r="E515"/>
      <c r="F515"/>
      <c r="J515"/>
      <c r="K515"/>
    </row>
    <row r="516" spans="1:11" x14ac:dyDescent="0.3">
      <c r="A516"/>
      <c r="C516"/>
      <c r="D516"/>
      <c r="E516"/>
      <c r="F516"/>
      <c r="J516"/>
      <c r="K516"/>
    </row>
    <row r="517" spans="1:11" x14ac:dyDescent="0.3">
      <c r="A517"/>
      <c r="C517"/>
      <c r="D517"/>
      <c r="E517"/>
      <c r="F517"/>
      <c r="J517"/>
      <c r="K517"/>
    </row>
    <row r="518" spans="1:11" x14ac:dyDescent="0.3">
      <c r="A518"/>
      <c r="C518"/>
      <c r="D518"/>
      <c r="E518"/>
      <c r="F518"/>
      <c r="J518"/>
      <c r="K518"/>
    </row>
    <row r="519" spans="1:11" x14ac:dyDescent="0.3">
      <c r="A519"/>
      <c r="C519"/>
      <c r="D519"/>
      <c r="E519"/>
      <c r="F519"/>
      <c r="J519"/>
      <c r="K519"/>
    </row>
    <row r="520" spans="1:11" x14ac:dyDescent="0.3">
      <c r="A520"/>
      <c r="C520"/>
      <c r="D520"/>
      <c r="E520"/>
      <c r="F520"/>
      <c r="J520"/>
      <c r="K520"/>
    </row>
    <row r="521" spans="1:11" x14ac:dyDescent="0.3">
      <c r="A521"/>
      <c r="C521"/>
      <c r="D521"/>
      <c r="E521"/>
      <c r="F521"/>
      <c r="J521"/>
      <c r="K521"/>
    </row>
    <row r="522" spans="1:11" x14ac:dyDescent="0.3">
      <c r="A522"/>
      <c r="C522"/>
      <c r="D522"/>
      <c r="E522"/>
      <c r="F522"/>
      <c r="J522"/>
      <c r="K522"/>
    </row>
    <row r="523" spans="1:11" x14ac:dyDescent="0.3">
      <c r="A523"/>
      <c r="C523"/>
      <c r="D523"/>
      <c r="E523"/>
      <c r="F523"/>
      <c r="J523"/>
      <c r="K523"/>
    </row>
    <row r="524" spans="1:11" x14ac:dyDescent="0.3">
      <c r="A524"/>
      <c r="C524"/>
      <c r="D524"/>
      <c r="E524"/>
      <c r="F524"/>
      <c r="J524"/>
      <c r="K524"/>
    </row>
    <row r="525" spans="1:11" x14ac:dyDescent="0.3">
      <c r="A525"/>
      <c r="C525"/>
      <c r="D525"/>
      <c r="E525"/>
      <c r="F525"/>
      <c r="J525"/>
      <c r="K525"/>
    </row>
    <row r="526" spans="1:11" x14ac:dyDescent="0.3">
      <c r="A526"/>
      <c r="C526"/>
      <c r="D526"/>
      <c r="E526"/>
      <c r="F526"/>
      <c r="J526"/>
      <c r="K526"/>
    </row>
    <row r="527" spans="1:11" x14ac:dyDescent="0.3">
      <c r="A527"/>
      <c r="C527"/>
      <c r="D527"/>
      <c r="E527"/>
      <c r="F527"/>
      <c r="J527"/>
      <c r="K527"/>
    </row>
    <row r="528" spans="1:11" x14ac:dyDescent="0.3">
      <c r="A528"/>
      <c r="C528"/>
      <c r="D528"/>
      <c r="E528"/>
      <c r="F528"/>
      <c r="J528"/>
      <c r="K528"/>
    </row>
    <row r="529" spans="1:11" x14ac:dyDescent="0.3">
      <c r="A529"/>
      <c r="C529"/>
      <c r="D529"/>
      <c r="E529"/>
      <c r="F529"/>
      <c r="J529"/>
      <c r="K529"/>
    </row>
    <row r="530" spans="1:11" x14ac:dyDescent="0.3">
      <c r="A530"/>
      <c r="C530"/>
      <c r="D530"/>
      <c r="E530"/>
      <c r="F530"/>
      <c r="J530"/>
      <c r="K530"/>
    </row>
    <row r="531" spans="1:11" x14ac:dyDescent="0.3">
      <c r="A531"/>
      <c r="C531"/>
      <c r="D531"/>
      <c r="E531"/>
      <c r="F531"/>
      <c r="J531"/>
      <c r="K531"/>
    </row>
    <row r="532" spans="1:11" x14ac:dyDescent="0.3">
      <c r="A532"/>
      <c r="C532"/>
      <c r="D532"/>
      <c r="E532"/>
      <c r="F532"/>
      <c r="J532"/>
      <c r="K532"/>
    </row>
    <row r="533" spans="1:11" x14ac:dyDescent="0.3">
      <c r="A533"/>
      <c r="C533"/>
      <c r="D533"/>
      <c r="E533"/>
      <c r="F533"/>
      <c r="J533"/>
      <c r="K533"/>
    </row>
    <row r="534" spans="1:11" x14ac:dyDescent="0.3">
      <c r="A534"/>
      <c r="C534"/>
      <c r="D534"/>
      <c r="E534"/>
      <c r="F534"/>
      <c r="J534"/>
      <c r="K534"/>
    </row>
    <row r="535" spans="1:11" x14ac:dyDescent="0.3">
      <c r="A535"/>
      <c r="C535"/>
      <c r="D535"/>
      <c r="E535"/>
      <c r="F535"/>
      <c r="J535"/>
      <c r="K535"/>
    </row>
    <row r="536" spans="1:11" x14ac:dyDescent="0.3">
      <c r="A536"/>
      <c r="C536"/>
      <c r="D536"/>
      <c r="E536"/>
      <c r="F536"/>
      <c r="J536"/>
      <c r="K536"/>
    </row>
    <row r="537" spans="1:11" x14ac:dyDescent="0.3">
      <c r="A537"/>
      <c r="C537"/>
      <c r="D537"/>
      <c r="E537"/>
      <c r="F537"/>
      <c r="J537"/>
      <c r="K537"/>
    </row>
    <row r="538" spans="1:11" x14ac:dyDescent="0.3">
      <c r="A538"/>
      <c r="C538"/>
      <c r="D538"/>
      <c r="E538"/>
      <c r="F538"/>
      <c r="J538"/>
      <c r="K538"/>
    </row>
    <row r="539" spans="1:11" x14ac:dyDescent="0.3">
      <c r="A539"/>
      <c r="C539"/>
      <c r="D539"/>
      <c r="E539"/>
      <c r="F539"/>
      <c r="J539"/>
      <c r="K539"/>
    </row>
    <row r="540" spans="1:11" x14ac:dyDescent="0.3">
      <c r="A540"/>
      <c r="C540"/>
      <c r="D540"/>
      <c r="E540"/>
      <c r="F540"/>
      <c r="J540"/>
      <c r="K540"/>
    </row>
    <row r="541" spans="1:11" x14ac:dyDescent="0.3">
      <c r="A541"/>
      <c r="C541"/>
      <c r="D541"/>
      <c r="E541"/>
      <c r="F541"/>
      <c r="J541"/>
      <c r="K541"/>
    </row>
    <row r="542" spans="1:11" x14ac:dyDescent="0.3">
      <c r="A542"/>
      <c r="C542"/>
      <c r="D542"/>
      <c r="E542"/>
      <c r="F542"/>
      <c r="J542"/>
      <c r="K542"/>
    </row>
    <row r="543" spans="1:11" x14ac:dyDescent="0.3">
      <c r="A543"/>
      <c r="C543"/>
      <c r="D543"/>
      <c r="E543"/>
      <c r="F543"/>
      <c r="J543"/>
      <c r="K543"/>
    </row>
    <row r="544" spans="1:11" x14ac:dyDescent="0.3">
      <c r="A544"/>
      <c r="C544"/>
      <c r="D544"/>
      <c r="E544"/>
      <c r="F544"/>
      <c r="J544"/>
      <c r="K544"/>
    </row>
    <row r="545" spans="1:11" x14ac:dyDescent="0.3">
      <c r="A545"/>
      <c r="C545"/>
      <c r="D545"/>
      <c r="E545"/>
      <c r="F545"/>
      <c r="J545"/>
      <c r="K545"/>
    </row>
    <row r="546" spans="1:11" x14ac:dyDescent="0.3">
      <c r="A546"/>
      <c r="C546"/>
      <c r="D546"/>
      <c r="E546"/>
      <c r="F546"/>
      <c r="J546"/>
      <c r="K546"/>
    </row>
    <row r="547" spans="1:11" x14ac:dyDescent="0.3">
      <c r="A547"/>
      <c r="C547"/>
      <c r="D547"/>
      <c r="E547"/>
      <c r="F547"/>
      <c r="J547"/>
      <c r="K547"/>
    </row>
    <row r="548" spans="1:11" x14ac:dyDescent="0.3">
      <c r="A548"/>
      <c r="C548"/>
      <c r="D548"/>
      <c r="E548"/>
      <c r="F548"/>
      <c r="J548"/>
      <c r="K548"/>
    </row>
    <row r="549" spans="1:11" x14ac:dyDescent="0.3">
      <c r="A549"/>
      <c r="C549"/>
      <c r="D549"/>
      <c r="E549"/>
      <c r="F549"/>
      <c r="J549"/>
      <c r="K549"/>
    </row>
    <row r="550" spans="1:11" x14ac:dyDescent="0.3">
      <c r="A550"/>
      <c r="C550"/>
      <c r="D550"/>
      <c r="E550"/>
      <c r="F550"/>
      <c r="J550"/>
      <c r="K550"/>
    </row>
    <row r="551" spans="1:11" x14ac:dyDescent="0.3">
      <c r="A551"/>
      <c r="C551"/>
      <c r="D551"/>
      <c r="E551"/>
      <c r="F551"/>
      <c r="J551"/>
      <c r="K551"/>
    </row>
    <row r="552" spans="1:11" x14ac:dyDescent="0.3">
      <c r="A552"/>
      <c r="C552"/>
      <c r="D552"/>
      <c r="E552"/>
      <c r="F552"/>
      <c r="J552"/>
      <c r="K552"/>
    </row>
    <row r="553" spans="1:11" x14ac:dyDescent="0.3">
      <c r="A553"/>
      <c r="C553"/>
      <c r="D553"/>
      <c r="E553"/>
      <c r="F553"/>
      <c r="J553"/>
      <c r="K553"/>
    </row>
    <row r="554" spans="1:11" x14ac:dyDescent="0.3">
      <c r="A554"/>
      <c r="C554"/>
      <c r="D554"/>
      <c r="E554"/>
      <c r="F554"/>
      <c r="J554"/>
      <c r="K554"/>
    </row>
    <row r="555" spans="1:11" x14ac:dyDescent="0.3">
      <c r="A555"/>
      <c r="C555"/>
      <c r="D555"/>
      <c r="E555"/>
      <c r="F555"/>
      <c r="J555"/>
      <c r="K555"/>
    </row>
    <row r="556" spans="1:11" x14ac:dyDescent="0.3">
      <c r="A556"/>
      <c r="C556"/>
      <c r="D556"/>
      <c r="E556"/>
      <c r="F556"/>
      <c r="J556"/>
      <c r="K556"/>
    </row>
    <row r="557" spans="1:11" x14ac:dyDescent="0.3">
      <c r="A557"/>
      <c r="C557"/>
      <c r="D557"/>
      <c r="E557"/>
      <c r="F557"/>
      <c r="J557"/>
      <c r="K557"/>
    </row>
    <row r="558" spans="1:11" x14ac:dyDescent="0.3">
      <c r="A558"/>
      <c r="C558"/>
      <c r="D558"/>
      <c r="E558"/>
      <c r="F558"/>
      <c r="J558"/>
      <c r="K558"/>
    </row>
    <row r="559" spans="1:11" x14ac:dyDescent="0.3">
      <c r="A559"/>
      <c r="C559"/>
      <c r="D559"/>
      <c r="E559"/>
      <c r="F559"/>
      <c r="J559"/>
      <c r="K559"/>
    </row>
    <row r="560" spans="1:11" x14ac:dyDescent="0.3">
      <c r="A560"/>
      <c r="C560"/>
      <c r="D560"/>
      <c r="E560"/>
      <c r="F560"/>
      <c r="J560"/>
      <c r="K560"/>
    </row>
    <row r="561" spans="1:11" x14ac:dyDescent="0.3">
      <c r="A561"/>
      <c r="C561"/>
      <c r="D561"/>
      <c r="E561"/>
      <c r="F561"/>
      <c r="J561"/>
      <c r="K561"/>
    </row>
    <row r="562" spans="1:11" x14ac:dyDescent="0.3">
      <c r="A562"/>
      <c r="C562"/>
      <c r="D562"/>
      <c r="E562"/>
      <c r="F562"/>
      <c r="J562"/>
      <c r="K562"/>
    </row>
    <row r="563" spans="1:11" x14ac:dyDescent="0.3">
      <c r="A563"/>
      <c r="C563"/>
      <c r="D563"/>
      <c r="E563"/>
      <c r="F563"/>
      <c r="J563"/>
      <c r="K563"/>
    </row>
    <row r="564" spans="1:11" x14ac:dyDescent="0.3">
      <c r="A564"/>
      <c r="C564"/>
      <c r="D564"/>
      <c r="E564"/>
      <c r="F564"/>
      <c r="J564"/>
      <c r="K564"/>
    </row>
    <row r="565" spans="1:11" x14ac:dyDescent="0.3">
      <c r="A565"/>
      <c r="C565"/>
      <c r="D565"/>
      <c r="E565"/>
      <c r="F565"/>
      <c r="J565"/>
      <c r="K565"/>
    </row>
    <row r="566" spans="1:11" x14ac:dyDescent="0.3">
      <c r="A566"/>
      <c r="C566"/>
      <c r="D566"/>
      <c r="E566"/>
      <c r="F566"/>
      <c r="J566"/>
      <c r="K566"/>
    </row>
  </sheetData>
  <autoFilter ref="E1:E283" xr:uid="{00000000-0001-0000-01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27"/>
  <sheetViews>
    <sheetView workbookViewId="0">
      <selection activeCell="A115" sqref="A115:XFD115"/>
    </sheetView>
  </sheetViews>
  <sheetFormatPr defaultRowHeight="14.4" x14ac:dyDescent="0.3"/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t="s">
        <v>25</v>
      </c>
      <c r="B2" t="s">
        <v>26</v>
      </c>
      <c r="C2" t="s">
        <v>27</v>
      </c>
      <c r="D2" t="s">
        <v>28</v>
      </c>
      <c r="E2" t="s">
        <v>29</v>
      </c>
      <c r="F2">
        <v>3200</v>
      </c>
      <c r="G2" t="s">
        <v>30</v>
      </c>
      <c r="H2" t="s">
        <v>31</v>
      </c>
      <c r="I2" t="b">
        <v>1</v>
      </c>
      <c r="J2">
        <v>2</v>
      </c>
      <c r="K2">
        <v>0</v>
      </c>
      <c r="L2">
        <v>0</v>
      </c>
      <c r="M2">
        <v>2</v>
      </c>
      <c r="N2">
        <v>64.5</v>
      </c>
      <c r="O2">
        <v>0.29699999999999999</v>
      </c>
      <c r="P2" t="s">
        <v>32</v>
      </c>
      <c r="Q2">
        <v>100</v>
      </c>
      <c r="R2">
        <v>1</v>
      </c>
      <c r="S2" t="s">
        <v>33</v>
      </c>
      <c r="T2">
        <v>66.900000000000006</v>
      </c>
      <c r="U2">
        <v>0.27100000000000002</v>
      </c>
      <c r="V2">
        <v>30000</v>
      </c>
      <c r="W2">
        <v>0.27300000000000002</v>
      </c>
      <c r="X2">
        <v>7.3899999999999993E-2</v>
      </c>
      <c r="Y2">
        <v>0.58599999999999997</v>
      </c>
    </row>
    <row r="3" spans="1:25" x14ac:dyDescent="0.3">
      <c r="A3" t="s">
        <v>34</v>
      </c>
      <c r="B3" t="s">
        <v>35</v>
      </c>
      <c r="C3" t="s">
        <v>36</v>
      </c>
      <c r="D3" t="s">
        <v>37</v>
      </c>
      <c r="E3" t="s">
        <v>38</v>
      </c>
      <c r="F3">
        <v>1200</v>
      </c>
      <c r="G3" t="s">
        <v>39</v>
      </c>
      <c r="H3" t="s">
        <v>31</v>
      </c>
      <c r="I3" t="b">
        <v>1</v>
      </c>
      <c r="J3">
        <v>1</v>
      </c>
      <c r="K3">
        <v>1</v>
      </c>
      <c r="L3">
        <v>0</v>
      </c>
      <c r="M3">
        <v>0</v>
      </c>
      <c r="N3">
        <v>15</v>
      </c>
      <c r="O3">
        <v>1</v>
      </c>
      <c r="P3" t="s">
        <v>40</v>
      </c>
      <c r="Q3">
        <v>8.6999999999999993</v>
      </c>
      <c r="R3">
        <v>23</v>
      </c>
      <c r="S3" t="s">
        <v>41</v>
      </c>
      <c r="T3">
        <v>60.8</v>
      </c>
      <c r="U3">
        <v>0.36799999999999999</v>
      </c>
      <c r="V3">
        <v>20700</v>
      </c>
      <c r="W3">
        <v>4.9000000000000002E-2</v>
      </c>
      <c r="X3">
        <v>1.8100000000000002E-2</v>
      </c>
      <c r="Y3">
        <v>0.81100000000000005</v>
      </c>
    </row>
    <row r="4" spans="1:25" x14ac:dyDescent="0.3">
      <c r="A4" t="s">
        <v>42</v>
      </c>
      <c r="B4" t="s">
        <v>43</v>
      </c>
      <c r="C4" t="s">
        <v>44</v>
      </c>
      <c r="D4" t="s">
        <v>45</v>
      </c>
      <c r="E4" t="s">
        <v>46</v>
      </c>
      <c r="F4">
        <v>8000</v>
      </c>
      <c r="G4" t="s">
        <v>47</v>
      </c>
      <c r="H4" t="s">
        <v>48</v>
      </c>
      <c r="I4" t="b">
        <v>1</v>
      </c>
      <c r="J4">
        <v>4</v>
      </c>
      <c r="K4">
        <v>0</v>
      </c>
      <c r="L4">
        <v>0</v>
      </c>
      <c r="M4">
        <v>4</v>
      </c>
      <c r="N4">
        <v>70.5</v>
      </c>
      <c r="O4">
        <v>0.23499999999999999</v>
      </c>
      <c r="P4" t="s">
        <v>49</v>
      </c>
      <c r="Q4">
        <v>19.100000000000001</v>
      </c>
      <c r="R4">
        <v>14</v>
      </c>
      <c r="S4" t="s">
        <v>41</v>
      </c>
      <c r="T4">
        <v>70.5</v>
      </c>
      <c r="U4">
        <v>0.23499999999999999</v>
      </c>
      <c r="V4">
        <v>8000</v>
      </c>
      <c r="W4">
        <v>8.4000000000000005E-2</v>
      </c>
      <c r="X4">
        <v>1.9800000000000002E-2</v>
      </c>
      <c r="Y4">
        <v>0.67</v>
      </c>
    </row>
    <row r="5" spans="1:25" x14ac:dyDescent="0.3">
      <c r="A5" t="s">
        <v>50</v>
      </c>
      <c r="B5" t="s">
        <v>51</v>
      </c>
      <c r="C5" t="s">
        <v>52</v>
      </c>
      <c r="D5" t="s">
        <v>53</v>
      </c>
      <c r="E5" t="s">
        <v>54</v>
      </c>
      <c r="G5" t="s">
        <v>30</v>
      </c>
      <c r="H5" t="s">
        <v>31</v>
      </c>
      <c r="I5" t="b">
        <v>1</v>
      </c>
      <c r="J5">
        <v>1</v>
      </c>
      <c r="K5">
        <v>1</v>
      </c>
      <c r="L5">
        <v>0</v>
      </c>
      <c r="M5">
        <v>0</v>
      </c>
      <c r="N5">
        <v>15</v>
      </c>
      <c r="O5">
        <v>1</v>
      </c>
      <c r="P5" t="s">
        <v>55</v>
      </c>
      <c r="Q5">
        <v>88.3</v>
      </c>
      <c r="R5">
        <v>3</v>
      </c>
      <c r="S5" t="s">
        <v>33</v>
      </c>
      <c r="T5">
        <v>68.400000000000006</v>
      </c>
      <c r="U5">
        <v>0.25900000000000001</v>
      </c>
      <c r="V5">
        <v>142000</v>
      </c>
      <c r="W5">
        <v>0.6</v>
      </c>
      <c r="X5">
        <v>0.15540000000000001</v>
      </c>
      <c r="Y5">
        <v>0.82599999999999996</v>
      </c>
    </row>
    <row r="6" spans="1:25" x14ac:dyDescent="0.3">
      <c r="A6" t="s">
        <v>56</v>
      </c>
      <c r="B6" t="s">
        <v>57</v>
      </c>
      <c r="C6" t="s">
        <v>58</v>
      </c>
      <c r="D6" t="s">
        <v>59</v>
      </c>
      <c r="E6" t="s">
        <v>60</v>
      </c>
      <c r="G6" t="s">
        <v>30</v>
      </c>
      <c r="H6" t="s">
        <v>31</v>
      </c>
      <c r="I6" t="b">
        <v>1</v>
      </c>
      <c r="J6">
        <v>2</v>
      </c>
      <c r="K6">
        <v>1</v>
      </c>
      <c r="L6">
        <v>0</v>
      </c>
      <c r="M6">
        <v>1</v>
      </c>
      <c r="N6">
        <v>43.5</v>
      </c>
      <c r="O6">
        <v>0.625</v>
      </c>
      <c r="P6" t="s">
        <v>61</v>
      </c>
      <c r="Q6">
        <v>13.4</v>
      </c>
      <c r="R6">
        <v>19</v>
      </c>
      <c r="S6" t="s">
        <v>41</v>
      </c>
      <c r="T6">
        <v>64.599999999999994</v>
      </c>
      <c r="U6">
        <v>0.315</v>
      </c>
      <c r="V6">
        <v>16750</v>
      </c>
      <c r="W6">
        <v>9.2999999999999999E-2</v>
      </c>
      <c r="X6">
        <v>2.93E-2</v>
      </c>
      <c r="Y6">
        <v>0.83499999999999996</v>
      </c>
    </row>
    <row r="7" spans="1:25" x14ac:dyDescent="0.3">
      <c r="A7" t="s">
        <v>62</v>
      </c>
      <c r="B7" t="s">
        <v>63</v>
      </c>
      <c r="C7" t="s">
        <v>64</v>
      </c>
      <c r="D7" t="s">
        <v>65</v>
      </c>
      <c r="E7" t="s">
        <v>66</v>
      </c>
      <c r="G7" t="s">
        <v>67</v>
      </c>
      <c r="H7" t="s">
        <v>31</v>
      </c>
      <c r="I7" t="b">
        <v>1</v>
      </c>
      <c r="J7">
        <v>1</v>
      </c>
      <c r="K7">
        <v>1</v>
      </c>
      <c r="L7">
        <v>0</v>
      </c>
      <c r="M7">
        <v>0</v>
      </c>
      <c r="N7">
        <v>15</v>
      </c>
      <c r="O7">
        <v>1</v>
      </c>
      <c r="P7" t="s">
        <v>68</v>
      </c>
      <c r="Q7">
        <v>12.1</v>
      </c>
      <c r="R7">
        <v>21</v>
      </c>
      <c r="S7" t="s">
        <v>41</v>
      </c>
      <c r="T7">
        <v>55</v>
      </c>
      <c r="U7">
        <v>0.44500000000000001</v>
      </c>
      <c r="V7">
        <v>2650</v>
      </c>
      <c r="W7">
        <v>2.4E-2</v>
      </c>
      <c r="X7">
        <v>1.0699999999999999E-2</v>
      </c>
      <c r="Y7">
        <v>0.59299999999999997</v>
      </c>
    </row>
    <row r="8" spans="1:25" x14ac:dyDescent="0.3">
      <c r="A8" t="s">
        <v>69</v>
      </c>
      <c r="B8" t="s">
        <v>70</v>
      </c>
      <c r="C8" t="s">
        <v>71</v>
      </c>
      <c r="D8" t="s">
        <v>72</v>
      </c>
      <c r="E8" t="s">
        <v>38</v>
      </c>
      <c r="G8" t="s">
        <v>39</v>
      </c>
      <c r="H8" t="s">
        <v>73</v>
      </c>
      <c r="I8" t="b">
        <v>1</v>
      </c>
      <c r="J8">
        <v>2</v>
      </c>
      <c r="K8">
        <v>0</v>
      </c>
      <c r="L8">
        <v>0</v>
      </c>
      <c r="M8">
        <v>2</v>
      </c>
      <c r="N8">
        <v>73.5</v>
      </c>
      <c r="O8">
        <v>0.22500000000000001</v>
      </c>
      <c r="P8" t="s">
        <v>40</v>
      </c>
      <c r="Q8">
        <v>8.6999999999999993</v>
      </c>
      <c r="R8">
        <v>23</v>
      </c>
      <c r="S8" t="s">
        <v>41</v>
      </c>
      <c r="T8">
        <v>60.8</v>
      </c>
      <c r="U8">
        <v>0.36799999999999999</v>
      </c>
      <c r="V8">
        <v>20700</v>
      </c>
      <c r="W8">
        <v>4.9000000000000002E-2</v>
      </c>
      <c r="X8">
        <v>1.8100000000000002E-2</v>
      </c>
      <c r="Y8">
        <v>0.81100000000000005</v>
      </c>
    </row>
    <row r="9" spans="1:25" x14ac:dyDescent="0.3">
      <c r="A9" t="s">
        <v>74</v>
      </c>
      <c r="B9" t="s">
        <v>75</v>
      </c>
      <c r="C9" t="s">
        <v>76</v>
      </c>
      <c r="D9" t="s">
        <v>77</v>
      </c>
      <c r="E9" t="s">
        <v>78</v>
      </c>
      <c r="G9" t="s">
        <v>39</v>
      </c>
      <c r="H9" t="s">
        <v>73</v>
      </c>
      <c r="I9" t="b">
        <v>1</v>
      </c>
      <c r="J9">
        <v>4</v>
      </c>
      <c r="K9">
        <v>0</v>
      </c>
      <c r="L9">
        <v>0</v>
      </c>
      <c r="M9">
        <v>4</v>
      </c>
      <c r="N9">
        <v>69.7</v>
      </c>
      <c r="O9">
        <v>0.24199999999999999</v>
      </c>
      <c r="P9" t="s">
        <v>79</v>
      </c>
      <c r="Q9">
        <v>13.4</v>
      </c>
      <c r="R9">
        <v>20</v>
      </c>
      <c r="S9" t="s">
        <v>41</v>
      </c>
      <c r="T9">
        <v>67.599999999999994</v>
      </c>
      <c r="U9">
        <v>0.28599999999999998</v>
      </c>
      <c r="V9">
        <v>9000</v>
      </c>
      <c r="W9">
        <v>5.6000000000000001E-2</v>
      </c>
      <c r="X9">
        <v>1.61E-2</v>
      </c>
      <c r="Y9">
        <v>0.69899999999999995</v>
      </c>
    </row>
    <row r="10" spans="1:25" x14ac:dyDescent="0.3">
      <c r="A10" t="s">
        <v>80</v>
      </c>
      <c r="B10" t="s">
        <v>81</v>
      </c>
      <c r="C10" t="s">
        <v>82</v>
      </c>
      <c r="D10" t="s">
        <v>83</v>
      </c>
      <c r="E10" t="s">
        <v>60</v>
      </c>
      <c r="F10">
        <v>6000</v>
      </c>
      <c r="G10" t="s">
        <v>47</v>
      </c>
      <c r="H10" t="s">
        <v>31</v>
      </c>
      <c r="I10" t="b">
        <v>1</v>
      </c>
      <c r="J10">
        <v>3</v>
      </c>
      <c r="K10">
        <v>0</v>
      </c>
      <c r="L10">
        <v>0</v>
      </c>
      <c r="M10">
        <v>3</v>
      </c>
      <c r="N10">
        <v>70</v>
      </c>
      <c r="O10">
        <v>0.23</v>
      </c>
      <c r="P10" t="s">
        <v>61</v>
      </c>
      <c r="Q10">
        <v>13.4</v>
      </c>
      <c r="R10">
        <v>19</v>
      </c>
      <c r="S10" t="s">
        <v>41</v>
      </c>
      <c r="T10">
        <v>64.599999999999994</v>
      </c>
      <c r="U10">
        <v>0.315</v>
      </c>
      <c r="V10">
        <v>16750</v>
      </c>
      <c r="W10">
        <v>9.2999999999999999E-2</v>
      </c>
      <c r="X10">
        <v>2.93E-2</v>
      </c>
      <c r="Y10">
        <v>0.83499999999999996</v>
      </c>
    </row>
    <row r="11" spans="1:25" x14ac:dyDescent="0.3">
      <c r="A11" t="s">
        <v>84</v>
      </c>
      <c r="B11" t="s">
        <v>85</v>
      </c>
      <c r="C11" t="s">
        <v>86</v>
      </c>
      <c r="D11" t="s">
        <v>87</v>
      </c>
      <c r="E11" t="s">
        <v>88</v>
      </c>
      <c r="G11" t="s">
        <v>39</v>
      </c>
      <c r="H11" t="s">
        <v>31</v>
      </c>
      <c r="I11" t="b">
        <v>1</v>
      </c>
      <c r="J11">
        <v>1</v>
      </c>
      <c r="K11">
        <v>0</v>
      </c>
      <c r="L11">
        <v>0</v>
      </c>
      <c r="M11">
        <v>1</v>
      </c>
      <c r="N11">
        <v>72</v>
      </c>
      <c r="O11">
        <v>0.25</v>
      </c>
      <c r="P11" t="s">
        <v>89</v>
      </c>
      <c r="Q11">
        <v>37.6</v>
      </c>
      <c r="R11">
        <v>9</v>
      </c>
      <c r="S11" t="s">
        <v>39</v>
      </c>
      <c r="T11">
        <v>73.3</v>
      </c>
      <c r="U11">
        <v>0.21299999999999999</v>
      </c>
      <c r="V11">
        <v>15950</v>
      </c>
      <c r="W11">
        <v>0.17699999999999999</v>
      </c>
      <c r="X11">
        <v>3.7699999999999997E-2</v>
      </c>
      <c r="Y11">
        <v>0.68300000000000005</v>
      </c>
    </row>
    <row r="12" spans="1:25" x14ac:dyDescent="0.3">
      <c r="A12" t="s">
        <v>90</v>
      </c>
      <c r="B12" t="s">
        <v>51</v>
      </c>
      <c r="C12" t="s">
        <v>91</v>
      </c>
      <c r="D12" t="s">
        <v>53</v>
      </c>
      <c r="E12" t="s">
        <v>54</v>
      </c>
      <c r="G12" t="s">
        <v>30</v>
      </c>
      <c r="H12" t="s">
        <v>31</v>
      </c>
      <c r="I12" t="b">
        <v>1</v>
      </c>
      <c r="J12">
        <v>1</v>
      </c>
      <c r="K12">
        <v>1</v>
      </c>
      <c r="L12">
        <v>0</v>
      </c>
      <c r="M12">
        <v>0</v>
      </c>
      <c r="N12">
        <v>15</v>
      </c>
      <c r="O12">
        <v>1</v>
      </c>
      <c r="P12" t="s">
        <v>55</v>
      </c>
      <c r="Q12">
        <v>88.3</v>
      </c>
      <c r="R12">
        <v>3</v>
      </c>
      <c r="S12" t="s">
        <v>33</v>
      </c>
      <c r="T12">
        <v>68.400000000000006</v>
      </c>
      <c r="U12">
        <v>0.25900000000000001</v>
      </c>
      <c r="V12">
        <v>142000</v>
      </c>
      <c r="W12">
        <v>0.6</v>
      </c>
      <c r="X12">
        <v>0.15540000000000001</v>
      </c>
      <c r="Y12">
        <v>0.82599999999999996</v>
      </c>
    </row>
    <row r="13" spans="1:25" x14ac:dyDescent="0.3">
      <c r="A13" t="s">
        <v>92</v>
      </c>
      <c r="B13" t="s">
        <v>51</v>
      </c>
      <c r="C13" t="s">
        <v>93</v>
      </c>
      <c r="D13" t="s">
        <v>94</v>
      </c>
      <c r="E13" t="s">
        <v>54</v>
      </c>
      <c r="F13">
        <v>60000</v>
      </c>
      <c r="G13" t="s">
        <v>47</v>
      </c>
      <c r="H13" t="s">
        <v>48</v>
      </c>
      <c r="I13" t="b">
        <v>1</v>
      </c>
      <c r="J13">
        <v>3</v>
      </c>
      <c r="K13">
        <v>0</v>
      </c>
      <c r="L13">
        <v>0</v>
      </c>
      <c r="M13">
        <v>3</v>
      </c>
      <c r="N13">
        <v>70</v>
      </c>
      <c r="O13">
        <v>0.23</v>
      </c>
      <c r="P13" t="s">
        <v>55</v>
      </c>
      <c r="Q13">
        <v>88.3</v>
      </c>
      <c r="R13">
        <v>3</v>
      </c>
      <c r="S13" t="s">
        <v>33</v>
      </c>
      <c r="T13">
        <v>68.400000000000006</v>
      </c>
      <c r="U13">
        <v>0.25900000000000001</v>
      </c>
      <c r="V13">
        <v>142000</v>
      </c>
      <c r="W13">
        <v>0.6</v>
      </c>
      <c r="X13">
        <v>0.15540000000000001</v>
      </c>
      <c r="Y13">
        <v>0.82599999999999996</v>
      </c>
    </row>
    <row r="14" spans="1:25" x14ac:dyDescent="0.3">
      <c r="A14" t="s">
        <v>95</v>
      </c>
      <c r="B14" t="s">
        <v>96</v>
      </c>
      <c r="C14" t="s">
        <v>97</v>
      </c>
      <c r="D14" t="s">
        <v>98</v>
      </c>
      <c r="E14" t="s">
        <v>99</v>
      </c>
      <c r="G14" t="s">
        <v>47</v>
      </c>
      <c r="H14" t="s">
        <v>31</v>
      </c>
      <c r="I14" t="b">
        <v>1</v>
      </c>
      <c r="J14">
        <v>4</v>
      </c>
      <c r="K14">
        <v>0</v>
      </c>
      <c r="L14">
        <v>0</v>
      </c>
      <c r="M14">
        <v>4</v>
      </c>
      <c r="N14">
        <v>71</v>
      </c>
      <c r="O14">
        <v>0.224</v>
      </c>
      <c r="P14" t="s">
        <v>98</v>
      </c>
      <c r="Q14">
        <v>13.8</v>
      </c>
      <c r="R14">
        <v>18</v>
      </c>
      <c r="S14" t="s">
        <v>41</v>
      </c>
      <c r="T14">
        <v>70.5</v>
      </c>
      <c r="U14">
        <v>0.22700000000000001</v>
      </c>
      <c r="V14">
        <v>15000</v>
      </c>
      <c r="W14">
        <v>8.3000000000000004E-2</v>
      </c>
      <c r="X14">
        <v>1.89E-2</v>
      </c>
      <c r="Y14">
        <v>0.74</v>
      </c>
    </row>
    <row r="15" spans="1:25" x14ac:dyDescent="0.3">
      <c r="A15" t="s">
        <v>100</v>
      </c>
      <c r="B15" t="s">
        <v>101</v>
      </c>
      <c r="C15" t="s">
        <v>102</v>
      </c>
      <c r="D15" t="s">
        <v>103</v>
      </c>
      <c r="E15" t="s">
        <v>29</v>
      </c>
      <c r="F15">
        <v>12000</v>
      </c>
      <c r="G15" t="s">
        <v>47</v>
      </c>
      <c r="H15" t="s">
        <v>31</v>
      </c>
      <c r="I15" t="b">
        <v>1</v>
      </c>
      <c r="J15">
        <v>2</v>
      </c>
      <c r="K15">
        <v>0</v>
      </c>
      <c r="L15">
        <v>0</v>
      </c>
      <c r="M15">
        <v>2</v>
      </c>
      <c r="N15">
        <v>66.5</v>
      </c>
      <c r="O15">
        <v>0.27500000000000002</v>
      </c>
      <c r="P15" t="s">
        <v>32</v>
      </c>
      <c r="Q15">
        <v>100</v>
      </c>
      <c r="R15">
        <v>1</v>
      </c>
      <c r="S15" t="s">
        <v>33</v>
      </c>
      <c r="T15">
        <v>66.900000000000006</v>
      </c>
      <c r="U15">
        <v>0.27100000000000002</v>
      </c>
      <c r="V15">
        <v>30000</v>
      </c>
      <c r="W15">
        <v>0.27300000000000002</v>
      </c>
      <c r="X15">
        <v>7.3899999999999993E-2</v>
      </c>
      <c r="Y15">
        <v>0.58599999999999997</v>
      </c>
    </row>
    <row r="16" spans="1:25" x14ac:dyDescent="0.3">
      <c r="A16" t="s">
        <v>104</v>
      </c>
      <c r="B16" t="s">
        <v>105</v>
      </c>
      <c r="C16" t="s">
        <v>106</v>
      </c>
      <c r="D16" t="s">
        <v>107</v>
      </c>
      <c r="E16" t="s">
        <v>108</v>
      </c>
      <c r="F16">
        <v>18000</v>
      </c>
      <c r="G16" t="s">
        <v>47</v>
      </c>
      <c r="H16" t="s">
        <v>48</v>
      </c>
      <c r="I16" t="b">
        <v>1</v>
      </c>
      <c r="J16">
        <v>4</v>
      </c>
      <c r="K16">
        <v>0</v>
      </c>
      <c r="L16">
        <v>1</v>
      </c>
      <c r="M16">
        <v>3</v>
      </c>
      <c r="N16">
        <v>73.5</v>
      </c>
      <c r="O16">
        <v>0.21299999999999999</v>
      </c>
      <c r="P16" t="s">
        <v>109</v>
      </c>
      <c r="Q16">
        <v>62.1</v>
      </c>
      <c r="R16">
        <v>7</v>
      </c>
      <c r="S16" t="s">
        <v>39</v>
      </c>
      <c r="T16">
        <v>73.599999999999994</v>
      </c>
      <c r="U16">
        <v>0.218</v>
      </c>
      <c r="V16">
        <v>26500</v>
      </c>
      <c r="W16">
        <v>0.24099999999999999</v>
      </c>
      <c r="X16">
        <v>5.2499999999999998E-2</v>
      </c>
      <c r="Y16">
        <v>0.63200000000000001</v>
      </c>
    </row>
    <row r="17" spans="1:25" x14ac:dyDescent="0.3">
      <c r="A17" t="s">
        <v>110</v>
      </c>
      <c r="B17" t="s">
        <v>111</v>
      </c>
      <c r="C17" t="s">
        <v>112</v>
      </c>
      <c r="D17" t="s">
        <v>113</v>
      </c>
      <c r="E17" t="s">
        <v>114</v>
      </c>
      <c r="F17">
        <v>3500</v>
      </c>
      <c r="G17" t="s">
        <v>30</v>
      </c>
      <c r="H17" t="s">
        <v>31</v>
      </c>
      <c r="I17" t="b">
        <v>1</v>
      </c>
      <c r="J17">
        <v>1</v>
      </c>
      <c r="K17">
        <v>1</v>
      </c>
      <c r="L17">
        <v>0</v>
      </c>
      <c r="M17">
        <v>0</v>
      </c>
      <c r="N17">
        <v>15</v>
      </c>
      <c r="O17">
        <v>1</v>
      </c>
      <c r="P17" t="s">
        <v>113</v>
      </c>
      <c r="Q17">
        <v>25.5</v>
      </c>
      <c r="R17">
        <v>12</v>
      </c>
      <c r="S17" t="s">
        <v>41</v>
      </c>
      <c r="T17">
        <v>50.1</v>
      </c>
      <c r="U17">
        <v>0.502</v>
      </c>
      <c r="V17">
        <v>12000</v>
      </c>
      <c r="W17">
        <v>0.04</v>
      </c>
      <c r="X17">
        <v>2.01E-2</v>
      </c>
      <c r="Y17">
        <v>0.58299999999999996</v>
      </c>
    </row>
    <row r="18" spans="1:25" x14ac:dyDescent="0.3">
      <c r="A18" t="s">
        <v>115</v>
      </c>
      <c r="B18" t="s">
        <v>116</v>
      </c>
      <c r="C18" t="s">
        <v>117</v>
      </c>
      <c r="D18" t="s">
        <v>118</v>
      </c>
      <c r="E18" t="s">
        <v>119</v>
      </c>
      <c r="G18" t="s">
        <v>47</v>
      </c>
      <c r="H18" t="s">
        <v>31</v>
      </c>
      <c r="I18" t="b">
        <v>1</v>
      </c>
      <c r="J18">
        <v>1</v>
      </c>
      <c r="K18">
        <v>0</v>
      </c>
      <c r="L18">
        <v>0</v>
      </c>
      <c r="M18">
        <v>1</v>
      </c>
      <c r="N18">
        <v>78</v>
      </c>
      <c r="O18">
        <v>0.15</v>
      </c>
      <c r="P18" t="s">
        <v>120</v>
      </c>
      <c r="Q18">
        <v>17.8</v>
      </c>
      <c r="R18">
        <v>16</v>
      </c>
      <c r="S18" t="s">
        <v>41</v>
      </c>
      <c r="T18">
        <v>77</v>
      </c>
      <c r="U18">
        <v>0.16400000000000001</v>
      </c>
      <c r="V18">
        <v>31300</v>
      </c>
      <c r="W18">
        <v>0.125</v>
      </c>
      <c r="X18">
        <v>2.0500000000000001E-2</v>
      </c>
      <c r="Y18">
        <v>0.70499999999999996</v>
      </c>
    </row>
    <row r="19" spans="1:25" x14ac:dyDescent="0.3">
      <c r="A19" t="s">
        <v>121</v>
      </c>
      <c r="B19" t="s">
        <v>122</v>
      </c>
      <c r="C19" t="s">
        <v>123</v>
      </c>
      <c r="D19" t="s">
        <v>124</v>
      </c>
      <c r="E19" t="s">
        <v>125</v>
      </c>
      <c r="G19" t="s">
        <v>39</v>
      </c>
      <c r="H19" t="s">
        <v>31</v>
      </c>
      <c r="I19" t="b">
        <v>1</v>
      </c>
      <c r="J19">
        <v>3</v>
      </c>
      <c r="K19">
        <v>0</v>
      </c>
      <c r="L19">
        <v>0</v>
      </c>
      <c r="M19">
        <v>3</v>
      </c>
      <c r="N19">
        <v>61.5</v>
      </c>
      <c r="O19">
        <v>0.41</v>
      </c>
      <c r="P19" t="s">
        <v>126</v>
      </c>
      <c r="Q19">
        <v>92.3</v>
      </c>
      <c r="R19">
        <v>2</v>
      </c>
      <c r="S19" t="s">
        <v>33</v>
      </c>
      <c r="T19">
        <v>65</v>
      </c>
      <c r="U19">
        <v>0.31900000000000001</v>
      </c>
      <c r="V19">
        <v>18100</v>
      </c>
      <c r="W19">
        <v>0.191</v>
      </c>
      <c r="X19">
        <v>6.08E-2</v>
      </c>
      <c r="Y19">
        <v>0.53400000000000003</v>
      </c>
    </row>
    <row r="20" spans="1:25" x14ac:dyDescent="0.3">
      <c r="A20" t="s">
        <v>127</v>
      </c>
      <c r="B20" t="s">
        <v>128</v>
      </c>
      <c r="C20" t="s">
        <v>129</v>
      </c>
      <c r="D20" t="s">
        <v>130</v>
      </c>
      <c r="E20" t="s">
        <v>108</v>
      </c>
      <c r="G20" t="s">
        <v>39</v>
      </c>
      <c r="H20" t="s">
        <v>73</v>
      </c>
      <c r="I20" t="b">
        <v>1</v>
      </c>
      <c r="J20">
        <v>3</v>
      </c>
      <c r="K20">
        <v>0</v>
      </c>
      <c r="L20">
        <v>1</v>
      </c>
      <c r="M20">
        <v>2</v>
      </c>
      <c r="N20">
        <v>84.3</v>
      </c>
      <c r="O20">
        <v>8.8999999999999996E-2</v>
      </c>
      <c r="P20" t="s">
        <v>109</v>
      </c>
      <c r="Q20">
        <v>62.1</v>
      </c>
      <c r="R20">
        <v>7</v>
      </c>
      <c r="S20" t="s">
        <v>39</v>
      </c>
      <c r="T20">
        <v>73.599999999999994</v>
      </c>
      <c r="U20">
        <v>0.218</v>
      </c>
      <c r="V20">
        <v>26500</v>
      </c>
      <c r="W20">
        <v>0.24099999999999999</v>
      </c>
      <c r="X20">
        <v>5.2499999999999998E-2</v>
      </c>
      <c r="Y20">
        <v>0.63200000000000001</v>
      </c>
    </row>
    <row r="21" spans="1:25" x14ac:dyDescent="0.3">
      <c r="A21" t="s">
        <v>131</v>
      </c>
      <c r="B21" t="s">
        <v>132</v>
      </c>
      <c r="C21" t="s">
        <v>133</v>
      </c>
      <c r="D21" t="s">
        <v>134</v>
      </c>
      <c r="E21" t="s">
        <v>135</v>
      </c>
      <c r="G21" t="s">
        <v>39</v>
      </c>
      <c r="H21" t="s">
        <v>73</v>
      </c>
      <c r="I21" t="b">
        <v>1</v>
      </c>
      <c r="J21">
        <v>3</v>
      </c>
      <c r="K21">
        <v>1</v>
      </c>
      <c r="L21">
        <v>0</v>
      </c>
      <c r="M21">
        <v>2</v>
      </c>
      <c r="N21">
        <v>55.4</v>
      </c>
      <c r="O21">
        <v>0.44600000000000001</v>
      </c>
      <c r="P21" t="s">
        <v>136</v>
      </c>
      <c r="Q21">
        <v>30.2</v>
      </c>
      <c r="R21">
        <v>11</v>
      </c>
      <c r="S21" t="s">
        <v>41</v>
      </c>
      <c r="T21">
        <v>60.1</v>
      </c>
      <c r="U21">
        <v>0.38600000000000001</v>
      </c>
      <c r="V21">
        <v>67450</v>
      </c>
      <c r="W21">
        <v>0.13</v>
      </c>
      <c r="X21">
        <v>5.0099999999999999E-2</v>
      </c>
      <c r="Y21">
        <v>0.80400000000000005</v>
      </c>
    </row>
    <row r="22" spans="1:25" x14ac:dyDescent="0.3">
      <c r="A22" t="s">
        <v>137</v>
      </c>
      <c r="B22" t="s">
        <v>138</v>
      </c>
      <c r="C22" t="s">
        <v>139</v>
      </c>
      <c r="D22" t="s">
        <v>140</v>
      </c>
      <c r="E22" t="s">
        <v>141</v>
      </c>
      <c r="G22" t="s">
        <v>67</v>
      </c>
      <c r="H22" t="s">
        <v>73</v>
      </c>
      <c r="I22" t="b">
        <v>1</v>
      </c>
      <c r="J22">
        <v>2</v>
      </c>
      <c r="K22">
        <v>0</v>
      </c>
      <c r="L22">
        <v>0</v>
      </c>
      <c r="M22">
        <v>2</v>
      </c>
      <c r="N22">
        <v>74.5</v>
      </c>
      <c r="O22">
        <v>0.20899999999999999</v>
      </c>
      <c r="P22" t="s">
        <v>142</v>
      </c>
      <c r="Q22">
        <v>15.8</v>
      </c>
      <c r="R22">
        <v>17</v>
      </c>
      <c r="S22" t="s">
        <v>41</v>
      </c>
      <c r="T22">
        <v>78.2</v>
      </c>
      <c r="U22">
        <v>0.15</v>
      </c>
      <c r="V22">
        <v>22500</v>
      </c>
      <c r="W22">
        <v>0.10199999999999999</v>
      </c>
      <c r="X22">
        <v>1.5299999999999999E-2</v>
      </c>
      <c r="Y22">
        <v>0.64500000000000002</v>
      </c>
    </row>
    <row r="23" spans="1:25" x14ac:dyDescent="0.3">
      <c r="A23" t="s">
        <v>143</v>
      </c>
      <c r="B23" t="s">
        <v>111</v>
      </c>
      <c r="C23" t="s">
        <v>144</v>
      </c>
      <c r="D23" t="s">
        <v>145</v>
      </c>
      <c r="E23" t="s">
        <v>125</v>
      </c>
      <c r="F23">
        <v>5600</v>
      </c>
      <c r="G23" t="s">
        <v>47</v>
      </c>
      <c r="H23" t="s">
        <v>31</v>
      </c>
      <c r="I23" t="b">
        <v>1</v>
      </c>
      <c r="J23">
        <v>2</v>
      </c>
      <c r="K23">
        <v>0</v>
      </c>
      <c r="L23">
        <v>0</v>
      </c>
      <c r="M23">
        <v>2</v>
      </c>
      <c r="N23">
        <v>64.5</v>
      </c>
      <c r="O23">
        <v>0.29699999999999999</v>
      </c>
      <c r="P23" t="s">
        <v>126</v>
      </c>
      <c r="Q23">
        <v>92.3</v>
      </c>
      <c r="R23">
        <v>2</v>
      </c>
      <c r="S23" t="s">
        <v>33</v>
      </c>
      <c r="T23">
        <v>65</v>
      </c>
      <c r="U23">
        <v>0.31900000000000001</v>
      </c>
      <c r="V23">
        <v>18100</v>
      </c>
      <c r="W23">
        <v>0.191</v>
      </c>
      <c r="X23">
        <v>6.08E-2</v>
      </c>
      <c r="Y23">
        <v>0.53400000000000003</v>
      </c>
    </row>
    <row r="24" spans="1:25" x14ac:dyDescent="0.3">
      <c r="A24" t="s">
        <v>146</v>
      </c>
      <c r="B24" t="s">
        <v>147</v>
      </c>
      <c r="C24" t="s">
        <v>148</v>
      </c>
      <c r="D24" t="s">
        <v>149</v>
      </c>
      <c r="E24" t="s">
        <v>119</v>
      </c>
      <c r="G24" t="s">
        <v>39</v>
      </c>
      <c r="H24" t="s">
        <v>31</v>
      </c>
      <c r="I24" t="b">
        <v>1</v>
      </c>
      <c r="J24">
        <v>3</v>
      </c>
      <c r="K24">
        <v>1</v>
      </c>
      <c r="L24">
        <v>0</v>
      </c>
      <c r="M24">
        <v>2</v>
      </c>
      <c r="N24">
        <v>60.2</v>
      </c>
      <c r="O24">
        <v>0.38300000000000001</v>
      </c>
      <c r="P24" t="s">
        <v>120</v>
      </c>
      <c r="Q24">
        <v>17.8</v>
      </c>
      <c r="R24">
        <v>16</v>
      </c>
      <c r="S24" t="s">
        <v>41</v>
      </c>
      <c r="T24">
        <v>77</v>
      </c>
      <c r="U24">
        <v>0.16400000000000001</v>
      </c>
      <c r="V24">
        <v>31300</v>
      </c>
      <c r="W24">
        <v>0.125</v>
      </c>
      <c r="X24">
        <v>2.0500000000000001E-2</v>
      </c>
      <c r="Y24">
        <v>0.70499999999999996</v>
      </c>
    </row>
    <row r="25" spans="1:25" x14ac:dyDescent="0.3">
      <c r="A25" t="s">
        <v>150</v>
      </c>
      <c r="B25" t="s">
        <v>132</v>
      </c>
      <c r="C25" t="s">
        <v>151</v>
      </c>
      <c r="D25" t="s">
        <v>152</v>
      </c>
      <c r="E25" t="s">
        <v>135</v>
      </c>
      <c r="G25" t="s">
        <v>39</v>
      </c>
      <c r="H25" t="s">
        <v>73</v>
      </c>
      <c r="I25" t="b">
        <v>1</v>
      </c>
      <c r="J25">
        <v>3</v>
      </c>
      <c r="K25">
        <v>1</v>
      </c>
      <c r="L25">
        <v>0</v>
      </c>
      <c r="M25">
        <v>2</v>
      </c>
      <c r="N25">
        <v>54.3</v>
      </c>
      <c r="O25">
        <v>0.46100000000000002</v>
      </c>
      <c r="P25" t="s">
        <v>136</v>
      </c>
      <c r="Q25">
        <v>30.2</v>
      </c>
      <c r="R25">
        <v>11</v>
      </c>
      <c r="S25" t="s">
        <v>41</v>
      </c>
      <c r="T25">
        <v>60.1</v>
      </c>
      <c r="U25">
        <v>0.38600000000000001</v>
      </c>
      <c r="V25">
        <v>67450</v>
      </c>
      <c r="W25">
        <v>0.13</v>
      </c>
      <c r="X25">
        <v>5.0099999999999999E-2</v>
      </c>
      <c r="Y25">
        <v>0.80400000000000005</v>
      </c>
    </row>
    <row r="26" spans="1:25" x14ac:dyDescent="0.3">
      <c r="A26" t="s">
        <v>153</v>
      </c>
      <c r="B26" t="s">
        <v>154</v>
      </c>
      <c r="C26" t="s">
        <v>155</v>
      </c>
      <c r="D26" t="s">
        <v>156</v>
      </c>
      <c r="E26" t="s">
        <v>157</v>
      </c>
      <c r="F26">
        <v>6000</v>
      </c>
      <c r="G26" t="s">
        <v>47</v>
      </c>
      <c r="H26" t="s">
        <v>31</v>
      </c>
      <c r="I26" t="b">
        <v>1</v>
      </c>
      <c r="J26">
        <v>4</v>
      </c>
      <c r="K26">
        <v>0</v>
      </c>
      <c r="L26">
        <v>0</v>
      </c>
      <c r="M26">
        <v>4</v>
      </c>
      <c r="N26">
        <v>70.400000000000006</v>
      </c>
      <c r="O26">
        <v>0.23400000000000001</v>
      </c>
      <c r="P26" t="s">
        <v>158</v>
      </c>
      <c r="Q26">
        <v>18.100000000000001</v>
      </c>
      <c r="R26">
        <v>15</v>
      </c>
      <c r="S26" t="s">
        <v>41</v>
      </c>
      <c r="T26">
        <v>74.5</v>
      </c>
      <c r="U26">
        <v>0.19900000000000001</v>
      </c>
      <c r="V26">
        <v>12000</v>
      </c>
      <c r="W26">
        <v>8.5999999999999993E-2</v>
      </c>
      <c r="X26">
        <v>1.7100000000000001E-2</v>
      </c>
      <c r="Y26">
        <v>0.63900000000000001</v>
      </c>
    </row>
    <row r="27" spans="1:25" x14ac:dyDescent="0.3">
      <c r="A27" t="s">
        <v>159</v>
      </c>
      <c r="B27" t="s">
        <v>160</v>
      </c>
      <c r="C27" t="s">
        <v>161</v>
      </c>
      <c r="D27" t="s">
        <v>162</v>
      </c>
      <c r="E27" t="s">
        <v>163</v>
      </c>
      <c r="F27">
        <v>3000</v>
      </c>
      <c r="G27" t="s">
        <v>30</v>
      </c>
      <c r="H27" t="s">
        <v>31</v>
      </c>
      <c r="I27" t="b">
        <v>1</v>
      </c>
      <c r="J27">
        <v>1</v>
      </c>
      <c r="K27">
        <v>0</v>
      </c>
      <c r="L27">
        <v>0</v>
      </c>
      <c r="M27">
        <v>1</v>
      </c>
      <c r="N27">
        <v>75</v>
      </c>
      <c r="O27">
        <v>0.2</v>
      </c>
      <c r="P27" t="s">
        <v>162</v>
      </c>
      <c r="Q27">
        <v>7.7</v>
      </c>
      <c r="R27">
        <v>24</v>
      </c>
      <c r="S27" t="s">
        <v>41</v>
      </c>
      <c r="T27">
        <v>76.5</v>
      </c>
      <c r="U27">
        <v>0.185</v>
      </c>
      <c r="V27">
        <v>10950</v>
      </c>
      <c r="W27">
        <v>9.0999999999999998E-2</v>
      </c>
      <c r="X27">
        <v>1.6899999999999998E-2</v>
      </c>
      <c r="Y27">
        <v>0.81399999999999995</v>
      </c>
    </row>
    <row r="28" spans="1:25" x14ac:dyDescent="0.3">
      <c r="A28" t="s">
        <v>164</v>
      </c>
      <c r="B28" t="s">
        <v>165</v>
      </c>
      <c r="C28" t="s">
        <v>166</v>
      </c>
      <c r="D28" t="s">
        <v>167</v>
      </c>
      <c r="E28" t="s">
        <v>168</v>
      </c>
      <c r="G28" t="s">
        <v>39</v>
      </c>
      <c r="H28" t="s">
        <v>31</v>
      </c>
      <c r="I28" t="b">
        <v>1</v>
      </c>
      <c r="J28">
        <v>3</v>
      </c>
      <c r="K28">
        <v>0</v>
      </c>
      <c r="L28">
        <v>1</v>
      </c>
      <c r="M28">
        <v>2</v>
      </c>
      <c r="N28">
        <v>82.3</v>
      </c>
      <c r="O28">
        <v>0.113</v>
      </c>
      <c r="P28" t="s">
        <v>169</v>
      </c>
      <c r="Q28">
        <v>63.1</v>
      </c>
      <c r="R28">
        <v>6</v>
      </c>
      <c r="S28" t="s">
        <v>39</v>
      </c>
      <c r="T28">
        <v>54.9</v>
      </c>
      <c r="U28">
        <v>0.47499999999999998</v>
      </c>
      <c r="V28">
        <v>23000</v>
      </c>
      <c r="W28">
        <v>0.17699999999999999</v>
      </c>
      <c r="X28">
        <v>8.4000000000000005E-2</v>
      </c>
      <c r="Y28">
        <v>0.76700000000000002</v>
      </c>
    </row>
    <row r="29" spans="1:25" x14ac:dyDescent="0.3">
      <c r="A29" t="s">
        <v>170</v>
      </c>
      <c r="B29" t="s">
        <v>105</v>
      </c>
      <c r="C29" t="s">
        <v>171</v>
      </c>
      <c r="D29" t="s">
        <v>172</v>
      </c>
      <c r="E29" t="s">
        <v>38</v>
      </c>
      <c r="F29">
        <v>8000</v>
      </c>
      <c r="G29" t="s">
        <v>47</v>
      </c>
      <c r="H29" t="s">
        <v>31</v>
      </c>
      <c r="I29" t="b">
        <v>1</v>
      </c>
      <c r="J29">
        <v>3</v>
      </c>
      <c r="K29">
        <v>1</v>
      </c>
      <c r="L29">
        <v>0</v>
      </c>
      <c r="M29">
        <v>2</v>
      </c>
      <c r="N29">
        <v>53.1</v>
      </c>
      <c r="O29">
        <v>0.46300000000000002</v>
      </c>
      <c r="P29" t="s">
        <v>40</v>
      </c>
      <c r="Q29">
        <v>8.6999999999999993</v>
      </c>
      <c r="R29">
        <v>23</v>
      </c>
      <c r="S29" t="s">
        <v>41</v>
      </c>
      <c r="T29">
        <v>60.8</v>
      </c>
      <c r="U29">
        <v>0.36799999999999999</v>
      </c>
      <c r="V29">
        <v>20700</v>
      </c>
      <c r="W29">
        <v>4.9000000000000002E-2</v>
      </c>
      <c r="X29">
        <v>1.8100000000000002E-2</v>
      </c>
      <c r="Y29">
        <v>0.81100000000000005</v>
      </c>
    </row>
    <row r="30" spans="1:25" x14ac:dyDescent="0.3">
      <c r="A30" t="s">
        <v>173</v>
      </c>
      <c r="B30" t="s">
        <v>138</v>
      </c>
      <c r="C30" t="s">
        <v>174</v>
      </c>
      <c r="D30" t="s">
        <v>140</v>
      </c>
      <c r="E30" t="s">
        <v>141</v>
      </c>
      <c r="G30" t="s">
        <v>39</v>
      </c>
      <c r="H30" t="s">
        <v>73</v>
      </c>
      <c r="I30" t="b">
        <v>1</v>
      </c>
      <c r="J30">
        <v>2</v>
      </c>
      <c r="K30">
        <v>0</v>
      </c>
      <c r="L30">
        <v>0</v>
      </c>
      <c r="M30">
        <v>2</v>
      </c>
      <c r="N30">
        <v>74.5</v>
      </c>
      <c r="O30">
        <v>0.20899999999999999</v>
      </c>
      <c r="P30" t="s">
        <v>142</v>
      </c>
      <c r="Q30">
        <v>15.8</v>
      </c>
      <c r="R30">
        <v>17</v>
      </c>
      <c r="S30" t="s">
        <v>41</v>
      </c>
      <c r="T30">
        <v>78.2</v>
      </c>
      <c r="U30">
        <v>0.15</v>
      </c>
      <c r="V30">
        <v>22500</v>
      </c>
      <c r="W30">
        <v>0.10199999999999999</v>
      </c>
      <c r="X30">
        <v>1.5299999999999999E-2</v>
      </c>
      <c r="Y30">
        <v>0.64500000000000002</v>
      </c>
    </row>
    <row r="31" spans="1:25" x14ac:dyDescent="0.3">
      <c r="A31" t="s">
        <v>175</v>
      </c>
      <c r="B31" t="s">
        <v>101</v>
      </c>
      <c r="C31" t="s">
        <v>176</v>
      </c>
      <c r="D31" t="s">
        <v>177</v>
      </c>
      <c r="E31" t="s">
        <v>135</v>
      </c>
      <c r="G31" t="s">
        <v>47</v>
      </c>
      <c r="H31" t="s">
        <v>48</v>
      </c>
      <c r="I31" t="b">
        <v>1</v>
      </c>
      <c r="J31">
        <v>3</v>
      </c>
      <c r="K31">
        <v>1</v>
      </c>
      <c r="L31">
        <v>1</v>
      </c>
      <c r="M31">
        <v>1</v>
      </c>
      <c r="N31">
        <v>55.8</v>
      </c>
      <c r="O31">
        <v>0.47499999999999998</v>
      </c>
      <c r="P31" t="s">
        <v>136</v>
      </c>
      <c r="Q31">
        <v>30.2</v>
      </c>
      <c r="R31">
        <v>11</v>
      </c>
      <c r="S31" t="s">
        <v>41</v>
      </c>
      <c r="T31">
        <v>60.1</v>
      </c>
      <c r="U31">
        <v>0.38600000000000001</v>
      </c>
      <c r="V31">
        <v>67450</v>
      </c>
      <c r="W31">
        <v>0.13</v>
      </c>
      <c r="X31">
        <v>5.0099999999999999E-2</v>
      </c>
      <c r="Y31">
        <v>0.80400000000000005</v>
      </c>
    </row>
    <row r="32" spans="1:25" x14ac:dyDescent="0.3">
      <c r="A32" t="s">
        <v>178</v>
      </c>
      <c r="B32" t="s">
        <v>179</v>
      </c>
      <c r="C32" t="s">
        <v>180</v>
      </c>
      <c r="D32" t="s">
        <v>181</v>
      </c>
      <c r="E32" t="s">
        <v>78</v>
      </c>
      <c r="G32" t="s">
        <v>39</v>
      </c>
      <c r="H32" t="s">
        <v>73</v>
      </c>
      <c r="I32" t="b">
        <v>1</v>
      </c>
      <c r="J32">
        <v>3</v>
      </c>
      <c r="K32">
        <v>0</v>
      </c>
      <c r="L32">
        <v>1</v>
      </c>
      <c r="M32">
        <v>2</v>
      </c>
      <c r="N32">
        <v>81.7</v>
      </c>
      <c r="O32">
        <v>0.127</v>
      </c>
      <c r="P32" t="s">
        <v>79</v>
      </c>
      <c r="Q32">
        <v>13.4</v>
      </c>
      <c r="R32">
        <v>20</v>
      </c>
      <c r="S32" t="s">
        <v>41</v>
      </c>
      <c r="T32">
        <v>67.599999999999994</v>
      </c>
      <c r="U32">
        <v>0.28599999999999998</v>
      </c>
      <c r="V32">
        <v>9000</v>
      </c>
      <c r="W32">
        <v>5.6000000000000001E-2</v>
      </c>
      <c r="X32">
        <v>1.61E-2</v>
      </c>
      <c r="Y32">
        <v>0.69899999999999995</v>
      </c>
    </row>
    <row r="33" spans="1:25" x14ac:dyDescent="0.3">
      <c r="A33" t="s">
        <v>182</v>
      </c>
      <c r="B33" t="s">
        <v>183</v>
      </c>
      <c r="C33" t="s">
        <v>184</v>
      </c>
      <c r="D33" t="s">
        <v>185</v>
      </c>
      <c r="E33" t="s">
        <v>186</v>
      </c>
      <c r="G33" t="s">
        <v>30</v>
      </c>
      <c r="H33" t="s">
        <v>73</v>
      </c>
      <c r="I33" t="b">
        <v>1</v>
      </c>
      <c r="J33">
        <v>3</v>
      </c>
      <c r="K33">
        <v>0</v>
      </c>
      <c r="L33">
        <v>0</v>
      </c>
      <c r="M33">
        <v>3</v>
      </c>
      <c r="N33">
        <v>55.4</v>
      </c>
      <c r="O33">
        <v>0.50600000000000001</v>
      </c>
      <c r="P33" t="s">
        <v>187</v>
      </c>
      <c r="Q33">
        <v>9.1</v>
      </c>
      <c r="R33">
        <v>22</v>
      </c>
      <c r="S33" t="s">
        <v>41</v>
      </c>
      <c r="T33">
        <v>55.4</v>
      </c>
      <c r="U33">
        <v>0.50600000000000001</v>
      </c>
      <c r="V33">
        <v>3500</v>
      </c>
      <c r="W33">
        <v>2.5000000000000001E-2</v>
      </c>
      <c r="X33">
        <v>1.2699999999999999E-2</v>
      </c>
      <c r="Y33">
        <v>0.72599999999999998</v>
      </c>
    </row>
    <row r="34" spans="1:25" x14ac:dyDescent="0.3">
      <c r="A34" t="s">
        <v>188</v>
      </c>
      <c r="B34" t="s">
        <v>105</v>
      </c>
      <c r="C34" t="s">
        <v>189</v>
      </c>
      <c r="D34" t="s">
        <v>190</v>
      </c>
      <c r="E34" t="s">
        <v>191</v>
      </c>
      <c r="F34">
        <v>4000</v>
      </c>
      <c r="G34" t="s">
        <v>30</v>
      </c>
      <c r="H34" t="s">
        <v>31</v>
      </c>
      <c r="I34" t="b">
        <v>1</v>
      </c>
      <c r="J34">
        <v>2</v>
      </c>
      <c r="K34">
        <v>0</v>
      </c>
      <c r="L34">
        <v>0</v>
      </c>
      <c r="M34">
        <v>2</v>
      </c>
      <c r="N34">
        <v>66.5</v>
      </c>
      <c r="O34">
        <v>0.27500000000000002</v>
      </c>
      <c r="P34" t="s">
        <v>190</v>
      </c>
      <c r="Q34">
        <v>40.299999999999997</v>
      </c>
      <c r="R34">
        <v>8</v>
      </c>
      <c r="S34" t="s">
        <v>39</v>
      </c>
      <c r="T34">
        <v>68.099999999999994</v>
      </c>
      <c r="U34">
        <v>0.254</v>
      </c>
      <c r="V34">
        <v>15750</v>
      </c>
      <c r="W34">
        <v>0.21</v>
      </c>
      <c r="X34">
        <v>5.33E-2</v>
      </c>
      <c r="Y34">
        <v>0.76</v>
      </c>
    </row>
    <row r="35" spans="1:25" x14ac:dyDescent="0.3">
      <c r="A35" t="s">
        <v>192</v>
      </c>
      <c r="B35" t="s">
        <v>128</v>
      </c>
      <c r="C35" t="s">
        <v>193</v>
      </c>
      <c r="D35" t="s">
        <v>194</v>
      </c>
      <c r="E35" t="s">
        <v>108</v>
      </c>
      <c r="G35" t="s">
        <v>39</v>
      </c>
      <c r="H35" t="s">
        <v>73</v>
      </c>
      <c r="I35" t="b">
        <v>1</v>
      </c>
      <c r="J35">
        <v>3</v>
      </c>
      <c r="K35">
        <v>0</v>
      </c>
      <c r="L35">
        <v>1</v>
      </c>
      <c r="M35">
        <v>2</v>
      </c>
      <c r="N35">
        <v>82.9</v>
      </c>
      <c r="O35">
        <v>0.1</v>
      </c>
      <c r="P35" t="s">
        <v>109</v>
      </c>
      <c r="Q35">
        <v>62.1</v>
      </c>
      <c r="R35">
        <v>7</v>
      </c>
      <c r="S35" t="s">
        <v>39</v>
      </c>
      <c r="T35">
        <v>73.599999999999994</v>
      </c>
      <c r="U35">
        <v>0.218</v>
      </c>
      <c r="V35">
        <v>26500</v>
      </c>
      <c r="W35">
        <v>0.24099999999999999</v>
      </c>
      <c r="X35">
        <v>5.2499999999999998E-2</v>
      </c>
      <c r="Y35">
        <v>0.63200000000000001</v>
      </c>
    </row>
    <row r="36" spans="1:25" x14ac:dyDescent="0.3">
      <c r="A36" t="s">
        <v>195</v>
      </c>
      <c r="B36" t="s">
        <v>51</v>
      </c>
      <c r="C36" t="s">
        <v>196</v>
      </c>
      <c r="D36" t="s">
        <v>197</v>
      </c>
      <c r="E36" t="s">
        <v>198</v>
      </c>
      <c r="G36" t="s">
        <v>47</v>
      </c>
      <c r="H36" t="s">
        <v>31</v>
      </c>
      <c r="I36" t="b">
        <v>1</v>
      </c>
      <c r="J36">
        <v>3</v>
      </c>
      <c r="K36">
        <v>1</v>
      </c>
      <c r="L36">
        <v>1</v>
      </c>
      <c r="M36">
        <v>1</v>
      </c>
      <c r="N36">
        <v>55</v>
      </c>
      <c r="O36">
        <v>0.49</v>
      </c>
      <c r="P36" t="s">
        <v>199</v>
      </c>
      <c r="Q36">
        <v>69.8</v>
      </c>
      <c r="R36">
        <v>5</v>
      </c>
      <c r="S36" t="s">
        <v>33</v>
      </c>
      <c r="T36">
        <v>55</v>
      </c>
      <c r="U36">
        <v>0.49</v>
      </c>
      <c r="V36">
        <v>7500</v>
      </c>
      <c r="W36">
        <v>9.4E-2</v>
      </c>
      <c r="X36">
        <v>4.5900000000000003E-2</v>
      </c>
      <c r="Y36">
        <v>0.53</v>
      </c>
    </row>
    <row r="37" spans="1:25" x14ac:dyDescent="0.3">
      <c r="A37" t="s">
        <v>200</v>
      </c>
      <c r="B37" t="s">
        <v>201</v>
      </c>
      <c r="C37" t="s">
        <v>202</v>
      </c>
      <c r="D37" t="s">
        <v>203</v>
      </c>
      <c r="E37" t="s">
        <v>135</v>
      </c>
      <c r="G37" t="s">
        <v>30</v>
      </c>
      <c r="H37" t="s">
        <v>73</v>
      </c>
      <c r="I37" t="b">
        <v>1</v>
      </c>
      <c r="J37">
        <v>2</v>
      </c>
      <c r="K37">
        <v>1</v>
      </c>
      <c r="L37">
        <v>0</v>
      </c>
      <c r="M37">
        <v>1</v>
      </c>
      <c r="N37">
        <v>45</v>
      </c>
      <c r="O37">
        <v>0.6</v>
      </c>
      <c r="P37" t="s">
        <v>136</v>
      </c>
      <c r="Q37">
        <v>30.2</v>
      </c>
      <c r="R37">
        <v>11</v>
      </c>
      <c r="S37" t="s">
        <v>41</v>
      </c>
      <c r="T37">
        <v>60.1</v>
      </c>
      <c r="U37">
        <v>0.38600000000000001</v>
      </c>
      <c r="V37">
        <v>67450</v>
      </c>
      <c r="W37">
        <v>0.13</v>
      </c>
      <c r="X37">
        <v>5.0099999999999999E-2</v>
      </c>
      <c r="Y37">
        <v>0.80400000000000005</v>
      </c>
    </row>
    <row r="38" spans="1:25" x14ac:dyDescent="0.3">
      <c r="A38" t="s">
        <v>204</v>
      </c>
      <c r="B38" t="s">
        <v>205</v>
      </c>
      <c r="C38" t="s">
        <v>206</v>
      </c>
      <c r="D38" t="s">
        <v>162</v>
      </c>
      <c r="E38" t="s">
        <v>163</v>
      </c>
      <c r="F38">
        <v>3000</v>
      </c>
      <c r="G38" t="s">
        <v>30</v>
      </c>
      <c r="H38" t="s">
        <v>31</v>
      </c>
      <c r="I38" t="b">
        <v>1</v>
      </c>
      <c r="J38">
        <v>2</v>
      </c>
      <c r="K38">
        <v>0</v>
      </c>
      <c r="L38">
        <v>1</v>
      </c>
      <c r="M38">
        <v>1</v>
      </c>
      <c r="N38">
        <v>85</v>
      </c>
      <c r="O38">
        <v>0.1</v>
      </c>
      <c r="P38" t="s">
        <v>162</v>
      </c>
      <c r="Q38">
        <v>7.7</v>
      </c>
      <c r="R38">
        <v>24</v>
      </c>
      <c r="S38" t="s">
        <v>41</v>
      </c>
      <c r="T38">
        <v>76.5</v>
      </c>
      <c r="U38">
        <v>0.185</v>
      </c>
      <c r="V38">
        <v>10950</v>
      </c>
      <c r="W38">
        <v>9.0999999999999998E-2</v>
      </c>
      <c r="X38">
        <v>1.6899999999999998E-2</v>
      </c>
      <c r="Y38">
        <v>0.81399999999999995</v>
      </c>
    </row>
    <row r="39" spans="1:25" x14ac:dyDescent="0.3">
      <c r="A39" t="s">
        <v>207</v>
      </c>
      <c r="B39" t="s">
        <v>208</v>
      </c>
      <c r="C39" t="s">
        <v>209</v>
      </c>
      <c r="D39" t="s">
        <v>210</v>
      </c>
      <c r="E39" t="s">
        <v>168</v>
      </c>
      <c r="F39">
        <v>7000</v>
      </c>
      <c r="G39" t="s">
        <v>47</v>
      </c>
      <c r="H39" t="s">
        <v>31</v>
      </c>
      <c r="I39" t="b">
        <v>1</v>
      </c>
      <c r="J39">
        <v>3</v>
      </c>
      <c r="K39">
        <v>1</v>
      </c>
      <c r="L39">
        <v>0</v>
      </c>
      <c r="M39">
        <v>2</v>
      </c>
      <c r="N39">
        <v>49.1</v>
      </c>
      <c r="O39">
        <v>0.54800000000000004</v>
      </c>
      <c r="P39" t="s">
        <v>169</v>
      </c>
      <c r="Q39">
        <v>63.1</v>
      </c>
      <c r="R39">
        <v>6</v>
      </c>
      <c r="S39" t="s">
        <v>39</v>
      </c>
      <c r="T39">
        <v>54.9</v>
      </c>
      <c r="U39">
        <v>0.47499999999999998</v>
      </c>
      <c r="V39">
        <v>23000</v>
      </c>
      <c r="W39">
        <v>0.17699999999999999</v>
      </c>
      <c r="X39">
        <v>8.4000000000000005E-2</v>
      </c>
      <c r="Y39">
        <v>0.76700000000000002</v>
      </c>
    </row>
    <row r="40" spans="1:25" x14ac:dyDescent="0.3">
      <c r="A40" t="s">
        <v>211</v>
      </c>
      <c r="B40" t="s">
        <v>51</v>
      </c>
      <c r="C40" t="s">
        <v>212</v>
      </c>
      <c r="D40" t="s">
        <v>213</v>
      </c>
      <c r="E40" t="s">
        <v>29</v>
      </c>
      <c r="F40">
        <v>8000</v>
      </c>
      <c r="G40" t="s">
        <v>47</v>
      </c>
      <c r="H40" t="s">
        <v>31</v>
      </c>
      <c r="I40" t="b">
        <v>1</v>
      </c>
      <c r="J40">
        <v>2</v>
      </c>
      <c r="K40">
        <v>0</v>
      </c>
      <c r="L40">
        <v>0</v>
      </c>
      <c r="M40">
        <v>2</v>
      </c>
      <c r="N40">
        <v>66.5</v>
      </c>
      <c r="O40">
        <v>0.27500000000000002</v>
      </c>
      <c r="P40" t="s">
        <v>32</v>
      </c>
      <c r="Q40">
        <v>100</v>
      </c>
      <c r="R40">
        <v>1</v>
      </c>
      <c r="S40" t="s">
        <v>33</v>
      </c>
      <c r="T40">
        <v>66.900000000000006</v>
      </c>
      <c r="U40">
        <v>0.27100000000000002</v>
      </c>
      <c r="V40">
        <v>30000</v>
      </c>
      <c r="W40">
        <v>0.27300000000000002</v>
      </c>
      <c r="X40">
        <v>7.3899999999999993E-2</v>
      </c>
      <c r="Y40">
        <v>0.58599999999999997</v>
      </c>
    </row>
    <row r="41" spans="1:25" x14ac:dyDescent="0.3">
      <c r="A41" t="s">
        <v>214</v>
      </c>
      <c r="B41" t="s">
        <v>122</v>
      </c>
      <c r="C41" t="s">
        <v>215</v>
      </c>
      <c r="D41" t="s">
        <v>216</v>
      </c>
      <c r="E41" t="s">
        <v>125</v>
      </c>
      <c r="G41" t="s">
        <v>39</v>
      </c>
      <c r="H41" t="s">
        <v>73</v>
      </c>
      <c r="I41" t="b">
        <v>1</v>
      </c>
      <c r="J41">
        <v>2</v>
      </c>
      <c r="K41">
        <v>0</v>
      </c>
      <c r="L41">
        <v>0</v>
      </c>
      <c r="M41">
        <v>2</v>
      </c>
      <c r="N41">
        <v>74.5</v>
      </c>
      <c r="O41">
        <v>0.20899999999999999</v>
      </c>
      <c r="P41" t="s">
        <v>126</v>
      </c>
      <c r="Q41">
        <v>92.3</v>
      </c>
      <c r="R41">
        <v>2</v>
      </c>
      <c r="S41" t="s">
        <v>33</v>
      </c>
      <c r="T41">
        <v>65</v>
      </c>
      <c r="U41">
        <v>0.31900000000000001</v>
      </c>
      <c r="V41">
        <v>18100</v>
      </c>
      <c r="W41">
        <v>0.191</v>
      </c>
      <c r="X41">
        <v>6.08E-2</v>
      </c>
      <c r="Y41">
        <v>0.53400000000000003</v>
      </c>
    </row>
    <row r="42" spans="1:25" x14ac:dyDescent="0.3">
      <c r="A42" t="s">
        <v>217</v>
      </c>
      <c r="B42" t="s">
        <v>205</v>
      </c>
      <c r="C42" t="s">
        <v>218</v>
      </c>
      <c r="D42" t="s">
        <v>162</v>
      </c>
      <c r="E42" t="s">
        <v>163</v>
      </c>
      <c r="F42">
        <v>3000</v>
      </c>
      <c r="G42" t="s">
        <v>30</v>
      </c>
      <c r="H42" t="s">
        <v>31</v>
      </c>
      <c r="I42" t="b">
        <v>1</v>
      </c>
      <c r="J42">
        <v>1</v>
      </c>
      <c r="K42">
        <v>0</v>
      </c>
      <c r="L42">
        <v>0</v>
      </c>
      <c r="M42">
        <v>1</v>
      </c>
      <c r="N42">
        <v>75</v>
      </c>
      <c r="O42">
        <v>0.2</v>
      </c>
      <c r="P42" t="s">
        <v>162</v>
      </c>
      <c r="Q42">
        <v>7.7</v>
      </c>
      <c r="R42">
        <v>24</v>
      </c>
      <c r="S42" t="s">
        <v>41</v>
      </c>
      <c r="T42">
        <v>76.5</v>
      </c>
      <c r="U42">
        <v>0.185</v>
      </c>
      <c r="V42">
        <v>10950</v>
      </c>
      <c r="W42">
        <v>9.0999999999999998E-2</v>
      </c>
      <c r="X42">
        <v>1.6899999999999998E-2</v>
      </c>
      <c r="Y42">
        <v>0.81399999999999995</v>
      </c>
    </row>
    <row r="43" spans="1:25" x14ac:dyDescent="0.3">
      <c r="A43" t="s">
        <v>219</v>
      </c>
      <c r="B43" t="s">
        <v>128</v>
      </c>
      <c r="C43" t="s">
        <v>220</v>
      </c>
      <c r="D43" t="s">
        <v>107</v>
      </c>
      <c r="E43" t="s">
        <v>108</v>
      </c>
      <c r="G43" t="s">
        <v>39</v>
      </c>
      <c r="H43" t="s">
        <v>73</v>
      </c>
      <c r="I43" t="b">
        <v>1</v>
      </c>
      <c r="J43">
        <v>2</v>
      </c>
      <c r="K43">
        <v>0</v>
      </c>
      <c r="L43">
        <v>0</v>
      </c>
      <c r="M43">
        <v>2</v>
      </c>
      <c r="N43">
        <v>77.5</v>
      </c>
      <c r="O43">
        <v>0.15</v>
      </c>
      <c r="P43" t="s">
        <v>109</v>
      </c>
      <c r="Q43">
        <v>62.1</v>
      </c>
      <c r="R43">
        <v>7</v>
      </c>
      <c r="S43" t="s">
        <v>39</v>
      </c>
      <c r="T43">
        <v>73.599999999999994</v>
      </c>
      <c r="U43">
        <v>0.218</v>
      </c>
      <c r="V43">
        <v>26500</v>
      </c>
      <c r="W43">
        <v>0.24099999999999999</v>
      </c>
      <c r="X43">
        <v>5.2499999999999998E-2</v>
      </c>
      <c r="Y43">
        <v>0.63200000000000001</v>
      </c>
    </row>
    <row r="44" spans="1:25" x14ac:dyDescent="0.3">
      <c r="A44" t="s">
        <v>221</v>
      </c>
      <c r="B44" t="s">
        <v>51</v>
      </c>
      <c r="C44" t="s">
        <v>222</v>
      </c>
      <c r="D44" t="s">
        <v>162</v>
      </c>
      <c r="E44" t="s">
        <v>163</v>
      </c>
      <c r="F44">
        <v>400</v>
      </c>
      <c r="G44" t="s">
        <v>67</v>
      </c>
      <c r="H44" t="s">
        <v>31</v>
      </c>
      <c r="I44" t="b">
        <v>1</v>
      </c>
      <c r="J44">
        <v>1</v>
      </c>
      <c r="K44">
        <v>0</v>
      </c>
      <c r="L44">
        <v>0</v>
      </c>
      <c r="M44">
        <v>1</v>
      </c>
      <c r="N44">
        <v>55</v>
      </c>
      <c r="O44">
        <v>0.4</v>
      </c>
      <c r="P44" t="s">
        <v>162</v>
      </c>
      <c r="Q44">
        <v>7.7</v>
      </c>
      <c r="R44">
        <v>24</v>
      </c>
      <c r="S44" t="s">
        <v>41</v>
      </c>
      <c r="T44">
        <v>76.5</v>
      </c>
      <c r="U44">
        <v>0.185</v>
      </c>
      <c r="V44">
        <v>10950</v>
      </c>
      <c r="W44">
        <v>9.0999999999999998E-2</v>
      </c>
      <c r="X44">
        <v>1.6899999999999998E-2</v>
      </c>
      <c r="Y44">
        <v>0.81399999999999995</v>
      </c>
    </row>
    <row r="45" spans="1:25" x14ac:dyDescent="0.3">
      <c r="A45" t="s">
        <v>223</v>
      </c>
      <c r="B45" t="s">
        <v>51</v>
      </c>
      <c r="C45" t="s">
        <v>224</v>
      </c>
      <c r="D45" t="s">
        <v>190</v>
      </c>
      <c r="E45" t="s">
        <v>191</v>
      </c>
      <c r="G45" t="s">
        <v>67</v>
      </c>
      <c r="H45" t="s">
        <v>31</v>
      </c>
      <c r="I45" t="b">
        <v>1</v>
      </c>
      <c r="J45">
        <v>1</v>
      </c>
      <c r="K45">
        <v>0</v>
      </c>
      <c r="L45">
        <v>0</v>
      </c>
      <c r="M45">
        <v>1</v>
      </c>
      <c r="N45">
        <v>55</v>
      </c>
      <c r="O45">
        <v>0.4</v>
      </c>
      <c r="P45" t="s">
        <v>190</v>
      </c>
      <c r="Q45">
        <v>40.299999999999997</v>
      </c>
      <c r="R45">
        <v>8</v>
      </c>
      <c r="S45" t="s">
        <v>39</v>
      </c>
      <c r="T45">
        <v>68.099999999999994</v>
      </c>
      <c r="U45">
        <v>0.254</v>
      </c>
      <c r="V45">
        <v>15750</v>
      </c>
      <c r="W45">
        <v>0.21</v>
      </c>
      <c r="X45">
        <v>5.33E-2</v>
      </c>
      <c r="Y45">
        <v>0.76</v>
      </c>
    </row>
    <row r="46" spans="1:25" x14ac:dyDescent="0.3">
      <c r="A46" t="s">
        <v>225</v>
      </c>
      <c r="B46" t="s">
        <v>147</v>
      </c>
      <c r="C46" t="s">
        <v>226</v>
      </c>
      <c r="D46" t="s">
        <v>118</v>
      </c>
      <c r="E46" t="s">
        <v>119</v>
      </c>
      <c r="F46">
        <v>3500</v>
      </c>
      <c r="G46" t="s">
        <v>30</v>
      </c>
      <c r="H46" t="s">
        <v>31</v>
      </c>
      <c r="I46" t="b">
        <v>1</v>
      </c>
      <c r="J46">
        <v>2</v>
      </c>
      <c r="K46">
        <v>0</v>
      </c>
      <c r="L46">
        <v>0</v>
      </c>
      <c r="M46">
        <v>2</v>
      </c>
      <c r="N46">
        <v>75.5</v>
      </c>
      <c r="O46">
        <v>0.191</v>
      </c>
      <c r="P46" t="s">
        <v>120</v>
      </c>
      <c r="Q46">
        <v>17.8</v>
      </c>
      <c r="R46">
        <v>16</v>
      </c>
      <c r="S46" t="s">
        <v>41</v>
      </c>
      <c r="T46">
        <v>77</v>
      </c>
      <c r="U46">
        <v>0.16400000000000001</v>
      </c>
      <c r="V46">
        <v>31300</v>
      </c>
      <c r="W46">
        <v>0.125</v>
      </c>
      <c r="X46">
        <v>2.0500000000000001E-2</v>
      </c>
      <c r="Y46">
        <v>0.70499999999999996</v>
      </c>
    </row>
    <row r="47" spans="1:25" x14ac:dyDescent="0.3">
      <c r="A47" t="s">
        <v>227</v>
      </c>
      <c r="B47" t="s">
        <v>228</v>
      </c>
      <c r="C47" t="s">
        <v>229</v>
      </c>
      <c r="D47" t="s">
        <v>230</v>
      </c>
      <c r="E47" t="s">
        <v>168</v>
      </c>
      <c r="G47" t="s">
        <v>67</v>
      </c>
      <c r="H47" t="s">
        <v>31</v>
      </c>
      <c r="I47" t="b">
        <v>1</v>
      </c>
      <c r="J47">
        <v>2</v>
      </c>
      <c r="K47">
        <v>1</v>
      </c>
      <c r="L47">
        <v>0</v>
      </c>
      <c r="M47">
        <v>1</v>
      </c>
      <c r="N47">
        <v>40.9</v>
      </c>
      <c r="O47">
        <v>0.65</v>
      </c>
      <c r="P47" t="s">
        <v>169</v>
      </c>
      <c r="Q47">
        <v>63.1</v>
      </c>
      <c r="R47">
        <v>6</v>
      </c>
      <c r="S47" t="s">
        <v>39</v>
      </c>
      <c r="T47">
        <v>54.9</v>
      </c>
      <c r="U47">
        <v>0.47499999999999998</v>
      </c>
      <c r="V47">
        <v>23000</v>
      </c>
      <c r="W47">
        <v>0.17699999999999999</v>
      </c>
      <c r="X47">
        <v>8.4000000000000005E-2</v>
      </c>
      <c r="Y47">
        <v>0.76700000000000002</v>
      </c>
    </row>
    <row r="48" spans="1:25" x14ac:dyDescent="0.3">
      <c r="A48" t="s">
        <v>231</v>
      </c>
      <c r="B48" t="s">
        <v>232</v>
      </c>
      <c r="C48" t="s">
        <v>233</v>
      </c>
      <c r="D48" t="s">
        <v>234</v>
      </c>
      <c r="E48" t="s">
        <v>235</v>
      </c>
      <c r="G48" t="s">
        <v>39</v>
      </c>
      <c r="H48" t="s">
        <v>73</v>
      </c>
      <c r="I48" t="b">
        <v>1</v>
      </c>
      <c r="J48">
        <v>4</v>
      </c>
      <c r="K48">
        <v>0</v>
      </c>
      <c r="L48">
        <v>1</v>
      </c>
      <c r="M48">
        <v>3</v>
      </c>
      <c r="N48">
        <v>81.2</v>
      </c>
      <c r="O48">
        <v>0.11899999999999999</v>
      </c>
      <c r="P48" t="s">
        <v>236</v>
      </c>
      <c r="Q48">
        <v>5</v>
      </c>
      <c r="R48">
        <v>25</v>
      </c>
      <c r="S48" t="s">
        <v>41</v>
      </c>
      <c r="T48">
        <v>82.4</v>
      </c>
      <c r="U48">
        <v>0.107</v>
      </c>
      <c r="V48">
        <v>5950</v>
      </c>
      <c r="W48">
        <v>7.0000000000000007E-2</v>
      </c>
      <c r="X48">
        <v>7.4999999999999997E-3</v>
      </c>
      <c r="Y48">
        <v>0.69899999999999995</v>
      </c>
    </row>
    <row r="49" spans="1:25" x14ac:dyDescent="0.3">
      <c r="A49" t="s">
        <v>237</v>
      </c>
      <c r="B49" t="s">
        <v>238</v>
      </c>
      <c r="C49" t="s">
        <v>239</v>
      </c>
      <c r="D49" t="s">
        <v>240</v>
      </c>
      <c r="E49" t="s">
        <v>141</v>
      </c>
      <c r="F49">
        <v>3000</v>
      </c>
      <c r="G49" t="s">
        <v>30</v>
      </c>
      <c r="H49" t="s">
        <v>31</v>
      </c>
      <c r="I49" t="b">
        <v>1</v>
      </c>
      <c r="J49">
        <v>3</v>
      </c>
      <c r="K49">
        <v>0</v>
      </c>
      <c r="L49">
        <v>1</v>
      </c>
      <c r="M49">
        <v>2</v>
      </c>
      <c r="N49">
        <v>82</v>
      </c>
      <c r="O49">
        <v>0.111</v>
      </c>
      <c r="P49" t="s">
        <v>142</v>
      </c>
      <c r="Q49">
        <v>15.8</v>
      </c>
      <c r="R49">
        <v>17</v>
      </c>
      <c r="S49" t="s">
        <v>41</v>
      </c>
      <c r="T49">
        <v>78.2</v>
      </c>
      <c r="U49">
        <v>0.15</v>
      </c>
      <c r="V49">
        <v>22500</v>
      </c>
      <c r="W49">
        <v>0.10199999999999999</v>
      </c>
      <c r="X49">
        <v>1.5299999999999999E-2</v>
      </c>
      <c r="Y49">
        <v>0.64500000000000002</v>
      </c>
    </row>
    <row r="50" spans="1:25" x14ac:dyDescent="0.3">
      <c r="A50" t="s">
        <v>241</v>
      </c>
      <c r="B50" t="s">
        <v>232</v>
      </c>
      <c r="C50" t="s">
        <v>242</v>
      </c>
      <c r="D50" t="s">
        <v>243</v>
      </c>
      <c r="E50" t="s">
        <v>235</v>
      </c>
      <c r="F50">
        <v>1200</v>
      </c>
      <c r="G50" t="s">
        <v>39</v>
      </c>
      <c r="H50" t="s">
        <v>31</v>
      </c>
      <c r="I50" t="b">
        <v>1</v>
      </c>
      <c r="J50">
        <v>3</v>
      </c>
      <c r="K50">
        <v>0</v>
      </c>
      <c r="L50">
        <v>1</v>
      </c>
      <c r="M50">
        <v>2</v>
      </c>
      <c r="N50">
        <v>82.9</v>
      </c>
      <c r="O50">
        <v>0.1</v>
      </c>
      <c r="P50" t="s">
        <v>236</v>
      </c>
      <c r="Q50">
        <v>5</v>
      </c>
      <c r="R50">
        <v>25</v>
      </c>
      <c r="S50" t="s">
        <v>41</v>
      </c>
      <c r="T50">
        <v>82.4</v>
      </c>
      <c r="U50">
        <v>0.107</v>
      </c>
      <c r="V50">
        <v>5950</v>
      </c>
      <c r="W50">
        <v>7.0000000000000007E-2</v>
      </c>
      <c r="X50">
        <v>7.4999999999999997E-3</v>
      </c>
      <c r="Y50">
        <v>0.69899999999999995</v>
      </c>
    </row>
    <row r="51" spans="1:25" x14ac:dyDescent="0.3">
      <c r="A51" t="s">
        <v>244</v>
      </c>
      <c r="B51" t="s">
        <v>75</v>
      </c>
      <c r="C51" t="s">
        <v>245</v>
      </c>
      <c r="D51" t="s">
        <v>246</v>
      </c>
      <c r="E51" t="s">
        <v>78</v>
      </c>
      <c r="F51">
        <v>3000</v>
      </c>
      <c r="G51" t="s">
        <v>30</v>
      </c>
      <c r="H51" t="s">
        <v>31</v>
      </c>
      <c r="I51" t="b">
        <v>1</v>
      </c>
      <c r="J51">
        <v>4</v>
      </c>
      <c r="K51">
        <v>0</v>
      </c>
      <c r="L51">
        <v>0</v>
      </c>
      <c r="M51">
        <v>4</v>
      </c>
      <c r="N51">
        <v>58.4</v>
      </c>
      <c r="O51">
        <v>0.42299999999999999</v>
      </c>
      <c r="P51" t="s">
        <v>79</v>
      </c>
      <c r="Q51">
        <v>13.4</v>
      </c>
      <c r="R51">
        <v>20</v>
      </c>
      <c r="S51" t="s">
        <v>41</v>
      </c>
      <c r="T51">
        <v>67.599999999999994</v>
      </c>
      <c r="U51">
        <v>0.28599999999999998</v>
      </c>
      <c r="V51">
        <v>9000</v>
      </c>
      <c r="W51">
        <v>5.6000000000000001E-2</v>
      </c>
      <c r="X51">
        <v>1.61E-2</v>
      </c>
      <c r="Y51">
        <v>0.69899999999999995</v>
      </c>
    </row>
    <row r="52" spans="1:25" x14ac:dyDescent="0.3">
      <c r="A52" t="s">
        <v>247</v>
      </c>
      <c r="B52" t="s">
        <v>165</v>
      </c>
      <c r="C52" t="s">
        <v>248</v>
      </c>
      <c r="D52" t="s">
        <v>249</v>
      </c>
      <c r="E52" t="s">
        <v>88</v>
      </c>
      <c r="F52">
        <v>1200</v>
      </c>
      <c r="G52" t="s">
        <v>39</v>
      </c>
      <c r="H52" t="s">
        <v>31</v>
      </c>
      <c r="I52" t="b">
        <v>1</v>
      </c>
      <c r="J52">
        <v>3</v>
      </c>
      <c r="K52">
        <v>0</v>
      </c>
      <c r="L52">
        <v>1</v>
      </c>
      <c r="M52">
        <v>2</v>
      </c>
      <c r="N52">
        <v>82.3</v>
      </c>
      <c r="O52">
        <v>0.113</v>
      </c>
      <c r="P52" t="s">
        <v>89</v>
      </c>
      <c r="Q52">
        <v>37.6</v>
      </c>
      <c r="R52">
        <v>9</v>
      </c>
      <c r="S52" t="s">
        <v>39</v>
      </c>
      <c r="T52">
        <v>73.3</v>
      </c>
      <c r="U52">
        <v>0.21299999999999999</v>
      </c>
      <c r="V52">
        <v>15950</v>
      </c>
      <c r="W52">
        <v>0.17699999999999999</v>
      </c>
      <c r="X52">
        <v>3.7699999999999997E-2</v>
      </c>
      <c r="Y52">
        <v>0.68300000000000005</v>
      </c>
    </row>
    <row r="53" spans="1:25" x14ac:dyDescent="0.3">
      <c r="A53" t="s">
        <v>250</v>
      </c>
      <c r="B53" t="s">
        <v>101</v>
      </c>
      <c r="C53" t="s">
        <v>102</v>
      </c>
      <c r="D53" t="s">
        <v>103</v>
      </c>
      <c r="E53" t="s">
        <v>251</v>
      </c>
      <c r="F53">
        <v>12000</v>
      </c>
      <c r="G53" t="s">
        <v>47</v>
      </c>
      <c r="H53" t="s">
        <v>31</v>
      </c>
      <c r="I53" t="b">
        <v>1</v>
      </c>
      <c r="J53">
        <v>3</v>
      </c>
      <c r="K53">
        <v>0</v>
      </c>
      <c r="L53">
        <v>0</v>
      </c>
      <c r="M53">
        <v>3</v>
      </c>
      <c r="N53">
        <v>70</v>
      </c>
      <c r="O53">
        <v>0.23</v>
      </c>
      <c r="P53" t="s">
        <v>103</v>
      </c>
      <c r="Q53">
        <v>24.5</v>
      </c>
      <c r="R53">
        <v>13</v>
      </c>
      <c r="S53" t="s">
        <v>41</v>
      </c>
      <c r="T53">
        <v>70</v>
      </c>
      <c r="U53">
        <v>0.23</v>
      </c>
      <c r="V53">
        <v>12000</v>
      </c>
      <c r="W53">
        <v>0.218</v>
      </c>
      <c r="X53">
        <v>5.0200000000000002E-2</v>
      </c>
      <c r="Y53">
        <v>0.83799999999999997</v>
      </c>
    </row>
    <row r="54" spans="1:25" x14ac:dyDescent="0.3">
      <c r="A54" t="s">
        <v>252</v>
      </c>
      <c r="B54" t="s">
        <v>101</v>
      </c>
      <c r="C54" t="s">
        <v>253</v>
      </c>
      <c r="D54" t="s">
        <v>254</v>
      </c>
      <c r="E54" t="s">
        <v>135</v>
      </c>
      <c r="F54">
        <v>10000</v>
      </c>
      <c r="G54" t="s">
        <v>47</v>
      </c>
      <c r="H54" t="s">
        <v>31</v>
      </c>
      <c r="I54" t="b">
        <v>1</v>
      </c>
      <c r="J54">
        <v>3</v>
      </c>
      <c r="K54">
        <v>1</v>
      </c>
      <c r="L54">
        <v>1</v>
      </c>
      <c r="M54">
        <v>1</v>
      </c>
      <c r="N54">
        <v>55.8</v>
      </c>
      <c r="O54">
        <v>0.47499999999999998</v>
      </c>
      <c r="P54" t="s">
        <v>136</v>
      </c>
      <c r="Q54">
        <v>30.2</v>
      </c>
      <c r="R54">
        <v>11</v>
      </c>
      <c r="S54" t="s">
        <v>41</v>
      </c>
      <c r="T54">
        <v>60.1</v>
      </c>
      <c r="U54">
        <v>0.38600000000000001</v>
      </c>
      <c r="V54">
        <v>67450</v>
      </c>
      <c r="W54">
        <v>0.13</v>
      </c>
      <c r="X54">
        <v>5.0099999999999999E-2</v>
      </c>
      <c r="Y54">
        <v>0.80400000000000005</v>
      </c>
    </row>
    <row r="55" spans="1:25" x14ac:dyDescent="0.3">
      <c r="A55" t="s">
        <v>255</v>
      </c>
      <c r="B55" t="s">
        <v>256</v>
      </c>
      <c r="C55" t="s">
        <v>257</v>
      </c>
      <c r="D55" t="s">
        <v>53</v>
      </c>
      <c r="E55" t="s">
        <v>54</v>
      </c>
      <c r="G55" t="s">
        <v>47</v>
      </c>
      <c r="H55" t="s">
        <v>31</v>
      </c>
      <c r="I55" t="b">
        <v>1</v>
      </c>
      <c r="J55">
        <v>2</v>
      </c>
      <c r="K55">
        <v>0</v>
      </c>
      <c r="L55">
        <v>0</v>
      </c>
      <c r="M55">
        <v>2</v>
      </c>
      <c r="N55">
        <v>75.5</v>
      </c>
      <c r="O55">
        <v>0.191</v>
      </c>
      <c r="P55" t="s">
        <v>55</v>
      </c>
      <c r="Q55">
        <v>88.3</v>
      </c>
      <c r="R55">
        <v>3</v>
      </c>
      <c r="S55" t="s">
        <v>33</v>
      </c>
      <c r="T55">
        <v>68.400000000000006</v>
      </c>
      <c r="U55">
        <v>0.25900000000000001</v>
      </c>
      <c r="V55">
        <v>142000</v>
      </c>
      <c r="W55">
        <v>0.6</v>
      </c>
      <c r="X55">
        <v>0.15540000000000001</v>
      </c>
      <c r="Y55">
        <v>0.82599999999999996</v>
      </c>
    </row>
    <row r="56" spans="1:25" x14ac:dyDescent="0.3">
      <c r="A56" t="s">
        <v>258</v>
      </c>
      <c r="B56" t="s">
        <v>85</v>
      </c>
      <c r="C56" t="s">
        <v>259</v>
      </c>
      <c r="D56" t="s">
        <v>260</v>
      </c>
      <c r="E56" t="s">
        <v>88</v>
      </c>
      <c r="G56" t="s">
        <v>30</v>
      </c>
      <c r="H56" t="s">
        <v>31</v>
      </c>
      <c r="I56" t="b">
        <v>1</v>
      </c>
      <c r="J56">
        <v>3</v>
      </c>
      <c r="K56">
        <v>0</v>
      </c>
      <c r="L56">
        <v>0</v>
      </c>
      <c r="M56">
        <v>3</v>
      </c>
      <c r="N56">
        <v>75.599999999999994</v>
      </c>
      <c r="O56">
        <v>0.185</v>
      </c>
      <c r="P56" t="s">
        <v>89</v>
      </c>
      <c r="Q56">
        <v>37.6</v>
      </c>
      <c r="R56">
        <v>9</v>
      </c>
      <c r="S56" t="s">
        <v>39</v>
      </c>
      <c r="T56">
        <v>73.3</v>
      </c>
      <c r="U56">
        <v>0.21299999999999999</v>
      </c>
      <c r="V56">
        <v>15950</v>
      </c>
      <c r="W56">
        <v>0.17699999999999999</v>
      </c>
      <c r="X56">
        <v>3.7699999999999997E-2</v>
      </c>
      <c r="Y56">
        <v>0.68300000000000005</v>
      </c>
    </row>
    <row r="57" spans="1:25" x14ac:dyDescent="0.3">
      <c r="A57" t="s">
        <v>261</v>
      </c>
      <c r="B57" t="s">
        <v>35</v>
      </c>
      <c r="C57" t="s">
        <v>262</v>
      </c>
      <c r="D57" t="s">
        <v>263</v>
      </c>
      <c r="E57" t="s">
        <v>38</v>
      </c>
      <c r="G57" t="s">
        <v>47</v>
      </c>
      <c r="H57" t="s">
        <v>48</v>
      </c>
      <c r="I57" t="b">
        <v>1</v>
      </c>
      <c r="J57">
        <v>3</v>
      </c>
      <c r="K57">
        <v>0</v>
      </c>
      <c r="L57">
        <v>0</v>
      </c>
      <c r="M57">
        <v>3</v>
      </c>
      <c r="N57">
        <v>67.900000000000006</v>
      </c>
      <c r="O57">
        <v>0.26900000000000002</v>
      </c>
      <c r="P57" t="s">
        <v>40</v>
      </c>
      <c r="Q57">
        <v>8.6999999999999993</v>
      </c>
      <c r="R57">
        <v>23</v>
      </c>
      <c r="S57" t="s">
        <v>41</v>
      </c>
      <c r="T57">
        <v>60.8</v>
      </c>
      <c r="U57">
        <v>0.36799999999999999</v>
      </c>
      <c r="V57">
        <v>20700</v>
      </c>
      <c r="W57">
        <v>4.9000000000000002E-2</v>
      </c>
      <c r="X57">
        <v>1.8100000000000002E-2</v>
      </c>
      <c r="Y57">
        <v>0.81100000000000005</v>
      </c>
    </row>
    <row r="58" spans="1:25" x14ac:dyDescent="0.3">
      <c r="A58" t="s">
        <v>264</v>
      </c>
      <c r="B58" t="s">
        <v>96</v>
      </c>
      <c r="C58" t="s">
        <v>265</v>
      </c>
      <c r="D58" t="s">
        <v>98</v>
      </c>
      <c r="E58" t="s">
        <v>99</v>
      </c>
      <c r="G58" t="s">
        <v>47</v>
      </c>
      <c r="H58" t="s">
        <v>31</v>
      </c>
      <c r="I58" t="b">
        <v>1</v>
      </c>
      <c r="J58">
        <v>3</v>
      </c>
      <c r="K58">
        <v>0</v>
      </c>
      <c r="L58">
        <v>0</v>
      </c>
      <c r="M58">
        <v>3</v>
      </c>
      <c r="N58">
        <v>70</v>
      </c>
      <c r="O58">
        <v>0.23</v>
      </c>
      <c r="P58" t="s">
        <v>98</v>
      </c>
      <c r="Q58">
        <v>13.8</v>
      </c>
      <c r="R58">
        <v>18</v>
      </c>
      <c r="S58" t="s">
        <v>41</v>
      </c>
      <c r="T58">
        <v>70.5</v>
      </c>
      <c r="U58">
        <v>0.22700000000000001</v>
      </c>
      <c r="V58">
        <v>15000</v>
      </c>
      <c r="W58">
        <v>8.3000000000000004E-2</v>
      </c>
      <c r="X58">
        <v>1.89E-2</v>
      </c>
      <c r="Y58">
        <v>0.74</v>
      </c>
    </row>
    <row r="59" spans="1:25" x14ac:dyDescent="0.3">
      <c r="A59" t="s">
        <v>266</v>
      </c>
      <c r="B59" t="s">
        <v>267</v>
      </c>
      <c r="C59" t="s">
        <v>268</v>
      </c>
      <c r="D59" t="s">
        <v>269</v>
      </c>
      <c r="E59" t="s">
        <v>168</v>
      </c>
      <c r="G59" t="s">
        <v>30</v>
      </c>
      <c r="H59" t="s">
        <v>73</v>
      </c>
      <c r="I59" t="b">
        <v>1</v>
      </c>
      <c r="J59">
        <v>2</v>
      </c>
      <c r="K59">
        <v>1</v>
      </c>
      <c r="L59">
        <v>0</v>
      </c>
      <c r="M59">
        <v>1</v>
      </c>
      <c r="N59">
        <v>39.700000000000003</v>
      </c>
      <c r="O59">
        <v>0.67100000000000004</v>
      </c>
      <c r="P59" t="s">
        <v>169</v>
      </c>
      <c r="Q59">
        <v>63.1</v>
      </c>
      <c r="R59">
        <v>6</v>
      </c>
      <c r="S59" t="s">
        <v>39</v>
      </c>
      <c r="T59">
        <v>54.9</v>
      </c>
      <c r="U59">
        <v>0.47499999999999998</v>
      </c>
      <c r="V59">
        <v>23000</v>
      </c>
      <c r="W59">
        <v>0.17699999999999999</v>
      </c>
      <c r="X59">
        <v>8.4000000000000005E-2</v>
      </c>
      <c r="Y59">
        <v>0.76700000000000002</v>
      </c>
    </row>
    <row r="60" spans="1:25" x14ac:dyDescent="0.3">
      <c r="A60" t="s">
        <v>270</v>
      </c>
      <c r="B60" t="s">
        <v>271</v>
      </c>
      <c r="C60" t="s">
        <v>272</v>
      </c>
      <c r="D60" t="s">
        <v>273</v>
      </c>
      <c r="E60" t="s">
        <v>125</v>
      </c>
      <c r="F60">
        <v>1200</v>
      </c>
      <c r="G60" t="s">
        <v>39</v>
      </c>
      <c r="H60" t="s">
        <v>31</v>
      </c>
      <c r="I60" t="b">
        <v>1</v>
      </c>
      <c r="J60">
        <v>3</v>
      </c>
      <c r="K60">
        <v>0</v>
      </c>
      <c r="L60">
        <v>0</v>
      </c>
      <c r="M60">
        <v>3</v>
      </c>
      <c r="N60">
        <v>65.400000000000006</v>
      </c>
      <c r="O60">
        <v>0.35</v>
      </c>
      <c r="P60" t="s">
        <v>126</v>
      </c>
      <c r="Q60">
        <v>92.3</v>
      </c>
      <c r="R60">
        <v>2</v>
      </c>
      <c r="S60" t="s">
        <v>33</v>
      </c>
      <c r="T60">
        <v>65</v>
      </c>
      <c r="U60">
        <v>0.31900000000000001</v>
      </c>
      <c r="V60">
        <v>18100</v>
      </c>
      <c r="W60">
        <v>0.191</v>
      </c>
      <c r="X60">
        <v>6.08E-2</v>
      </c>
      <c r="Y60">
        <v>0.53400000000000003</v>
      </c>
    </row>
    <row r="61" spans="1:25" x14ac:dyDescent="0.3">
      <c r="A61" t="s">
        <v>274</v>
      </c>
      <c r="B61" t="s">
        <v>228</v>
      </c>
      <c r="C61" t="s">
        <v>275</v>
      </c>
      <c r="D61" t="s">
        <v>276</v>
      </c>
      <c r="E61" t="s">
        <v>168</v>
      </c>
      <c r="G61" t="s">
        <v>39</v>
      </c>
      <c r="H61" t="s">
        <v>73</v>
      </c>
      <c r="I61" t="b">
        <v>1</v>
      </c>
      <c r="J61">
        <v>3</v>
      </c>
      <c r="K61">
        <v>1</v>
      </c>
      <c r="L61">
        <v>0</v>
      </c>
      <c r="M61">
        <v>2</v>
      </c>
      <c r="N61">
        <v>52.3</v>
      </c>
      <c r="O61">
        <v>0.49</v>
      </c>
      <c r="P61" t="s">
        <v>169</v>
      </c>
      <c r="Q61">
        <v>63.1</v>
      </c>
      <c r="R61">
        <v>6</v>
      </c>
      <c r="S61" t="s">
        <v>39</v>
      </c>
      <c r="T61">
        <v>54.9</v>
      </c>
      <c r="U61">
        <v>0.47499999999999998</v>
      </c>
      <c r="V61">
        <v>23000</v>
      </c>
      <c r="W61">
        <v>0.17699999999999999</v>
      </c>
      <c r="X61">
        <v>8.4000000000000005E-2</v>
      </c>
      <c r="Y61">
        <v>0.76700000000000002</v>
      </c>
    </row>
    <row r="62" spans="1:25" x14ac:dyDescent="0.3">
      <c r="A62" t="s">
        <v>277</v>
      </c>
      <c r="B62" t="s">
        <v>105</v>
      </c>
      <c r="C62" t="s">
        <v>278</v>
      </c>
      <c r="D62" t="s">
        <v>260</v>
      </c>
      <c r="E62" t="s">
        <v>88</v>
      </c>
      <c r="G62" t="s">
        <v>47</v>
      </c>
      <c r="H62" t="s">
        <v>48</v>
      </c>
      <c r="I62" t="b">
        <v>1</v>
      </c>
      <c r="J62">
        <v>3</v>
      </c>
      <c r="K62">
        <v>0</v>
      </c>
      <c r="L62">
        <v>0</v>
      </c>
      <c r="M62">
        <v>3</v>
      </c>
      <c r="N62">
        <v>67.900000000000006</v>
      </c>
      <c r="O62">
        <v>0.26900000000000002</v>
      </c>
      <c r="P62" t="s">
        <v>89</v>
      </c>
      <c r="Q62">
        <v>37.6</v>
      </c>
      <c r="R62">
        <v>9</v>
      </c>
      <c r="S62" t="s">
        <v>39</v>
      </c>
      <c r="T62">
        <v>73.3</v>
      </c>
      <c r="U62">
        <v>0.21299999999999999</v>
      </c>
      <c r="V62">
        <v>15950</v>
      </c>
      <c r="W62">
        <v>0.17699999999999999</v>
      </c>
      <c r="X62">
        <v>3.7699999999999997E-2</v>
      </c>
      <c r="Y62">
        <v>0.68300000000000005</v>
      </c>
    </row>
    <row r="63" spans="1:25" x14ac:dyDescent="0.3">
      <c r="A63" t="s">
        <v>279</v>
      </c>
      <c r="B63" t="s">
        <v>280</v>
      </c>
      <c r="C63" t="s">
        <v>281</v>
      </c>
      <c r="D63" t="s">
        <v>282</v>
      </c>
      <c r="E63" t="s">
        <v>38</v>
      </c>
      <c r="G63" t="s">
        <v>39</v>
      </c>
      <c r="H63" t="s">
        <v>73</v>
      </c>
      <c r="I63" t="b">
        <v>1</v>
      </c>
      <c r="J63">
        <v>3</v>
      </c>
      <c r="K63">
        <v>0</v>
      </c>
      <c r="L63">
        <v>0</v>
      </c>
      <c r="M63">
        <v>3</v>
      </c>
      <c r="N63">
        <v>77.7</v>
      </c>
      <c r="O63">
        <v>0.15</v>
      </c>
      <c r="P63" t="s">
        <v>40</v>
      </c>
      <c r="Q63">
        <v>8.6999999999999993</v>
      </c>
      <c r="R63">
        <v>23</v>
      </c>
      <c r="S63" t="s">
        <v>41</v>
      </c>
      <c r="T63">
        <v>60.8</v>
      </c>
      <c r="U63">
        <v>0.36799999999999999</v>
      </c>
      <c r="V63">
        <v>20700</v>
      </c>
      <c r="W63">
        <v>4.9000000000000002E-2</v>
      </c>
      <c r="X63">
        <v>1.8100000000000002E-2</v>
      </c>
      <c r="Y63">
        <v>0.81100000000000005</v>
      </c>
    </row>
    <row r="64" spans="1:25" x14ac:dyDescent="0.3">
      <c r="A64" t="s">
        <v>283</v>
      </c>
      <c r="B64" t="s">
        <v>208</v>
      </c>
      <c r="C64" t="s">
        <v>284</v>
      </c>
      <c r="D64" t="s">
        <v>285</v>
      </c>
      <c r="E64" t="s">
        <v>168</v>
      </c>
      <c r="G64" t="s">
        <v>30</v>
      </c>
      <c r="H64" t="s">
        <v>31</v>
      </c>
      <c r="I64" t="b">
        <v>1</v>
      </c>
      <c r="J64">
        <v>2</v>
      </c>
      <c r="K64">
        <v>0</v>
      </c>
      <c r="L64">
        <v>0</v>
      </c>
      <c r="M64">
        <v>2</v>
      </c>
      <c r="N64">
        <v>73.5</v>
      </c>
      <c r="O64">
        <v>0.22500000000000001</v>
      </c>
      <c r="P64" t="s">
        <v>169</v>
      </c>
      <c r="Q64">
        <v>63.1</v>
      </c>
      <c r="R64">
        <v>6</v>
      </c>
      <c r="S64" t="s">
        <v>39</v>
      </c>
      <c r="T64">
        <v>54.9</v>
      </c>
      <c r="U64">
        <v>0.47499999999999998</v>
      </c>
      <c r="V64">
        <v>23000</v>
      </c>
      <c r="W64">
        <v>0.17699999999999999</v>
      </c>
      <c r="X64">
        <v>8.4000000000000005E-2</v>
      </c>
      <c r="Y64">
        <v>0.76700000000000002</v>
      </c>
    </row>
    <row r="65" spans="1:25" x14ac:dyDescent="0.3">
      <c r="A65" t="s">
        <v>286</v>
      </c>
      <c r="B65" t="s">
        <v>267</v>
      </c>
      <c r="C65" t="s">
        <v>287</v>
      </c>
      <c r="D65" t="s">
        <v>269</v>
      </c>
      <c r="E65" t="s">
        <v>168</v>
      </c>
      <c r="G65" t="s">
        <v>30</v>
      </c>
      <c r="H65" t="s">
        <v>73</v>
      </c>
      <c r="I65" t="b">
        <v>1</v>
      </c>
      <c r="J65">
        <v>3</v>
      </c>
      <c r="K65">
        <v>0</v>
      </c>
      <c r="L65">
        <v>0</v>
      </c>
      <c r="M65">
        <v>3</v>
      </c>
      <c r="N65">
        <v>60</v>
      </c>
      <c r="O65">
        <v>0.433</v>
      </c>
      <c r="P65" t="s">
        <v>169</v>
      </c>
      <c r="Q65">
        <v>63.1</v>
      </c>
      <c r="R65">
        <v>6</v>
      </c>
      <c r="S65" t="s">
        <v>39</v>
      </c>
      <c r="T65">
        <v>54.9</v>
      </c>
      <c r="U65">
        <v>0.47499999999999998</v>
      </c>
      <c r="V65">
        <v>23000</v>
      </c>
      <c r="W65">
        <v>0.17699999999999999</v>
      </c>
      <c r="X65">
        <v>8.4000000000000005E-2</v>
      </c>
      <c r="Y65">
        <v>0.76700000000000002</v>
      </c>
    </row>
    <row r="66" spans="1:25" x14ac:dyDescent="0.3">
      <c r="A66" t="s">
        <v>288</v>
      </c>
      <c r="B66" t="s">
        <v>289</v>
      </c>
      <c r="C66" t="s">
        <v>290</v>
      </c>
      <c r="D66" t="s">
        <v>291</v>
      </c>
      <c r="E66" t="s">
        <v>135</v>
      </c>
      <c r="F66">
        <v>6000</v>
      </c>
      <c r="G66" t="s">
        <v>47</v>
      </c>
      <c r="H66" t="s">
        <v>31</v>
      </c>
      <c r="I66" t="b">
        <v>1</v>
      </c>
      <c r="J66">
        <v>4</v>
      </c>
      <c r="K66">
        <v>1</v>
      </c>
      <c r="L66">
        <v>1</v>
      </c>
      <c r="M66">
        <v>2</v>
      </c>
      <c r="N66">
        <v>61.8</v>
      </c>
      <c r="O66">
        <v>0.36799999999999999</v>
      </c>
      <c r="P66" t="s">
        <v>136</v>
      </c>
      <c r="Q66">
        <v>30.2</v>
      </c>
      <c r="R66">
        <v>11</v>
      </c>
      <c r="S66" t="s">
        <v>41</v>
      </c>
      <c r="T66">
        <v>60.1</v>
      </c>
      <c r="U66">
        <v>0.38600000000000001</v>
      </c>
      <c r="V66">
        <v>67450</v>
      </c>
      <c r="W66">
        <v>0.13</v>
      </c>
      <c r="X66">
        <v>5.0099999999999999E-2</v>
      </c>
      <c r="Y66">
        <v>0.80400000000000005</v>
      </c>
    </row>
    <row r="67" spans="1:25" x14ac:dyDescent="0.3">
      <c r="A67" t="s">
        <v>292</v>
      </c>
      <c r="B67" t="s">
        <v>132</v>
      </c>
      <c r="C67" t="s">
        <v>293</v>
      </c>
      <c r="D67" t="s">
        <v>294</v>
      </c>
      <c r="E67" t="s">
        <v>135</v>
      </c>
      <c r="G67" t="s">
        <v>39</v>
      </c>
      <c r="H67" t="s">
        <v>73</v>
      </c>
      <c r="I67" t="b">
        <v>1</v>
      </c>
      <c r="J67">
        <v>2</v>
      </c>
      <c r="K67">
        <v>1</v>
      </c>
      <c r="L67">
        <v>0</v>
      </c>
      <c r="M67">
        <v>1</v>
      </c>
      <c r="N67">
        <v>47.5</v>
      </c>
      <c r="O67">
        <v>0.55000000000000004</v>
      </c>
      <c r="P67" t="s">
        <v>136</v>
      </c>
      <c r="Q67">
        <v>30.2</v>
      </c>
      <c r="R67">
        <v>11</v>
      </c>
      <c r="S67" t="s">
        <v>41</v>
      </c>
      <c r="T67">
        <v>60.1</v>
      </c>
      <c r="U67">
        <v>0.38600000000000001</v>
      </c>
      <c r="V67">
        <v>67450</v>
      </c>
      <c r="W67">
        <v>0.13</v>
      </c>
      <c r="X67">
        <v>5.0099999999999999E-2</v>
      </c>
      <c r="Y67">
        <v>0.80400000000000005</v>
      </c>
    </row>
    <row r="68" spans="1:25" x14ac:dyDescent="0.3">
      <c r="A68" t="s">
        <v>295</v>
      </c>
      <c r="B68" t="s">
        <v>132</v>
      </c>
      <c r="C68" t="s">
        <v>296</v>
      </c>
      <c r="D68" t="s">
        <v>134</v>
      </c>
      <c r="E68" t="s">
        <v>135</v>
      </c>
      <c r="G68" t="s">
        <v>39</v>
      </c>
      <c r="H68" t="s">
        <v>73</v>
      </c>
      <c r="I68" t="b">
        <v>1</v>
      </c>
      <c r="J68">
        <v>3</v>
      </c>
      <c r="K68">
        <v>1</v>
      </c>
      <c r="L68">
        <v>0</v>
      </c>
      <c r="M68">
        <v>2</v>
      </c>
      <c r="N68">
        <v>60.5</v>
      </c>
      <c r="O68">
        <v>0.377</v>
      </c>
      <c r="P68" t="s">
        <v>136</v>
      </c>
      <c r="Q68">
        <v>30.2</v>
      </c>
      <c r="R68">
        <v>11</v>
      </c>
      <c r="S68" t="s">
        <v>41</v>
      </c>
      <c r="T68">
        <v>60.1</v>
      </c>
      <c r="U68">
        <v>0.38600000000000001</v>
      </c>
      <c r="V68">
        <v>67450</v>
      </c>
      <c r="W68">
        <v>0.13</v>
      </c>
      <c r="X68">
        <v>5.0099999999999999E-2</v>
      </c>
      <c r="Y68">
        <v>0.80400000000000005</v>
      </c>
    </row>
    <row r="69" spans="1:25" x14ac:dyDescent="0.3">
      <c r="A69" t="s">
        <v>297</v>
      </c>
      <c r="B69" t="s">
        <v>298</v>
      </c>
      <c r="C69" t="s">
        <v>299</v>
      </c>
      <c r="D69" t="s">
        <v>300</v>
      </c>
      <c r="E69" t="s">
        <v>157</v>
      </c>
      <c r="G69" t="s">
        <v>39</v>
      </c>
      <c r="H69" t="s">
        <v>73</v>
      </c>
      <c r="I69" t="b">
        <v>1</v>
      </c>
      <c r="J69">
        <v>3</v>
      </c>
      <c r="K69">
        <v>0</v>
      </c>
      <c r="L69">
        <v>0</v>
      </c>
      <c r="M69">
        <v>3</v>
      </c>
      <c r="N69">
        <v>69.8</v>
      </c>
      <c r="O69">
        <v>0.252</v>
      </c>
      <c r="P69" t="s">
        <v>158</v>
      </c>
      <c r="Q69">
        <v>18.100000000000001</v>
      </c>
      <c r="R69">
        <v>15</v>
      </c>
      <c r="S69" t="s">
        <v>41</v>
      </c>
      <c r="T69">
        <v>74.5</v>
      </c>
      <c r="U69">
        <v>0.19900000000000001</v>
      </c>
      <c r="V69">
        <v>12000</v>
      </c>
      <c r="W69">
        <v>8.5999999999999993E-2</v>
      </c>
      <c r="X69">
        <v>1.7100000000000001E-2</v>
      </c>
      <c r="Y69">
        <v>0.63900000000000001</v>
      </c>
    </row>
    <row r="70" spans="1:25" x14ac:dyDescent="0.3">
      <c r="A70" t="s">
        <v>301</v>
      </c>
      <c r="B70" t="s">
        <v>128</v>
      </c>
      <c r="C70" t="s">
        <v>302</v>
      </c>
      <c r="D70" t="s">
        <v>130</v>
      </c>
      <c r="E70" t="s">
        <v>108</v>
      </c>
      <c r="G70" t="s">
        <v>39</v>
      </c>
      <c r="H70" t="s">
        <v>73</v>
      </c>
      <c r="I70" t="b">
        <v>1</v>
      </c>
      <c r="J70">
        <v>3</v>
      </c>
      <c r="K70">
        <v>0</v>
      </c>
      <c r="L70">
        <v>1</v>
      </c>
      <c r="M70">
        <v>2</v>
      </c>
      <c r="N70">
        <v>82</v>
      </c>
      <c r="O70">
        <v>0.111</v>
      </c>
      <c r="P70" t="s">
        <v>109</v>
      </c>
      <c r="Q70">
        <v>62.1</v>
      </c>
      <c r="R70">
        <v>7</v>
      </c>
      <c r="S70" t="s">
        <v>39</v>
      </c>
      <c r="T70">
        <v>73.599999999999994</v>
      </c>
      <c r="U70">
        <v>0.218</v>
      </c>
      <c r="V70">
        <v>26500</v>
      </c>
      <c r="W70">
        <v>0.24099999999999999</v>
      </c>
      <c r="X70">
        <v>5.2499999999999998E-2</v>
      </c>
      <c r="Y70">
        <v>0.63200000000000001</v>
      </c>
    </row>
    <row r="71" spans="1:25" x14ac:dyDescent="0.3">
      <c r="A71" t="s">
        <v>303</v>
      </c>
      <c r="B71" t="s">
        <v>165</v>
      </c>
      <c r="C71" t="s">
        <v>304</v>
      </c>
      <c r="D71" t="s">
        <v>305</v>
      </c>
      <c r="E71" t="s">
        <v>88</v>
      </c>
      <c r="G71" t="s">
        <v>39</v>
      </c>
      <c r="H71" t="s">
        <v>73</v>
      </c>
      <c r="I71" t="b">
        <v>1</v>
      </c>
      <c r="J71">
        <v>2</v>
      </c>
      <c r="K71">
        <v>0</v>
      </c>
      <c r="L71">
        <v>1</v>
      </c>
      <c r="M71">
        <v>1</v>
      </c>
      <c r="N71">
        <v>83.2</v>
      </c>
      <c r="O71">
        <v>0.11799999999999999</v>
      </c>
      <c r="P71" t="s">
        <v>89</v>
      </c>
      <c r="Q71">
        <v>37.6</v>
      </c>
      <c r="R71">
        <v>9</v>
      </c>
      <c r="S71" t="s">
        <v>39</v>
      </c>
      <c r="T71">
        <v>73.3</v>
      </c>
      <c r="U71">
        <v>0.21299999999999999</v>
      </c>
      <c r="V71">
        <v>15950</v>
      </c>
      <c r="W71">
        <v>0.17699999999999999</v>
      </c>
      <c r="X71">
        <v>3.7699999999999997E-2</v>
      </c>
      <c r="Y71">
        <v>0.68300000000000005</v>
      </c>
    </row>
    <row r="72" spans="1:25" x14ac:dyDescent="0.3">
      <c r="A72" t="s">
        <v>306</v>
      </c>
      <c r="B72" t="s">
        <v>307</v>
      </c>
      <c r="C72" t="s">
        <v>308</v>
      </c>
      <c r="D72" t="s">
        <v>309</v>
      </c>
      <c r="E72" t="s">
        <v>157</v>
      </c>
      <c r="G72" t="s">
        <v>30</v>
      </c>
      <c r="H72" t="s">
        <v>31</v>
      </c>
      <c r="I72" t="b">
        <v>1</v>
      </c>
      <c r="J72">
        <v>2</v>
      </c>
      <c r="K72">
        <v>0</v>
      </c>
      <c r="L72">
        <v>1</v>
      </c>
      <c r="M72">
        <v>1</v>
      </c>
      <c r="N72">
        <v>83.2</v>
      </c>
      <c r="O72">
        <v>0.11799999999999999</v>
      </c>
      <c r="P72" t="s">
        <v>158</v>
      </c>
      <c r="Q72">
        <v>18.100000000000001</v>
      </c>
      <c r="R72">
        <v>15</v>
      </c>
      <c r="S72" t="s">
        <v>41</v>
      </c>
      <c r="T72">
        <v>74.5</v>
      </c>
      <c r="U72">
        <v>0.19900000000000001</v>
      </c>
      <c r="V72">
        <v>12000</v>
      </c>
      <c r="W72">
        <v>8.5999999999999993E-2</v>
      </c>
      <c r="X72">
        <v>1.7100000000000001E-2</v>
      </c>
      <c r="Y72">
        <v>0.63900000000000001</v>
      </c>
    </row>
    <row r="73" spans="1:25" x14ac:dyDescent="0.3">
      <c r="A73" t="s">
        <v>310</v>
      </c>
      <c r="B73" t="s">
        <v>51</v>
      </c>
      <c r="C73" t="s">
        <v>311</v>
      </c>
      <c r="D73" t="s">
        <v>190</v>
      </c>
      <c r="E73" t="s">
        <v>191</v>
      </c>
      <c r="F73">
        <v>8000</v>
      </c>
      <c r="G73" t="s">
        <v>47</v>
      </c>
      <c r="H73" t="s">
        <v>31</v>
      </c>
      <c r="I73" t="b">
        <v>1</v>
      </c>
      <c r="J73">
        <v>3</v>
      </c>
      <c r="K73">
        <v>0</v>
      </c>
      <c r="L73">
        <v>0</v>
      </c>
      <c r="M73">
        <v>3</v>
      </c>
      <c r="N73">
        <v>70</v>
      </c>
      <c r="O73">
        <v>0.23</v>
      </c>
      <c r="P73" t="s">
        <v>190</v>
      </c>
      <c r="Q73">
        <v>40.299999999999997</v>
      </c>
      <c r="R73">
        <v>8</v>
      </c>
      <c r="S73" t="s">
        <v>39</v>
      </c>
      <c r="T73">
        <v>68.099999999999994</v>
      </c>
      <c r="U73">
        <v>0.254</v>
      </c>
      <c r="V73">
        <v>15750</v>
      </c>
      <c r="W73">
        <v>0.21</v>
      </c>
      <c r="X73">
        <v>5.33E-2</v>
      </c>
      <c r="Y73">
        <v>0.76</v>
      </c>
    </row>
    <row r="74" spans="1:25" x14ac:dyDescent="0.3">
      <c r="A74" t="s">
        <v>312</v>
      </c>
      <c r="B74" t="s">
        <v>101</v>
      </c>
      <c r="C74" t="s">
        <v>313</v>
      </c>
      <c r="D74" t="s">
        <v>314</v>
      </c>
      <c r="E74" t="s">
        <v>135</v>
      </c>
      <c r="F74">
        <v>1200</v>
      </c>
      <c r="G74" t="s">
        <v>39</v>
      </c>
      <c r="H74" t="s">
        <v>31</v>
      </c>
      <c r="I74" t="b">
        <v>1</v>
      </c>
      <c r="J74">
        <v>1</v>
      </c>
      <c r="K74">
        <v>1</v>
      </c>
      <c r="L74">
        <v>0</v>
      </c>
      <c r="M74">
        <v>0</v>
      </c>
      <c r="N74">
        <v>15</v>
      </c>
      <c r="O74">
        <v>1</v>
      </c>
      <c r="P74" t="s">
        <v>136</v>
      </c>
      <c r="Q74">
        <v>30.2</v>
      </c>
      <c r="R74">
        <v>11</v>
      </c>
      <c r="S74" t="s">
        <v>41</v>
      </c>
      <c r="T74">
        <v>60.1</v>
      </c>
      <c r="U74">
        <v>0.38600000000000001</v>
      </c>
      <c r="V74">
        <v>67450</v>
      </c>
      <c r="W74">
        <v>0.13</v>
      </c>
      <c r="X74">
        <v>5.0099999999999999E-2</v>
      </c>
      <c r="Y74">
        <v>0.80400000000000005</v>
      </c>
    </row>
    <row r="75" spans="1:25" x14ac:dyDescent="0.3">
      <c r="A75" t="s">
        <v>315</v>
      </c>
      <c r="B75" t="s">
        <v>316</v>
      </c>
      <c r="C75" t="s">
        <v>317</v>
      </c>
      <c r="D75" t="s">
        <v>318</v>
      </c>
      <c r="E75" t="s">
        <v>319</v>
      </c>
      <c r="F75">
        <v>12000</v>
      </c>
      <c r="G75" t="s">
        <v>47</v>
      </c>
      <c r="H75" t="s">
        <v>31</v>
      </c>
      <c r="I75" t="b">
        <v>1</v>
      </c>
      <c r="J75">
        <v>4</v>
      </c>
      <c r="K75">
        <v>0</v>
      </c>
      <c r="L75">
        <v>2</v>
      </c>
      <c r="M75">
        <v>2</v>
      </c>
      <c r="N75">
        <v>78.2</v>
      </c>
      <c r="O75">
        <v>0.16200000000000001</v>
      </c>
      <c r="P75" t="s">
        <v>320</v>
      </c>
      <c r="Q75">
        <v>33.200000000000003</v>
      </c>
      <c r="R75">
        <v>10</v>
      </c>
      <c r="S75" t="s">
        <v>39</v>
      </c>
      <c r="T75">
        <v>78.2</v>
      </c>
      <c r="U75">
        <v>0.16200000000000001</v>
      </c>
      <c r="V75">
        <v>12000</v>
      </c>
      <c r="W75">
        <v>0.185</v>
      </c>
      <c r="X75">
        <v>2.9899999999999999E-2</v>
      </c>
      <c r="Y75">
        <v>0.64100000000000001</v>
      </c>
    </row>
    <row r="76" spans="1:25" x14ac:dyDescent="0.3">
      <c r="A76" t="s">
        <v>321</v>
      </c>
      <c r="B76" t="s">
        <v>298</v>
      </c>
      <c r="C76" t="s">
        <v>322</v>
      </c>
      <c r="D76" t="s">
        <v>323</v>
      </c>
      <c r="E76" t="s">
        <v>157</v>
      </c>
      <c r="G76" t="s">
        <v>39</v>
      </c>
      <c r="H76" t="s">
        <v>73</v>
      </c>
      <c r="I76" t="b">
        <v>1</v>
      </c>
      <c r="J76">
        <v>2</v>
      </c>
      <c r="K76">
        <v>0</v>
      </c>
      <c r="L76">
        <v>0</v>
      </c>
      <c r="M76">
        <v>2</v>
      </c>
      <c r="N76">
        <v>75</v>
      </c>
      <c r="O76">
        <v>0.2</v>
      </c>
      <c r="P76" t="s">
        <v>158</v>
      </c>
      <c r="Q76">
        <v>18.100000000000001</v>
      </c>
      <c r="R76">
        <v>15</v>
      </c>
      <c r="S76" t="s">
        <v>41</v>
      </c>
      <c r="T76">
        <v>74.5</v>
      </c>
      <c r="U76">
        <v>0.19900000000000001</v>
      </c>
      <c r="V76">
        <v>12000</v>
      </c>
      <c r="W76">
        <v>8.5999999999999993E-2</v>
      </c>
      <c r="X76">
        <v>1.7100000000000001E-2</v>
      </c>
      <c r="Y76">
        <v>0.63900000000000001</v>
      </c>
    </row>
    <row r="77" spans="1:25" x14ac:dyDescent="0.3">
      <c r="A77" t="s">
        <v>324</v>
      </c>
      <c r="B77" t="s">
        <v>280</v>
      </c>
      <c r="C77" t="s">
        <v>325</v>
      </c>
      <c r="D77" t="s">
        <v>326</v>
      </c>
      <c r="E77" t="s">
        <v>38</v>
      </c>
      <c r="G77" t="s">
        <v>67</v>
      </c>
      <c r="H77" t="s">
        <v>73</v>
      </c>
      <c r="I77" t="b">
        <v>1</v>
      </c>
      <c r="J77">
        <v>3</v>
      </c>
      <c r="K77">
        <v>0</v>
      </c>
      <c r="L77">
        <v>0</v>
      </c>
      <c r="M77">
        <v>3</v>
      </c>
      <c r="N77">
        <v>77.7</v>
      </c>
      <c r="O77">
        <v>0.15</v>
      </c>
      <c r="P77" t="s">
        <v>40</v>
      </c>
      <c r="Q77">
        <v>8.6999999999999993</v>
      </c>
      <c r="R77">
        <v>23</v>
      </c>
      <c r="S77" t="s">
        <v>41</v>
      </c>
      <c r="T77">
        <v>60.8</v>
      </c>
      <c r="U77">
        <v>0.36799999999999999</v>
      </c>
      <c r="V77">
        <v>20700</v>
      </c>
      <c r="W77">
        <v>4.9000000000000002E-2</v>
      </c>
      <c r="X77">
        <v>1.8100000000000002E-2</v>
      </c>
      <c r="Y77">
        <v>0.81100000000000005</v>
      </c>
    </row>
    <row r="78" spans="1:25" x14ac:dyDescent="0.3">
      <c r="A78" t="s">
        <v>327</v>
      </c>
      <c r="B78" t="s">
        <v>101</v>
      </c>
      <c r="C78" t="s">
        <v>328</v>
      </c>
      <c r="D78" t="s">
        <v>314</v>
      </c>
      <c r="E78" t="s">
        <v>135</v>
      </c>
      <c r="F78">
        <v>1500</v>
      </c>
      <c r="G78" t="s">
        <v>39</v>
      </c>
      <c r="H78" t="s">
        <v>31</v>
      </c>
      <c r="I78" t="b">
        <v>1</v>
      </c>
      <c r="J78">
        <v>1</v>
      </c>
      <c r="K78">
        <v>1</v>
      </c>
      <c r="L78">
        <v>0</v>
      </c>
      <c r="M78">
        <v>0</v>
      </c>
      <c r="N78">
        <v>15</v>
      </c>
      <c r="O78">
        <v>1</v>
      </c>
      <c r="P78" t="s">
        <v>136</v>
      </c>
      <c r="Q78">
        <v>30.2</v>
      </c>
      <c r="R78">
        <v>11</v>
      </c>
      <c r="S78" t="s">
        <v>41</v>
      </c>
      <c r="T78">
        <v>60.1</v>
      </c>
      <c r="U78">
        <v>0.38600000000000001</v>
      </c>
      <c r="V78">
        <v>67450</v>
      </c>
      <c r="W78">
        <v>0.13</v>
      </c>
      <c r="X78">
        <v>5.0099999999999999E-2</v>
      </c>
      <c r="Y78">
        <v>0.80400000000000005</v>
      </c>
    </row>
    <row r="79" spans="1:25" x14ac:dyDescent="0.3">
      <c r="A79" t="s">
        <v>329</v>
      </c>
      <c r="B79" t="s">
        <v>51</v>
      </c>
      <c r="C79" t="s">
        <v>330</v>
      </c>
      <c r="D79" t="s">
        <v>94</v>
      </c>
      <c r="E79" t="s">
        <v>54</v>
      </c>
      <c r="F79">
        <v>60000</v>
      </c>
      <c r="G79" t="s">
        <v>47</v>
      </c>
      <c r="H79" t="s">
        <v>48</v>
      </c>
      <c r="I79" t="b">
        <v>1</v>
      </c>
      <c r="J79">
        <v>4</v>
      </c>
      <c r="K79">
        <v>0</v>
      </c>
      <c r="L79">
        <v>0</v>
      </c>
      <c r="M79">
        <v>4</v>
      </c>
      <c r="N79">
        <v>71</v>
      </c>
      <c r="O79">
        <v>0.224</v>
      </c>
      <c r="P79" t="s">
        <v>55</v>
      </c>
      <c r="Q79">
        <v>88.3</v>
      </c>
      <c r="R79">
        <v>3</v>
      </c>
      <c r="S79" t="s">
        <v>33</v>
      </c>
      <c r="T79">
        <v>68.400000000000006</v>
      </c>
      <c r="U79">
        <v>0.25900000000000001</v>
      </c>
      <c r="V79">
        <v>142000</v>
      </c>
      <c r="W79">
        <v>0.6</v>
      </c>
      <c r="X79">
        <v>0.15540000000000001</v>
      </c>
      <c r="Y79">
        <v>0.82599999999999996</v>
      </c>
    </row>
    <row r="80" spans="1:25" x14ac:dyDescent="0.3">
      <c r="A80" t="s">
        <v>331</v>
      </c>
      <c r="B80" t="s">
        <v>256</v>
      </c>
      <c r="C80" t="s">
        <v>332</v>
      </c>
      <c r="D80" t="s">
        <v>53</v>
      </c>
      <c r="E80" t="s">
        <v>54</v>
      </c>
      <c r="G80" t="s">
        <v>47</v>
      </c>
      <c r="H80" t="s">
        <v>31</v>
      </c>
      <c r="I80" t="b">
        <v>1</v>
      </c>
      <c r="J80">
        <v>1</v>
      </c>
      <c r="K80">
        <v>0</v>
      </c>
      <c r="L80">
        <v>0</v>
      </c>
      <c r="M80">
        <v>1</v>
      </c>
      <c r="N80">
        <v>78</v>
      </c>
      <c r="O80">
        <v>0.15</v>
      </c>
      <c r="P80" t="s">
        <v>55</v>
      </c>
      <c r="Q80">
        <v>88.3</v>
      </c>
      <c r="R80">
        <v>3</v>
      </c>
      <c r="S80" t="s">
        <v>33</v>
      </c>
      <c r="T80">
        <v>68.400000000000006</v>
      </c>
      <c r="U80">
        <v>0.25900000000000001</v>
      </c>
      <c r="V80">
        <v>142000</v>
      </c>
      <c r="W80">
        <v>0.6</v>
      </c>
      <c r="X80">
        <v>0.15540000000000001</v>
      </c>
      <c r="Y80">
        <v>0.82599999999999996</v>
      </c>
    </row>
    <row r="81" spans="1:25" x14ac:dyDescent="0.3">
      <c r="A81" t="s">
        <v>333</v>
      </c>
      <c r="B81" t="s">
        <v>111</v>
      </c>
      <c r="C81" t="s">
        <v>334</v>
      </c>
      <c r="D81" t="s">
        <v>113</v>
      </c>
      <c r="E81" t="s">
        <v>114</v>
      </c>
      <c r="F81">
        <v>4500</v>
      </c>
      <c r="G81" t="s">
        <v>30</v>
      </c>
      <c r="H81" t="s">
        <v>31</v>
      </c>
      <c r="I81" t="b">
        <v>1</v>
      </c>
      <c r="J81">
        <v>2</v>
      </c>
      <c r="K81">
        <v>0</v>
      </c>
      <c r="L81">
        <v>0</v>
      </c>
      <c r="M81">
        <v>2</v>
      </c>
      <c r="N81">
        <v>64.5</v>
      </c>
      <c r="O81">
        <v>0.29699999999999999</v>
      </c>
      <c r="P81" t="s">
        <v>113</v>
      </c>
      <c r="Q81">
        <v>25.5</v>
      </c>
      <c r="R81">
        <v>12</v>
      </c>
      <c r="S81" t="s">
        <v>41</v>
      </c>
      <c r="T81">
        <v>50.1</v>
      </c>
      <c r="U81">
        <v>0.502</v>
      </c>
      <c r="V81">
        <v>12000</v>
      </c>
      <c r="W81">
        <v>0.04</v>
      </c>
      <c r="X81">
        <v>2.01E-2</v>
      </c>
      <c r="Y81">
        <v>0.58299999999999996</v>
      </c>
    </row>
    <row r="82" spans="1:25" x14ac:dyDescent="0.3">
      <c r="A82" t="s">
        <v>335</v>
      </c>
      <c r="B82" t="s">
        <v>336</v>
      </c>
      <c r="C82" t="s">
        <v>337</v>
      </c>
      <c r="D82" t="s">
        <v>338</v>
      </c>
      <c r="E82" t="s">
        <v>141</v>
      </c>
      <c r="G82" t="s">
        <v>47</v>
      </c>
      <c r="H82" t="s">
        <v>31</v>
      </c>
      <c r="I82" t="b">
        <v>1</v>
      </c>
      <c r="J82">
        <v>3</v>
      </c>
      <c r="K82">
        <v>0</v>
      </c>
      <c r="L82">
        <v>0</v>
      </c>
      <c r="M82">
        <v>3</v>
      </c>
      <c r="N82">
        <v>77.3</v>
      </c>
      <c r="O82">
        <v>0.156</v>
      </c>
      <c r="P82" t="s">
        <v>142</v>
      </c>
      <c r="Q82">
        <v>15.8</v>
      </c>
      <c r="R82">
        <v>17</v>
      </c>
      <c r="S82" t="s">
        <v>41</v>
      </c>
      <c r="T82">
        <v>78.2</v>
      </c>
      <c r="U82">
        <v>0.15</v>
      </c>
      <c r="V82">
        <v>22500</v>
      </c>
      <c r="W82">
        <v>0.10199999999999999</v>
      </c>
      <c r="X82">
        <v>1.5299999999999999E-2</v>
      </c>
      <c r="Y82">
        <v>0.64500000000000002</v>
      </c>
    </row>
    <row r="83" spans="1:25" x14ac:dyDescent="0.3">
      <c r="A83" t="s">
        <v>339</v>
      </c>
      <c r="B83" t="s">
        <v>81</v>
      </c>
      <c r="C83" t="s">
        <v>340</v>
      </c>
      <c r="D83" t="s">
        <v>341</v>
      </c>
      <c r="E83" t="s">
        <v>60</v>
      </c>
      <c r="G83" t="s">
        <v>39</v>
      </c>
      <c r="H83" t="s">
        <v>73</v>
      </c>
      <c r="I83" t="b">
        <v>1</v>
      </c>
      <c r="J83">
        <v>2</v>
      </c>
      <c r="K83">
        <v>0</v>
      </c>
      <c r="L83">
        <v>0</v>
      </c>
      <c r="M83">
        <v>2</v>
      </c>
      <c r="N83">
        <v>74.5</v>
      </c>
      <c r="O83">
        <v>0.20899999999999999</v>
      </c>
      <c r="P83" t="s">
        <v>61</v>
      </c>
      <c r="Q83">
        <v>13.4</v>
      </c>
      <c r="R83">
        <v>19</v>
      </c>
      <c r="S83" t="s">
        <v>41</v>
      </c>
      <c r="T83">
        <v>64.599999999999994</v>
      </c>
      <c r="U83">
        <v>0.315</v>
      </c>
      <c r="V83">
        <v>16750</v>
      </c>
      <c r="W83">
        <v>9.2999999999999999E-2</v>
      </c>
      <c r="X83">
        <v>2.93E-2</v>
      </c>
      <c r="Y83">
        <v>0.83499999999999996</v>
      </c>
    </row>
    <row r="84" spans="1:25" x14ac:dyDescent="0.3">
      <c r="A84" t="s">
        <v>342</v>
      </c>
      <c r="B84" t="s">
        <v>81</v>
      </c>
      <c r="C84" t="s">
        <v>343</v>
      </c>
      <c r="D84" t="s">
        <v>83</v>
      </c>
      <c r="E84" t="s">
        <v>60</v>
      </c>
      <c r="F84">
        <v>6000</v>
      </c>
      <c r="G84" t="s">
        <v>47</v>
      </c>
      <c r="H84" t="s">
        <v>31</v>
      </c>
      <c r="I84" t="b">
        <v>1</v>
      </c>
      <c r="J84">
        <v>4</v>
      </c>
      <c r="K84">
        <v>0</v>
      </c>
      <c r="L84">
        <v>0</v>
      </c>
      <c r="M84">
        <v>4</v>
      </c>
      <c r="N84">
        <v>69.400000000000006</v>
      </c>
      <c r="O84">
        <v>0.24099999999999999</v>
      </c>
      <c r="P84" t="s">
        <v>61</v>
      </c>
      <c r="Q84">
        <v>13.4</v>
      </c>
      <c r="R84">
        <v>19</v>
      </c>
      <c r="S84" t="s">
        <v>41</v>
      </c>
      <c r="T84">
        <v>64.599999999999994</v>
      </c>
      <c r="U84">
        <v>0.315</v>
      </c>
      <c r="V84">
        <v>16750</v>
      </c>
      <c r="W84">
        <v>9.2999999999999999E-2</v>
      </c>
      <c r="X84">
        <v>2.93E-2</v>
      </c>
      <c r="Y84">
        <v>0.83499999999999996</v>
      </c>
    </row>
    <row r="85" spans="1:25" x14ac:dyDescent="0.3">
      <c r="A85" t="s">
        <v>344</v>
      </c>
      <c r="B85" t="s">
        <v>51</v>
      </c>
      <c r="C85" t="s">
        <v>26</v>
      </c>
      <c r="D85" t="s">
        <v>28</v>
      </c>
      <c r="E85" t="s">
        <v>29</v>
      </c>
      <c r="F85">
        <v>3300</v>
      </c>
      <c r="G85" t="s">
        <v>30</v>
      </c>
      <c r="H85" t="s">
        <v>31</v>
      </c>
      <c r="I85" t="b">
        <v>1</v>
      </c>
      <c r="J85">
        <v>3</v>
      </c>
      <c r="K85">
        <v>0</v>
      </c>
      <c r="L85">
        <v>0</v>
      </c>
      <c r="M85">
        <v>3</v>
      </c>
      <c r="N85">
        <v>70</v>
      </c>
      <c r="O85">
        <v>0.23</v>
      </c>
      <c r="P85" t="s">
        <v>32</v>
      </c>
      <c r="Q85">
        <v>100</v>
      </c>
      <c r="R85">
        <v>1</v>
      </c>
      <c r="S85" t="s">
        <v>33</v>
      </c>
      <c r="T85">
        <v>66.900000000000006</v>
      </c>
      <c r="U85">
        <v>0.27100000000000002</v>
      </c>
      <c r="V85">
        <v>30000</v>
      </c>
      <c r="W85">
        <v>0.27300000000000002</v>
      </c>
      <c r="X85">
        <v>7.3899999999999993E-2</v>
      </c>
      <c r="Y85">
        <v>0.58599999999999997</v>
      </c>
    </row>
    <row r="86" spans="1:25" x14ac:dyDescent="0.3">
      <c r="A86" t="s">
        <v>345</v>
      </c>
      <c r="B86" t="s">
        <v>147</v>
      </c>
      <c r="C86" t="s">
        <v>346</v>
      </c>
      <c r="D86" t="s">
        <v>118</v>
      </c>
      <c r="E86" t="s">
        <v>119</v>
      </c>
      <c r="G86" t="s">
        <v>47</v>
      </c>
      <c r="H86" t="s">
        <v>48</v>
      </c>
      <c r="I86" t="b">
        <v>1</v>
      </c>
      <c r="J86">
        <v>1</v>
      </c>
      <c r="K86">
        <v>0</v>
      </c>
      <c r="L86">
        <v>0</v>
      </c>
      <c r="M86">
        <v>1</v>
      </c>
      <c r="N86">
        <v>78</v>
      </c>
      <c r="O86">
        <v>0.15</v>
      </c>
      <c r="P86" t="s">
        <v>120</v>
      </c>
      <c r="Q86">
        <v>17.8</v>
      </c>
      <c r="R86">
        <v>16</v>
      </c>
      <c r="S86" t="s">
        <v>41</v>
      </c>
      <c r="T86">
        <v>77</v>
      </c>
      <c r="U86">
        <v>0.16400000000000001</v>
      </c>
      <c r="V86">
        <v>31300</v>
      </c>
      <c r="W86">
        <v>0.125</v>
      </c>
      <c r="X86">
        <v>2.0500000000000001E-2</v>
      </c>
      <c r="Y86">
        <v>0.70499999999999996</v>
      </c>
    </row>
    <row r="87" spans="1:25" x14ac:dyDescent="0.3">
      <c r="A87" t="s">
        <v>347</v>
      </c>
      <c r="B87" t="s">
        <v>228</v>
      </c>
      <c r="C87" t="s">
        <v>348</v>
      </c>
      <c r="D87" t="s">
        <v>349</v>
      </c>
      <c r="E87" t="s">
        <v>168</v>
      </c>
      <c r="G87" t="s">
        <v>39</v>
      </c>
      <c r="H87" t="s">
        <v>73</v>
      </c>
      <c r="I87" t="b">
        <v>1</v>
      </c>
      <c r="J87">
        <v>1</v>
      </c>
      <c r="K87">
        <v>1</v>
      </c>
      <c r="L87">
        <v>0</v>
      </c>
      <c r="M87">
        <v>0</v>
      </c>
      <c r="N87">
        <v>15</v>
      </c>
      <c r="O87">
        <v>1</v>
      </c>
      <c r="P87" t="s">
        <v>169</v>
      </c>
      <c r="Q87">
        <v>63.1</v>
      </c>
      <c r="R87">
        <v>6</v>
      </c>
      <c r="S87" t="s">
        <v>39</v>
      </c>
      <c r="T87">
        <v>54.9</v>
      </c>
      <c r="U87">
        <v>0.47499999999999998</v>
      </c>
      <c r="V87">
        <v>23000</v>
      </c>
      <c r="W87">
        <v>0.17699999999999999</v>
      </c>
      <c r="X87">
        <v>8.4000000000000005E-2</v>
      </c>
      <c r="Y87">
        <v>0.76700000000000002</v>
      </c>
    </row>
    <row r="88" spans="1:25" x14ac:dyDescent="0.3">
      <c r="A88" t="s">
        <v>350</v>
      </c>
      <c r="B88" t="s">
        <v>238</v>
      </c>
      <c r="C88" t="s">
        <v>351</v>
      </c>
      <c r="D88" t="s">
        <v>240</v>
      </c>
      <c r="E88" t="s">
        <v>141</v>
      </c>
      <c r="F88">
        <v>3000</v>
      </c>
      <c r="G88" t="s">
        <v>30</v>
      </c>
      <c r="H88" t="s">
        <v>31</v>
      </c>
      <c r="I88" t="b">
        <v>1</v>
      </c>
      <c r="J88">
        <v>3</v>
      </c>
      <c r="K88">
        <v>0</v>
      </c>
      <c r="L88">
        <v>1</v>
      </c>
      <c r="M88">
        <v>2</v>
      </c>
      <c r="N88">
        <v>80.5</v>
      </c>
      <c r="O88">
        <v>0.129</v>
      </c>
      <c r="P88" t="s">
        <v>142</v>
      </c>
      <c r="Q88">
        <v>15.8</v>
      </c>
      <c r="R88">
        <v>17</v>
      </c>
      <c r="S88" t="s">
        <v>41</v>
      </c>
      <c r="T88">
        <v>78.2</v>
      </c>
      <c r="U88">
        <v>0.15</v>
      </c>
      <c r="V88">
        <v>22500</v>
      </c>
      <c r="W88">
        <v>0.10199999999999999</v>
      </c>
      <c r="X88">
        <v>1.5299999999999999E-2</v>
      </c>
      <c r="Y88">
        <v>0.64500000000000002</v>
      </c>
    </row>
    <row r="89" spans="1:25" x14ac:dyDescent="0.3">
      <c r="A89" t="s">
        <v>352</v>
      </c>
      <c r="B89" t="s">
        <v>165</v>
      </c>
      <c r="C89" t="s">
        <v>353</v>
      </c>
      <c r="D89" t="s">
        <v>354</v>
      </c>
      <c r="E89" t="s">
        <v>168</v>
      </c>
      <c r="G89" t="s">
        <v>39</v>
      </c>
      <c r="H89" t="s">
        <v>73</v>
      </c>
      <c r="I89" t="b">
        <v>1</v>
      </c>
      <c r="J89">
        <v>2</v>
      </c>
      <c r="K89">
        <v>0</v>
      </c>
      <c r="L89">
        <v>1</v>
      </c>
      <c r="M89">
        <v>1</v>
      </c>
      <c r="N89">
        <v>83.2</v>
      </c>
      <c r="O89">
        <v>0.11799999999999999</v>
      </c>
      <c r="P89" t="s">
        <v>169</v>
      </c>
      <c r="Q89">
        <v>63.1</v>
      </c>
      <c r="R89">
        <v>6</v>
      </c>
      <c r="S89" t="s">
        <v>39</v>
      </c>
      <c r="T89">
        <v>54.9</v>
      </c>
      <c r="U89">
        <v>0.47499999999999998</v>
      </c>
      <c r="V89">
        <v>23000</v>
      </c>
      <c r="W89">
        <v>0.17699999999999999</v>
      </c>
      <c r="X89">
        <v>8.4000000000000005E-2</v>
      </c>
      <c r="Y89">
        <v>0.76700000000000002</v>
      </c>
    </row>
    <row r="90" spans="1:25" x14ac:dyDescent="0.3">
      <c r="A90" t="s">
        <v>355</v>
      </c>
      <c r="B90" t="s">
        <v>116</v>
      </c>
      <c r="C90" t="s">
        <v>356</v>
      </c>
      <c r="D90" t="s">
        <v>118</v>
      </c>
      <c r="E90" t="s">
        <v>119</v>
      </c>
      <c r="F90">
        <v>10000</v>
      </c>
      <c r="G90" t="s">
        <v>47</v>
      </c>
      <c r="H90" t="s">
        <v>31</v>
      </c>
      <c r="I90" t="b">
        <v>1</v>
      </c>
      <c r="J90">
        <v>1</v>
      </c>
      <c r="K90">
        <v>0</v>
      </c>
      <c r="L90">
        <v>0</v>
      </c>
      <c r="M90">
        <v>1</v>
      </c>
      <c r="N90">
        <v>78</v>
      </c>
      <c r="O90">
        <v>0.15</v>
      </c>
      <c r="P90" t="s">
        <v>120</v>
      </c>
      <c r="Q90">
        <v>17.8</v>
      </c>
      <c r="R90">
        <v>16</v>
      </c>
      <c r="S90" t="s">
        <v>41</v>
      </c>
      <c r="T90">
        <v>77</v>
      </c>
      <c r="U90">
        <v>0.16400000000000001</v>
      </c>
      <c r="V90">
        <v>31300</v>
      </c>
      <c r="W90">
        <v>0.125</v>
      </c>
      <c r="X90">
        <v>2.0500000000000001E-2</v>
      </c>
      <c r="Y90">
        <v>0.70499999999999996</v>
      </c>
    </row>
    <row r="91" spans="1:25" x14ac:dyDescent="0.3">
      <c r="A91" t="s">
        <v>357</v>
      </c>
      <c r="B91" t="s">
        <v>358</v>
      </c>
      <c r="C91" t="s">
        <v>359</v>
      </c>
      <c r="D91" t="s">
        <v>360</v>
      </c>
      <c r="E91" t="s">
        <v>361</v>
      </c>
      <c r="F91">
        <v>6000</v>
      </c>
      <c r="G91" t="s">
        <v>47</v>
      </c>
      <c r="H91" t="s">
        <v>31</v>
      </c>
      <c r="I91" t="b">
        <v>1</v>
      </c>
      <c r="J91">
        <v>3</v>
      </c>
      <c r="K91">
        <v>0</v>
      </c>
      <c r="L91">
        <v>0</v>
      </c>
      <c r="M91">
        <v>3</v>
      </c>
      <c r="N91">
        <v>69</v>
      </c>
      <c r="O91">
        <v>0.24</v>
      </c>
      <c r="P91" t="s">
        <v>362</v>
      </c>
      <c r="Q91">
        <v>0</v>
      </c>
      <c r="R91">
        <v>26</v>
      </c>
      <c r="S91" t="s">
        <v>41</v>
      </c>
      <c r="T91">
        <v>69</v>
      </c>
      <c r="U91">
        <v>0.24</v>
      </c>
      <c r="V91">
        <v>6000</v>
      </c>
      <c r="W91">
        <v>2.1000000000000001E-2</v>
      </c>
      <c r="X91">
        <v>5.1000000000000004E-3</v>
      </c>
      <c r="Y91">
        <v>0.84899999999999998</v>
      </c>
    </row>
    <row r="92" spans="1:25" x14ac:dyDescent="0.3">
      <c r="A92" t="s">
        <v>363</v>
      </c>
      <c r="B92" t="s">
        <v>364</v>
      </c>
      <c r="C92" t="s">
        <v>365</v>
      </c>
      <c r="D92" t="s">
        <v>366</v>
      </c>
      <c r="E92" t="s">
        <v>66</v>
      </c>
      <c r="F92">
        <v>1200</v>
      </c>
      <c r="G92" t="s">
        <v>39</v>
      </c>
      <c r="H92" t="s">
        <v>31</v>
      </c>
      <c r="I92" t="b">
        <v>1</v>
      </c>
      <c r="J92">
        <v>3</v>
      </c>
      <c r="K92">
        <v>1</v>
      </c>
      <c r="L92">
        <v>1</v>
      </c>
      <c r="M92">
        <v>1</v>
      </c>
      <c r="N92">
        <v>63.3</v>
      </c>
      <c r="O92">
        <v>0.375</v>
      </c>
      <c r="P92" t="s">
        <v>68</v>
      </c>
      <c r="Q92">
        <v>12.1</v>
      </c>
      <c r="R92">
        <v>21</v>
      </c>
      <c r="S92" t="s">
        <v>41</v>
      </c>
      <c r="T92">
        <v>55</v>
      </c>
      <c r="U92">
        <v>0.44500000000000001</v>
      </c>
      <c r="V92">
        <v>2650</v>
      </c>
      <c r="W92">
        <v>2.4E-2</v>
      </c>
      <c r="X92">
        <v>1.0699999999999999E-2</v>
      </c>
      <c r="Y92">
        <v>0.59299999999999997</v>
      </c>
    </row>
    <row r="93" spans="1:25" x14ac:dyDescent="0.3">
      <c r="A93" t="s">
        <v>367</v>
      </c>
      <c r="B93" t="s">
        <v>51</v>
      </c>
      <c r="C93" t="s">
        <v>368</v>
      </c>
      <c r="D93" t="s">
        <v>162</v>
      </c>
      <c r="E93" t="s">
        <v>163</v>
      </c>
      <c r="F93">
        <v>300</v>
      </c>
      <c r="G93" t="s">
        <v>67</v>
      </c>
      <c r="H93" t="s">
        <v>31</v>
      </c>
      <c r="I93" t="b">
        <v>1</v>
      </c>
      <c r="J93">
        <v>1</v>
      </c>
      <c r="K93">
        <v>0</v>
      </c>
      <c r="L93">
        <v>0</v>
      </c>
      <c r="M93">
        <v>1</v>
      </c>
      <c r="N93">
        <v>55</v>
      </c>
      <c r="O93">
        <v>0.4</v>
      </c>
      <c r="P93" t="s">
        <v>162</v>
      </c>
      <c r="Q93">
        <v>7.7</v>
      </c>
      <c r="R93">
        <v>24</v>
      </c>
      <c r="S93" t="s">
        <v>41</v>
      </c>
      <c r="T93">
        <v>76.5</v>
      </c>
      <c r="U93">
        <v>0.185</v>
      </c>
      <c r="V93">
        <v>10950</v>
      </c>
      <c r="W93">
        <v>9.0999999999999998E-2</v>
      </c>
      <c r="X93">
        <v>1.6899999999999998E-2</v>
      </c>
      <c r="Y93">
        <v>0.81399999999999995</v>
      </c>
    </row>
    <row r="94" spans="1:25" x14ac:dyDescent="0.3">
      <c r="A94" t="s">
        <v>369</v>
      </c>
      <c r="B94" t="s">
        <v>271</v>
      </c>
      <c r="C94" t="s">
        <v>370</v>
      </c>
      <c r="D94" t="s">
        <v>371</v>
      </c>
      <c r="E94" t="s">
        <v>125</v>
      </c>
      <c r="G94" t="s">
        <v>30</v>
      </c>
      <c r="H94" t="s">
        <v>31</v>
      </c>
      <c r="I94" t="b">
        <v>1</v>
      </c>
      <c r="J94">
        <v>3</v>
      </c>
      <c r="K94">
        <v>0</v>
      </c>
      <c r="L94">
        <v>0</v>
      </c>
      <c r="M94">
        <v>3</v>
      </c>
      <c r="N94">
        <v>61</v>
      </c>
      <c r="O94">
        <v>0.41899999999999998</v>
      </c>
      <c r="P94" t="s">
        <v>126</v>
      </c>
      <c r="Q94">
        <v>92.3</v>
      </c>
      <c r="R94">
        <v>2</v>
      </c>
      <c r="S94" t="s">
        <v>33</v>
      </c>
      <c r="T94">
        <v>65</v>
      </c>
      <c r="U94">
        <v>0.31900000000000001</v>
      </c>
      <c r="V94">
        <v>18100</v>
      </c>
      <c r="W94">
        <v>0.191</v>
      </c>
      <c r="X94">
        <v>6.08E-2</v>
      </c>
      <c r="Y94">
        <v>0.53400000000000003</v>
      </c>
    </row>
    <row r="95" spans="1:25" x14ac:dyDescent="0.3">
      <c r="A95" t="s">
        <v>372</v>
      </c>
      <c r="B95" t="s">
        <v>165</v>
      </c>
      <c r="C95" t="s">
        <v>373</v>
      </c>
      <c r="D95" t="s">
        <v>260</v>
      </c>
      <c r="E95" t="s">
        <v>88</v>
      </c>
      <c r="G95" t="s">
        <v>39</v>
      </c>
      <c r="H95" t="s">
        <v>73</v>
      </c>
      <c r="I95" t="b">
        <v>1</v>
      </c>
      <c r="J95">
        <v>3</v>
      </c>
      <c r="K95">
        <v>0</v>
      </c>
      <c r="L95">
        <v>1</v>
      </c>
      <c r="M95">
        <v>2</v>
      </c>
      <c r="N95">
        <v>82.3</v>
      </c>
      <c r="O95">
        <v>0.113</v>
      </c>
      <c r="P95" t="s">
        <v>89</v>
      </c>
      <c r="Q95">
        <v>37.6</v>
      </c>
      <c r="R95">
        <v>9</v>
      </c>
      <c r="S95" t="s">
        <v>39</v>
      </c>
      <c r="T95">
        <v>73.3</v>
      </c>
      <c r="U95">
        <v>0.21299999999999999</v>
      </c>
      <c r="V95">
        <v>15950</v>
      </c>
      <c r="W95">
        <v>0.17699999999999999</v>
      </c>
      <c r="X95">
        <v>3.7699999999999997E-2</v>
      </c>
      <c r="Y95">
        <v>0.68300000000000005</v>
      </c>
    </row>
    <row r="96" spans="1:25" x14ac:dyDescent="0.3">
      <c r="A96" t="s">
        <v>374</v>
      </c>
      <c r="B96" t="s">
        <v>105</v>
      </c>
      <c r="C96" t="s">
        <v>375</v>
      </c>
      <c r="D96" t="s">
        <v>376</v>
      </c>
      <c r="E96" t="s">
        <v>108</v>
      </c>
      <c r="G96" t="s">
        <v>30</v>
      </c>
      <c r="H96" t="s">
        <v>31</v>
      </c>
      <c r="I96" t="b">
        <v>1</v>
      </c>
      <c r="J96">
        <v>3</v>
      </c>
      <c r="K96">
        <v>0</v>
      </c>
      <c r="L96">
        <v>0</v>
      </c>
      <c r="M96">
        <v>3</v>
      </c>
      <c r="N96">
        <v>62.3</v>
      </c>
      <c r="O96">
        <v>0.39800000000000002</v>
      </c>
      <c r="P96" t="s">
        <v>109</v>
      </c>
      <c r="Q96">
        <v>62.1</v>
      </c>
      <c r="R96">
        <v>7</v>
      </c>
      <c r="S96" t="s">
        <v>39</v>
      </c>
      <c r="T96">
        <v>73.599999999999994</v>
      </c>
      <c r="U96">
        <v>0.218</v>
      </c>
      <c r="V96">
        <v>26500</v>
      </c>
      <c r="W96">
        <v>0.24099999999999999</v>
      </c>
      <c r="X96">
        <v>5.2499999999999998E-2</v>
      </c>
      <c r="Y96">
        <v>0.63200000000000001</v>
      </c>
    </row>
    <row r="97" spans="1:25" x14ac:dyDescent="0.3">
      <c r="A97" t="s">
        <v>377</v>
      </c>
      <c r="B97" t="s">
        <v>111</v>
      </c>
      <c r="C97" t="s">
        <v>378</v>
      </c>
      <c r="D97" t="s">
        <v>113</v>
      </c>
      <c r="E97" t="s">
        <v>114</v>
      </c>
      <c r="F97">
        <v>4000</v>
      </c>
      <c r="G97" t="s">
        <v>30</v>
      </c>
      <c r="H97" t="s">
        <v>31</v>
      </c>
      <c r="I97" t="b">
        <v>1</v>
      </c>
      <c r="J97">
        <v>2</v>
      </c>
      <c r="K97">
        <v>0</v>
      </c>
      <c r="L97">
        <v>0</v>
      </c>
      <c r="M97">
        <v>2</v>
      </c>
      <c r="N97">
        <v>64.5</v>
      </c>
      <c r="O97">
        <v>0.29699999999999999</v>
      </c>
      <c r="P97" t="s">
        <v>113</v>
      </c>
      <c r="Q97">
        <v>25.5</v>
      </c>
      <c r="R97">
        <v>12</v>
      </c>
      <c r="S97" t="s">
        <v>41</v>
      </c>
      <c r="T97">
        <v>50.1</v>
      </c>
      <c r="U97">
        <v>0.502</v>
      </c>
      <c r="V97">
        <v>12000</v>
      </c>
      <c r="W97">
        <v>0.04</v>
      </c>
      <c r="X97">
        <v>2.01E-2</v>
      </c>
      <c r="Y97">
        <v>0.58299999999999996</v>
      </c>
    </row>
    <row r="98" spans="1:25" x14ac:dyDescent="0.3">
      <c r="A98" t="s">
        <v>379</v>
      </c>
      <c r="B98" t="s">
        <v>75</v>
      </c>
      <c r="C98" t="s">
        <v>380</v>
      </c>
      <c r="D98" t="s">
        <v>246</v>
      </c>
      <c r="E98" t="s">
        <v>78</v>
      </c>
      <c r="G98" t="s">
        <v>30</v>
      </c>
      <c r="H98" t="s">
        <v>73</v>
      </c>
      <c r="I98" t="b">
        <v>1</v>
      </c>
      <c r="J98">
        <v>4</v>
      </c>
      <c r="K98">
        <v>0</v>
      </c>
      <c r="L98">
        <v>0</v>
      </c>
      <c r="M98">
        <v>4</v>
      </c>
      <c r="N98">
        <v>69.7</v>
      </c>
      <c r="O98">
        <v>0.24199999999999999</v>
      </c>
      <c r="P98" t="s">
        <v>79</v>
      </c>
      <c r="Q98">
        <v>13.4</v>
      </c>
      <c r="R98">
        <v>20</v>
      </c>
      <c r="S98" t="s">
        <v>41</v>
      </c>
      <c r="T98">
        <v>67.599999999999994</v>
      </c>
      <c r="U98">
        <v>0.28599999999999998</v>
      </c>
      <c r="V98">
        <v>9000</v>
      </c>
      <c r="W98">
        <v>5.6000000000000001E-2</v>
      </c>
      <c r="X98">
        <v>1.61E-2</v>
      </c>
      <c r="Y98">
        <v>0.69899999999999995</v>
      </c>
    </row>
    <row r="99" spans="1:25" x14ac:dyDescent="0.3">
      <c r="A99" t="s">
        <v>381</v>
      </c>
      <c r="B99" t="s">
        <v>232</v>
      </c>
      <c r="C99" t="s">
        <v>382</v>
      </c>
      <c r="D99" t="s">
        <v>383</v>
      </c>
      <c r="E99" t="s">
        <v>235</v>
      </c>
      <c r="F99">
        <v>3500</v>
      </c>
      <c r="G99" t="s">
        <v>30</v>
      </c>
      <c r="H99" t="s">
        <v>31</v>
      </c>
      <c r="I99" t="b">
        <v>1</v>
      </c>
      <c r="J99">
        <v>4</v>
      </c>
      <c r="K99">
        <v>0</v>
      </c>
      <c r="L99">
        <v>1</v>
      </c>
      <c r="M99">
        <v>3</v>
      </c>
      <c r="N99">
        <v>82.6</v>
      </c>
      <c r="O99">
        <v>0.105</v>
      </c>
      <c r="P99" t="s">
        <v>236</v>
      </c>
      <c r="Q99">
        <v>5</v>
      </c>
      <c r="R99">
        <v>25</v>
      </c>
      <c r="S99" t="s">
        <v>41</v>
      </c>
      <c r="T99">
        <v>82.4</v>
      </c>
      <c r="U99">
        <v>0.107</v>
      </c>
      <c r="V99">
        <v>5950</v>
      </c>
      <c r="W99">
        <v>7.0000000000000007E-2</v>
      </c>
      <c r="X99">
        <v>7.4999999999999997E-3</v>
      </c>
      <c r="Y99">
        <v>0.69899999999999995</v>
      </c>
    </row>
    <row r="100" spans="1:25" x14ac:dyDescent="0.3">
      <c r="A100" t="s">
        <v>384</v>
      </c>
      <c r="B100" t="s">
        <v>385</v>
      </c>
      <c r="C100" t="s">
        <v>386</v>
      </c>
      <c r="D100" t="s">
        <v>387</v>
      </c>
      <c r="E100" t="s">
        <v>168</v>
      </c>
      <c r="G100" t="s">
        <v>67</v>
      </c>
      <c r="H100" t="s">
        <v>73</v>
      </c>
      <c r="I100" t="b">
        <v>1</v>
      </c>
      <c r="J100">
        <v>3</v>
      </c>
      <c r="K100">
        <v>1</v>
      </c>
      <c r="L100">
        <v>0</v>
      </c>
      <c r="M100">
        <v>2</v>
      </c>
      <c r="N100">
        <v>50</v>
      </c>
      <c r="O100">
        <v>0.53300000000000003</v>
      </c>
      <c r="P100" t="s">
        <v>169</v>
      </c>
      <c r="Q100">
        <v>63.1</v>
      </c>
      <c r="R100">
        <v>6</v>
      </c>
      <c r="S100" t="s">
        <v>39</v>
      </c>
      <c r="T100">
        <v>54.9</v>
      </c>
      <c r="U100">
        <v>0.47499999999999998</v>
      </c>
      <c r="V100">
        <v>23000</v>
      </c>
      <c r="W100">
        <v>0.17699999999999999</v>
      </c>
      <c r="X100">
        <v>8.4000000000000005E-2</v>
      </c>
      <c r="Y100">
        <v>0.76700000000000002</v>
      </c>
    </row>
    <row r="101" spans="1:25" x14ac:dyDescent="0.3">
      <c r="A101" t="s">
        <v>388</v>
      </c>
      <c r="B101" t="s">
        <v>101</v>
      </c>
      <c r="C101" t="s">
        <v>389</v>
      </c>
      <c r="D101" t="s">
        <v>390</v>
      </c>
      <c r="E101" t="s">
        <v>135</v>
      </c>
      <c r="F101">
        <v>30000</v>
      </c>
      <c r="G101" t="s">
        <v>47</v>
      </c>
      <c r="H101" t="s">
        <v>31</v>
      </c>
      <c r="I101" t="b">
        <v>1</v>
      </c>
      <c r="J101">
        <v>3</v>
      </c>
      <c r="K101">
        <v>0</v>
      </c>
      <c r="L101">
        <v>0</v>
      </c>
      <c r="M101">
        <v>3</v>
      </c>
      <c r="N101">
        <v>71</v>
      </c>
      <c r="O101">
        <v>0.217</v>
      </c>
      <c r="P101" t="s">
        <v>136</v>
      </c>
      <c r="Q101">
        <v>30.2</v>
      </c>
      <c r="R101">
        <v>11</v>
      </c>
      <c r="S101" t="s">
        <v>41</v>
      </c>
      <c r="T101">
        <v>60.1</v>
      </c>
      <c r="U101">
        <v>0.38600000000000001</v>
      </c>
      <c r="V101">
        <v>67450</v>
      </c>
      <c r="W101">
        <v>0.13</v>
      </c>
      <c r="X101">
        <v>5.0099999999999999E-2</v>
      </c>
      <c r="Y101">
        <v>0.80400000000000005</v>
      </c>
    </row>
    <row r="102" spans="1:25" x14ac:dyDescent="0.3">
      <c r="A102" t="s">
        <v>391</v>
      </c>
      <c r="B102" t="s">
        <v>289</v>
      </c>
      <c r="C102" t="s">
        <v>392</v>
      </c>
      <c r="D102" t="s">
        <v>136</v>
      </c>
      <c r="E102" t="s">
        <v>135</v>
      </c>
      <c r="G102" t="s">
        <v>39</v>
      </c>
      <c r="H102" t="s">
        <v>73</v>
      </c>
      <c r="I102" t="b">
        <v>1</v>
      </c>
      <c r="J102">
        <v>1</v>
      </c>
      <c r="K102">
        <v>1</v>
      </c>
      <c r="L102">
        <v>0</v>
      </c>
      <c r="M102">
        <v>0</v>
      </c>
      <c r="N102">
        <v>15</v>
      </c>
      <c r="O102">
        <v>1</v>
      </c>
      <c r="P102" t="s">
        <v>136</v>
      </c>
      <c r="Q102">
        <v>30.2</v>
      </c>
      <c r="R102">
        <v>11</v>
      </c>
      <c r="S102" t="s">
        <v>41</v>
      </c>
      <c r="T102">
        <v>60.1</v>
      </c>
      <c r="U102">
        <v>0.38600000000000001</v>
      </c>
      <c r="V102">
        <v>67450</v>
      </c>
      <c r="W102">
        <v>0.13</v>
      </c>
      <c r="X102">
        <v>5.0099999999999999E-2</v>
      </c>
      <c r="Y102">
        <v>0.80400000000000005</v>
      </c>
    </row>
    <row r="103" spans="1:25" x14ac:dyDescent="0.3">
      <c r="A103" t="s">
        <v>393</v>
      </c>
      <c r="B103" t="s">
        <v>111</v>
      </c>
      <c r="C103" t="s">
        <v>394</v>
      </c>
      <c r="D103" t="s">
        <v>145</v>
      </c>
      <c r="E103" t="s">
        <v>125</v>
      </c>
      <c r="F103">
        <v>5300</v>
      </c>
      <c r="G103" t="s">
        <v>47</v>
      </c>
      <c r="H103" t="s">
        <v>31</v>
      </c>
      <c r="I103" t="b">
        <v>1</v>
      </c>
      <c r="J103">
        <v>2</v>
      </c>
      <c r="K103">
        <v>0</v>
      </c>
      <c r="L103">
        <v>0</v>
      </c>
      <c r="M103">
        <v>2</v>
      </c>
      <c r="N103">
        <v>66.5</v>
      </c>
      <c r="O103">
        <v>0.27500000000000002</v>
      </c>
      <c r="P103" t="s">
        <v>126</v>
      </c>
      <c r="Q103">
        <v>92.3</v>
      </c>
      <c r="R103">
        <v>2</v>
      </c>
      <c r="S103" t="s">
        <v>33</v>
      </c>
      <c r="T103">
        <v>65</v>
      </c>
      <c r="U103">
        <v>0.31900000000000001</v>
      </c>
      <c r="V103">
        <v>18100</v>
      </c>
      <c r="W103">
        <v>0.191</v>
      </c>
      <c r="X103">
        <v>6.08E-2</v>
      </c>
      <c r="Y103">
        <v>0.53400000000000003</v>
      </c>
    </row>
    <row r="104" spans="1:25" x14ac:dyDescent="0.3">
      <c r="A104" t="s">
        <v>395</v>
      </c>
      <c r="B104" t="s">
        <v>201</v>
      </c>
      <c r="C104" t="s">
        <v>396</v>
      </c>
      <c r="D104" t="s">
        <v>136</v>
      </c>
      <c r="E104" t="s">
        <v>135</v>
      </c>
      <c r="G104" t="s">
        <v>39</v>
      </c>
      <c r="H104" t="s">
        <v>73</v>
      </c>
      <c r="I104" t="b">
        <v>1</v>
      </c>
      <c r="J104">
        <v>3</v>
      </c>
      <c r="K104">
        <v>1</v>
      </c>
      <c r="L104">
        <v>1</v>
      </c>
      <c r="M104">
        <v>1</v>
      </c>
      <c r="N104">
        <v>58.8</v>
      </c>
      <c r="O104">
        <v>0.42899999999999999</v>
      </c>
      <c r="P104" t="s">
        <v>136</v>
      </c>
      <c r="Q104">
        <v>30.2</v>
      </c>
      <c r="R104">
        <v>11</v>
      </c>
      <c r="S104" t="s">
        <v>41</v>
      </c>
      <c r="T104">
        <v>60.1</v>
      </c>
      <c r="U104">
        <v>0.38600000000000001</v>
      </c>
      <c r="V104">
        <v>67450</v>
      </c>
      <c r="W104">
        <v>0.13</v>
      </c>
      <c r="X104">
        <v>5.0099999999999999E-2</v>
      </c>
      <c r="Y104">
        <v>0.80400000000000005</v>
      </c>
    </row>
    <row r="105" spans="1:25" x14ac:dyDescent="0.3">
      <c r="A105" t="s">
        <v>397</v>
      </c>
      <c r="B105" t="s">
        <v>132</v>
      </c>
      <c r="C105" t="s">
        <v>398</v>
      </c>
      <c r="D105" t="s">
        <v>294</v>
      </c>
      <c r="E105" t="s">
        <v>135</v>
      </c>
      <c r="G105" t="s">
        <v>67</v>
      </c>
      <c r="H105" t="s">
        <v>73</v>
      </c>
      <c r="I105" t="b">
        <v>1</v>
      </c>
      <c r="J105">
        <v>3</v>
      </c>
      <c r="K105">
        <v>1</v>
      </c>
      <c r="L105">
        <v>0</v>
      </c>
      <c r="M105">
        <v>2</v>
      </c>
      <c r="N105">
        <v>55.4</v>
      </c>
      <c r="O105">
        <v>0.44600000000000001</v>
      </c>
      <c r="P105" t="s">
        <v>136</v>
      </c>
      <c r="Q105">
        <v>30.2</v>
      </c>
      <c r="R105">
        <v>11</v>
      </c>
      <c r="S105" t="s">
        <v>41</v>
      </c>
      <c r="T105">
        <v>60.1</v>
      </c>
      <c r="U105">
        <v>0.38600000000000001</v>
      </c>
      <c r="V105">
        <v>67450</v>
      </c>
      <c r="W105">
        <v>0.13</v>
      </c>
      <c r="X105">
        <v>5.0099999999999999E-2</v>
      </c>
      <c r="Y105">
        <v>0.80400000000000005</v>
      </c>
    </row>
    <row r="106" spans="1:25" x14ac:dyDescent="0.3">
      <c r="A106" t="s">
        <v>399</v>
      </c>
      <c r="B106" t="s">
        <v>400</v>
      </c>
      <c r="C106" t="s">
        <v>401</v>
      </c>
      <c r="D106" t="s">
        <v>402</v>
      </c>
      <c r="E106" t="s">
        <v>66</v>
      </c>
      <c r="F106">
        <v>1200</v>
      </c>
      <c r="G106" t="s">
        <v>39</v>
      </c>
      <c r="H106" t="s">
        <v>31</v>
      </c>
      <c r="I106" t="b">
        <v>1</v>
      </c>
      <c r="J106">
        <v>1</v>
      </c>
      <c r="K106">
        <v>0</v>
      </c>
      <c r="L106">
        <v>0</v>
      </c>
      <c r="M106">
        <v>1</v>
      </c>
      <c r="N106">
        <v>55</v>
      </c>
      <c r="O106">
        <v>0.4</v>
      </c>
      <c r="P106" t="s">
        <v>68</v>
      </c>
      <c r="Q106">
        <v>12.1</v>
      </c>
      <c r="R106">
        <v>21</v>
      </c>
      <c r="S106" t="s">
        <v>41</v>
      </c>
      <c r="T106">
        <v>55</v>
      </c>
      <c r="U106">
        <v>0.44500000000000001</v>
      </c>
      <c r="V106">
        <v>2650</v>
      </c>
      <c r="W106">
        <v>2.4E-2</v>
      </c>
      <c r="X106">
        <v>1.0699999999999999E-2</v>
      </c>
      <c r="Y106">
        <v>0.59299999999999997</v>
      </c>
    </row>
    <row r="107" spans="1:25" x14ac:dyDescent="0.3">
      <c r="A107" t="s">
        <v>403</v>
      </c>
      <c r="B107" t="s">
        <v>280</v>
      </c>
      <c r="C107" t="s">
        <v>404</v>
      </c>
      <c r="D107" t="s">
        <v>405</v>
      </c>
      <c r="E107" t="s">
        <v>38</v>
      </c>
      <c r="G107" t="s">
        <v>39</v>
      </c>
      <c r="H107" t="s">
        <v>31</v>
      </c>
      <c r="I107" t="b">
        <v>1</v>
      </c>
      <c r="J107">
        <v>3</v>
      </c>
      <c r="K107">
        <v>0</v>
      </c>
      <c r="L107">
        <v>0</v>
      </c>
      <c r="M107">
        <v>3</v>
      </c>
      <c r="N107">
        <v>77.7</v>
      </c>
      <c r="O107">
        <v>0.15</v>
      </c>
      <c r="P107" t="s">
        <v>40</v>
      </c>
      <c r="Q107">
        <v>8.6999999999999993</v>
      </c>
      <c r="R107">
        <v>23</v>
      </c>
      <c r="S107" t="s">
        <v>41</v>
      </c>
      <c r="T107">
        <v>60.8</v>
      </c>
      <c r="U107">
        <v>0.36799999999999999</v>
      </c>
      <c r="V107">
        <v>20700</v>
      </c>
      <c r="W107">
        <v>4.9000000000000002E-2</v>
      </c>
      <c r="X107">
        <v>1.8100000000000002E-2</v>
      </c>
      <c r="Y107">
        <v>0.81100000000000005</v>
      </c>
    </row>
    <row r="108" spans="1:25" x14ac:dyDescent="0.3">
      <c r="A108" t="s">
        <v>406</v>
      </c>
      <c r="B108" t="s">
        <v>183</v>
      </c>
      <c r="C108" t="s">
        <v>407</v>
      </c>
      <c r="D108" t="s">
        <v>408</v>
      </c>
      <c r="E108" t="s">
        <v>409</v>
      </c>
      <c r="G108" t="s">
        <v>47</v>
      </c>
      <c r="H108" t="s">
        <v>31</v>
      </c>
      <c r="I108" t="b">
        <v>1</v>
      </c>
      <c r="J108">
        <v>2</v>
      </c>
      <c r="K108">
        <v>0</v>
      </c>
      <c r="L108">
        <v>0</v>
      </c>
      <c r="M108">
        <v>2</v>
      </c>
      <c r="N108">
        <v>47.3</v>
      </c>
      <c r="O108">
        <v>0.63200000000000001</v>
      </c>
      <c r="P108" t="s">
        <v>410</v>
      </c>
      <c r="Q108">
        <v>77.5</v>
      </c>
      <c r="R108">
        <v>4</v>
      </c>
      <c r="S108" t="s">
        <v>33</v>
      </c>
      <c r="T108">
        <v>47.3</v>
      </c>
      <c r="U108">
        <v>0.63200000000000001</v>
      </c>
      <c r="V108">
        <v>7500</v>
      </c>
      <c r="W108">
        <v>7.9000000000000001E-2</v>
      </c>
      <c r="X108">
        <v>4.99E-2</v>
      </c>
      <c r="Y108">
        <v>0.52200000000000002</v>
      </c>
    </row>
    <row r="109" spans="1:25" x14ac:dyDescent="0.3">
      <c r="A109" t="s">
        <v>411</v>
      </c>
      <c r="B109" t="s">
        <v>160</v>
      </c>
      <c r="C109" t="s">
        <v>412</v>
      </c>
      <c r="D109" t="s">
        <v>162</v>
      </c>
      <c r="E109" t="s">
        <v>163</v>
      </c>
      <c r="G109" t="s">
        <v>39</v>
      </c>
      <c r="H109" t="s">
        <v>73</v>
      </c>
      <c r="I109" t="b">
        <v>1</v>
      </c>
      <c r="J109">
        <v>1</v>
      </c>
      <c r="K109">
        <v>0</v>
      </c>
      <c r="L109">
        <v>0</v>
      </c>
      <c r="M109">
        <v>1</v>
      </c>
      <c r="N109">
        <v>75</v>
      </c>
      <c r="O109">
        <v>0.2</v>
      </c>
      <c r="P109" t="s">
        <v>162</v>
      </c>
      <c r="Q109">
        <v>7.7</v>
      </c>
      <c r="R109">
        <v>24</v>
      </c>
      <c r="S109" t="s">
        <v>41</v>
      </c>
      <c r="T109">
        <v>76.5</v>
      </c>
      <c r="U109">
        <v>0.185</v>
      </c>
      <c r="V109">
        <v>10950</v>
      </c>
      <c r="W109">
        <v>9.0999999999999998E-2</v>
      </c>
      <c r="X109">
        <v>1.6899999999999998E-2</v>
      </c>
      <c r="Y109">
        <v>0.81399999999999995</v>
      </c>
    </row>
    <row r="110" spans="1:25" x14ac:dyDescent="0.3">
      <c r="A110" t="s">
        <v>413</v>
      </c>
      <c r="B110" t="s">
        <v>414</v>
      </c>
      <c r="C110" t="s">
        <v>415</v>
      </c>
      <c r="D110" t="s">
        <v>416</v>
      </c>
      <c r="E110" t="s">
        <v>29</v>
      </c>
      <c r="G110" t="s">
        <v>30</v>
      </c>
      <c r="H110" t="s">
        <v>31</v>
      </c>
      <c r="I110" t="b">
        <v>1</v>
      </c>
      <c r="J110">
        <v>3</v>
      </c>
      <c r="K110">
        <v>0</v>
      </c>
      <c r="L110">
        <v>0</v>
      </c>
      <c r="M110">
        <v>3</v>
      </c>
      <c r="N110">
        <v>68.3</v>
      </c>
      <c r="O110">
        <v>0.26700000000000002</v>
      </c>
      <c r="P110" t="s">
        <v>32</v>
      </c>
      <c r="Q110">
        <v>100</v>
      </c>
      <c r="R110">
        <v>1</v>
      </c>
      <c r="S110" t="s">
        <v>33</v>
      </c>
      <c r="T110">
        <v>66.900000000000006</v>
      </c>
      <c r="U110">
        <v>0.27100000000000002</v>
      </c>
      <c r="V110">
        <v>30000</v>
      </c>
      <c r="W110">
        <v>0.27300000000000002</v>
      </c>
      <c r="X110">
        <v>7.3899999999999993E-2</v>
      </c>
      <c r="Y110">
        <v>0.58599999999999997</v>
      </c>
    </row>
    <row r="111" spans="1:25" x14ac:dyDescent="0.3">
      <c r="A111" t="s">
        <v>417</v>
      </c>
      <c r="B111" t="s">
        <v>51</v>
      </c>
      <c r="C111" t="s">
        <v>418</v>
      </c>
      <c r="D111" t="s">
        <v>190</v>
      </c>
      <c r="E111" t="s">
        <v>191</v>
      </c>
      <c r="F111">
        <v>3500</v>
      </c>
      <c r="G111" t="s">
        <v>30</v>
      </c>
      <c r="H111" t="s">
        <v>31</v>
      </c>
      <c r="I111" t="b">
        <v>1</v>
      </c>
      <c r="J111">
        <v>2</v>
      </c>
      <c r="K111">
        <v>0</v>
      </c>
      <c r="L111">
        <v>0</v>
      </c>
      <c r="M111">
        <v>2</v>
      </c>
      <c r="N111">
        <v>66.5</v>
      </c>
      <c r="O111">
        <v>0.27500000000000002</v>
      </c>
      <c r="P111" t="s">
        <v>190</v>
      </c>
      <c r="Q111">
        <v>40.299999999999997</v>
      </c>
      <c r="R111">
        <v>8</v>
      </c>
      <c r="S111" t="s">
        <v>39</v>
      </c>
      <c r="T111">
        <v>68.099999999999994</v>
      </c>
      <c r="U111">
        <v>0.254</v>
      </c>
      <c r="V111">
        <v>15750</v>
      </c>
      <c r="W111">
        <v>0.21</v>
      </c>
      <c r="X111">
        <v>5.33E-2</v>
      </c>
      <c r="Y111">
        <v>0.76</v>
      </c>
    </row>
    <row r="112" spans="1:25" x14ac:dyDescent="0.3">
      <c r="A112" t="s">
        <v>419</v>
      </c>
      <c r="B112" t="s">
        <v>147</v>
      </c>
      <c r="C112" t="s">
        <v>420</v>
      </c>
      <c r="D112" t="s">
        <v>421</v>
      </c>
      <c r="E112" t="s">
        <v>119</v>
      </c>
      <c r="F112">
        <v>300</v>
      </c>
      <c r="G112" t="s">
        <v>67</v>
      </c>
      <c r="H112" t="s">
        <v>31</v>
      </c>
      <c r="I112" t="b">
        <v>1</v>
      </c>
      <c r="J112">
        <v>4</v>
      </c>
      <c r="K112">
        <v>0</v>
      </c>
      <c r="L112">
        <v>1</v>
      </c>
      <c r="M112">
        <v>3</v>
      </c>
      <c r="N112">
        <v>81.5</v>
      </c>
      <c r="O112">
        <v>0.115</v>
      </c>
      <c r="P112" t="s">
        <v>120</v>
      </c>
      <c r="Q112">
        <v>17.8</v>
      </c>
      <c r="R112">
        <v>16</v>
      </c>
      <c r="S112" t="s">
        <v>41</v>
      </c>
      <c r="T112">
        <v>77</v>
      </c>
      <c r="U112">
        <v>0.16400000000000001</v>
      </c>
      <c r="V112">
        <v>31300</v>
      </c>
      <c r="W112">
        <v>0.125</v>
      </c>
      <c r="X112">
        <v>2.0500000000000001E-2</v>
      </c>
      <c r="Y112">
        <v>0.70499999999999996</v>
      </c>
    </row>
    <row r="113" spans="1:25" x14ac:dyDescent="0.3">
      <c r="A113" t="s">
        <v>422</v>
      </c>
      <c r="B113" t="s">
        <v>423</v>
      </c>
      <c r="C113" t="s">
        <v>424</v>
      </c>
      <c r="D113" t="s">
        <v>425</v>
      </c>
      <c r="E113" t="s">
        <v>119</v>
      </c>
      <c r="G113" t="s">
        <v>39</v>
      </c>
      <c r="H113" t="s">
        <v>73</v>
      </c>
      <c r="I113" t="b">
        <v>1</v>
      </c>
      <c r="J113">
        <v>3</v>
      </c>
      <c r="K113">
        <v>0</v>
      </c>
      <c r="L113">
        <v>0</v>
      </c>
      <c r="M113">
        <v>3</v>
      </c>
      <c r="N113">
        <v>77.7</v>
      </c>
      <c r="O113">
        <v>0.15</v>
      </c>
      <c r="P113" t="s">
        <v>120</v>
      </c>
      <c r="Q113">
        <v>17.8</v>
      </c>
      <c r="R113">
        <v>16</v>
      </c>
      <c r="S113" t="s">
        <v>41</v>
      </c>
      <c r="T113">
        <v>77</v>
      </c>
      <c r="U113">
        <v>0.16400000000000001</v>
      </c>
      <c r="V113">
        <v>31300</v>
      </c>
      <c r="W113">
        <v>0.125</v>
      </c>
      <c r="X113">
        <v>2.0500000000000001E-2</v>
      </c>
      <c r="Y113">
        <v>0.70499999999999996</v>
      </c>
    </row>
    <row r="114" spans="1:25" x14ac:dyDescent="0.3">
      <c r="A114" t="s">
        <v>426</v>
      </c>
      <c r="B114" t="s">
        <v>336</v>
      </c>
      <c r="C114" t="s">
        <v>427</v>
      </c>
      <c r="D114" t="s">
        <v>338</v>
      </c>
      <c r="E114" t="s">
        <v>141</v>
      </c>
      <c r="G114" t="s">
        <v>47</v>
      </c>
      <c r="H114" t="s">
        <v>31</v>
      </c>
      <c r="I114" t="b">
        <v>1</v>
      </c>
      <c r="J114">
        <v>3</v>
      </c>
      <c r="K114">
        <v>0</v>
      </c>
      <c r="L114">
        <v>0</v>
      </c>
      <c r="M114">
        <v>3</v>
      </c>
      <c r="N114">
        <v>77.400000000000006</v>
      </c>
      <c r="O114">
        <v>0.156</v>
      </c>
      <c r="P114" t="s">
        <v>142</v>
      </c>
      <c r="Q114">
        <v>15.8</v>
      </c>
      <c r="R114">
        <v>17</v>
      </c>
      <c r="S114" t="s">
        <v>41</v>
      </c>
      <c r="T114">
        <v>78.2</v>
      </c>
      <c r="U114">
        <v>0.15</v>
      </c>
      <c r="V114">
        <v>22500</v>
      </c>
      <c r="W114">
        <v>0.10199999999999999</v>
      </c>
      <c r="X114">
        <v>1.5299999999999999E-2</v>
      </c>
      <c r="Y114">
        <v>0.64500000000000002</v>
      </c>
    </row>
    <row r="115" spans="1:25" x14ac:dyDescent="0.3">
      <c r="A115" s="2" t="s">
        <v>25</v>
      </c>
      <c r="B115" s="2" t="s">
        <v>26</v>
      </c>
      <c r="C115" s="2" t="s">
        <v>27</v>
      </c>
      <c r="D115" s="2" t="s">
        <v>28</v>
      </c>
      <c r="E115" s="2" t="s">
        <v>29</v>
      </c>
      <c r="F115" s="2">
        <v>3200</v>
      </c>
      <c r="G115" s="2" t="s">
        <v>30</v>
      </c>
      <c r="H115" s="2" t="s">
        <v>31</v>
      </c>
      <c r="I115" s="2" t="b">
        <v>1</v>
      </c>
      <c r="J115" s="2">
        <v>2</v>
      </c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x14ac:dyDescent="0.3">
      <c r="A116" s="2" t="s">
        <v>34</v>
      </c>
      <c r="B116" s="2" t="s">
        <v>35</v>
      </c>
      <c r="C116" s="2" t="s">
        <v>36</v>
      </c>
      <c r="D116" s="2" t="s">
        <v>37</v>
      </c>
      <c r="E116" s="2" t="s">
        <v>38</v>
      </c>
      <c r="F116" s="2">
        <v>1200</v>
      </c>
      <c r="G116" s="2" t="s">
        <v>39</v>
      </c>
      <c r="H116" s="2" t="s">
        <v>31</v>
      </c>
      <c r="I116" s="2" t="b">
        <v>1</v>
      </c>
      <c r="J116" s="2">
        <v>1</v>
      </c>
      <c r="K116" s="2"/>
      <c r="L116" s="2"/>
      <c r="M116" s="2"/>
      <c r="N116" s="2"/>
      <c r="O116" s="2"/>
      <c r="P116" s="2" t="s">
        <v>40</v>
      </c>
      <c r="Q116" s="2">
        <v>22.8</v>
      </c>
      <c r="R116" s="2">
        <v>7</v>
      </c>
      <c r="S116" s="2" t="s">
        <v>41</v>
      </c>
      <c r="T116" s="2">
        <v>68.5</v>
      </c>
      <c r="U116" s="2">
        <v>0.26200000000000001</v>
      </c>
      <c r="V116" s="2">
        <v>49000</v>
      </c>
      <c r="W116" s="2">
        <v>0.11700000000000001</v>
      </c>
      <c r="X116" s="2">
        <v>3.0599999999999999E-2</v>
      </c>
      <c r="Y116" s="2">
        <v>0.85799999999999998</v>
      </c>
    </row>
    <row r="117" spans="1:25" x14ac:dyDescent="0.3">
      <c r="A117" s="2" t="s">
        <v>42</v>
      </c>
      <c r="B117" s="2" t="s">
        <v>43</v>
      </c>
      <c r="C117" s="2" t="s">
        <v>44</v>
      </c>
      <c r="D117" s="2" t="s">
        <v>45</v>
      </c>
      <c r="E117" s="2" t="s">
        <v>46</v>
      </c>
      <c r="F117" s="2">
        <v>8000</v>
      </c>
      <c r="G117" s="2" t="s">
        <v>47</v>
      </c>
      <c r="H117" s="2" t="s">
        <v>48</v>
      </c>
      <c r="I117" s="2" t="b">
        <v>1</v>
      </c>
      <c r="J117" s="2">
        <v>4</v>
      </c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x14ac:dyDescent="0.3">
      <c r="A118" s="2" t="s">
        <v>50</v>
      </c>
      <c r="B118" s="2" t="s">
        <v>51</v>
      </c>
      <c r="C118" s="2" t="s">
        <v>52</v>
      </c>
      <c r="D118" s="2" t="s">
        <v>53</v>
      </c>
      <c r="E118" s="2" t="s">
        <v>54</v>
      </c>
      <c r="F118" s="2"/>
      <c r="G118" s="2" t="s">
        <v>30</v>
      </c>
      <c r="H118" s="2" t="s">
        <v>31</v>
      </c>
      <c r="I118" s="2" t="b">
        <v>1</v>
      </c>
      <c r="J118" s="2">
        <v>1</v>
      </c>
      <c r="K118" s="2">
        <v>1</v>
      </c>
      <c r="L118" s="2">
        <v>0</v>
      </c>
      <c r="M118" s="2">
        <v>0</v>
      </c>
      <c r="N118" s="2">
        <v>15</v>
      </c>
      <c r="O118" s="2">
        <v>1</v>
      </c>
      <c r="P118" s="2" t="s">
        <v>55</v>
      </c>
      <c r="Q118" s="2">
        <v>92</v>
      </c>
      <c r="R118" s="2">
        <v>2</v>
      </c>
      <c r="S118" s="2" t="s">
        <v>33</v>
      </c>
      <c r="T118" s="2">
        <v>69</v>
      </c>
      <c r="U118" s="2">
        <v>0.254</v>
      </c>
      <c r="V118" s="2">
        <v>71000</v>
      </c>
      <c r="W118" s="2">
        <v>0.35499999999999998</v>
      </c>
      <c r="X118" s="2">
        <v>9.0200000000000002E-2</v>
      </c>
      <c r="Y118" s="2">
        <v>0.82799999999999996</v>
      </c>
    </row>
    <row r="119" spans="1:25" x14ac:dyDescent="0.3">
      <c r="A119" s="2" t="s">
        <v>56</v>
      </c>
      <c r="B119" s="2" t="s">
        <v>57</v>
      </c>
      <c r="C119" s="2" t="s">
        <v>58</v>
      </c>
      <c r="D119" s="2" t="s">
        <v>59</v>
      </c>
      <c r="E119" s="2" t="s">
        <v>60</v>
      </c>
      <c r="F119" s="2"/>
      <c r="G119" s="2" t="s">
        <v>30</v>
      </c>
      <c r="H119" s="2" t="s">
        <v>31</v>
      </c>
      <c r="I119" s="2" t="b">
        <v>1</v>
      </c>
      <c r="J119" s="2">
        <v>2</v>
      </c>
      <c r="K119" s="2">
        <v>1</v>
      </c>
      <c r="L119" s="2">
        <v>0</v>
      </c>
      <c r="M119" s="2">
        <v>1</v>
      </c>
      <c r="N119" s="2">
        <v>43.5</v>
      </c>
      <c r="O119" s="2">
        <v>0.625</v>
      </c>
      <c r="P119" s="2" t="s">
        <v>61</v>
      </c>
      <c r="Q119" s="2">
        <v>11.7</v>
      </c>
      <c r="R119" s="2">
        <v>10</v>
      </c>
      <c r="S119" s="2" t="s">
        <v>41</v>
      </c>
      <c r="T119" s="2">
        <v>68</v>
      </c>
      <c r="U119" s="2">
        <v>0.27500000000000002</v>
      </c>
      <c r="V119" s="2">
        <v>11050</v>
      </c>
      <c r="W119" s="2">
        <v>6.0999999999999999E-2</v>
      </c>
      <c r="X119" s="2">
        <v>1.6899999999999998E-2</v>
      </c>
      <c r="Y119" s="2">
        <v>0.85399999999999998</v>
      </c>
    </row>
    <row r="120" spans="1:25" x14ac:dyDescent="0.3">
      <c r="A120" s="2" t="s">
        <v>62</v>
      </c>
      <c r="B120" s="2" t="s">
        <v>63</v>
      </c>
      <c r="C120" s="2" t="s">
        <v>64</v>
      </c>
      <c r="D120" s="2" t="s">
        <v>65</v>
      </c>
      <c r="E120" s="2" t="s">
        <v>66</v>
      </c>
      <c r="F120" s="2"/>
      <c r="G120" s="2" t="s">
        <v>67</v>
      </c>
      <c r="H120" s="2" t="s">
        <v>31</v>
      </c>
      <c r="I120" s="2" t="b">
        <v>1</v>
      </c>
      <c r="J120" s="2">
        <v>1</v>
      </c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x14ac:dyDescent="0.3">
      <c r="A121" s="2" t="s">
        <v>69</v>
      </c>
      <c r="B121" s="2" t="s">
        <v>70</v>
      </c>
      <c r="C121" s="2" t="s">
        <v>71</v>
      </c>
      <c r="D121" s="2" t="s">
        <v>72</v>
      </c>
      <c r="E121" s="2" t="s">
        <v>38</v>
      </c>
      <c r="F121" s="2"/>
      <c r="G121" s="2" t="s">
        <v>39</v>
      </c>
      <c r="H121" s="2" t="s">
        <v>73</v>
      </c>
      <c r="I121" s="2" t="b">
        <v>1</v>
      </c>
      <c r="J121" s="2">
        <v>2</v>
      </c>
      <c r="K121" s="2">
        <v>0</v>
      </c>
      <c r="L121" s="2">
        <v>0</v>
      </c>
      <c r="M121" s="2">
        <v>2</v>
      </c>
      <c r="N121" s="2">
        <v>73.5</v>
      </c>
      <c r="O121" s="2">
        <v>0.22500000000000001</v>
      </c>
      <c r="P121" s="2" t="s">
        <v>40</v>
      </c>
      <c r="Q121" s="2">
        <v>22.8</v>
      </c>
      <c r="R121" s="2">
        <v>7</v>
      </c>
      <c r="S121" s="2" t="s">
        <v>41</v>
      </c>
      <c r="T121" s="2">
        <v>68.5</v>
      </c>
      <c r="U121" s="2">
        <v>0.26200000000000001</v>
      </c>
      <c r="V121" s="2">
        <v>49000</v>
      </c>
      <c r="W121" s="2">
        <v>0.11700000000000001</v>
      </c>
      <c r="X121" s="2">
        <v>3.0599999999999999E-2</v>
      </c>
      <c r="Y121" s="2">
        <v>0.85799999999999998</v>
      </c>
    </row>
    <row r="122" spans="1:25" x14ac:dyDescent="0.3">
      <c r="A122" s="2" t="s">
        <v>74</v>
      </c>
      <c r="B122" s="2" t="s">
        <v>75</v>
      </c>
      <c r="C122" s="2" t="s">
        <v>76</v>
      </c>
      <c r="D122" s="2" t="s">
        <v>77</v>
      </c>
      <c r="E122" s="2" t="s">
        <v>78</v>
      </c>
      <c r="F122" s="2"/>
      <c r="G122" s="2" t="s">
        <v>39</v>
      </c>
      <c r="H122" s="2" t="s">
        <v>73</v>
      </c>
      <c r="I122" s="2" t="b">
        <v>1</v>
      </c>
      <c r="J122" s="2">
        <v>4</v>
      </c>
      <c r="K122" s="2"/>
      <c r="L122" s="2"/>
      <c r="M122" s="2"/>
      <c r="N122" s="2"/>
      <c r="O122" s="2"/>
      <c r="P122" s="2" t="s">
        <v>79</v>
      </c>
      <c r="Q122" s="2">
        <v>16.7</v>
      </c>
      <c r="R122" s="2">
        <v>9</v>
      </c>
      <c r="S122" s="2" t="s">
        <v>41</v>
      </c>
      <c r="T122" s="2">
        <v>58.4</v>
      </c>
      <c r="U122" s="2">
        <v>0.42299999999999999</v>
      </c>
      <c r="V122" s="2">
        <v>3500</v>
      </c>
      <c r="W122" s="2">
        <v>2.1999999999999999E-2</v>
      </c>
      <c r="X122" s="2">
        <v>9.2999999999999992E-3</v>
      </c>
      <c r="Y122" s="2">
        <v>0.64</v>
      </c>
    </row>
    <row r="123" spans="1:25" x14ac:dyDescent="0.3">
      <c r="A123" s="2" t="s">
        <v>80</v>
      </c>
      <c r="B123" s="2" t="s">
        <v>81</v>
      </c>
      <c r="C123" s="2" t="s">
        <v>82</v>
      </c>
      <c r="D123" s="2" t="s">
        <v>83</v>
      </c>
      <c r="E123" s="2" t="s">
        <v>60</v>
      </c>
      <c r="F123" s="2">
        <v>6000</v>
      </c>
      <c r="G123" s="2" t="s">
        <v>47</v>
      </c>
      <c r="H123" s="2" t="s">
        <v>31</v>
      </c>
      <c r="I123" s="2" t="b">
        <v>1</v>
      </c>
      <c r="J123" s="2">
        <v>3</v>
      </c>
      <c r="K123" s="2"/>
      <c r="L123" s="2"/>
      <c r="M123" s="2"/>
      <c r="N123" s="2"/>
      <c r="O123" s="2"/>
      <c r="P123" s="2" t="s">
        <v>61</v>
      </c>
      <c r="Q123" s="2">
        <v>11.7</v>
      </c>
      <c r="R123" s="2">
        <v>10</v>
      </c>
      <c r="S123" s="2" t="s">
        <v>41</v>
      </c>
      <c r="T123" s="2">
        <v>68</v>
      </c>
      <c r="U123" s="2">
        <v>0.27500000000000002</v>
      </c>
      <c r="V123" s="2">
        <v>11050</v>
      </c>
      <c r="W123" s="2">
        <v>6.0999999999999999E-2</v>
      </c>
      <c r="X123" s="2">
        <v>1.6899999999999998E-2</v>
      </c>
      <c r="Y123" s="2">
        <v>0.85399999999999998</v>
      </c>
    </row>
    <row r="124" spans="1:25" x14ac:dyDescent="0.3">
      <c r="A124" s="2" t="s">
        <v>84</v>
      </c>
      <c r="B124" s="2" t="s">
        <v>85</v>
      </c>
      <c r="C124" s="2" t="s">
        <v>86</v>
      </c>
      <c r="D124" s="2" t="s">
        <v>87</v>
      </c>
      <c r="E124" s="2" t="s">
        <v>88</v>
      </c>
      <c r="F124" s="2"/>
      <c r="G124" s="2" t="s">
        <v>39</v>
      </c>
      <c r="H124" s="2" t="s">
        <v>31</v>
      </c>
      <c r="I124" s="2" t="b">
        <v>1</v>
      </c>
      <c r="J124" s="2">
        <v>1</v>
      </c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x14ac:dyDescent="0.3">
      <c r="A125" s="2" t="s">
        <v>90</v>
      </c>
      <c r="B125" s="2" t="s">
        <v>51</v>
      </c>
      <c r="C125" s="2" t="s">
        <v>91</v>
      </c>
      <c r="D125" s="2" t="s">
        <v>53</v>
      </c>
      <c r="E125" s="2" t="s">
        <v>54</v>
      </c>
      <c r="F125" s="2"/>
      <c r="G125" s="2" t="s">
        <v>30</v>
      </c>
      <c r="H125" s="2" t="s">
        <v>31</v>
      </c>
      <c r="I125" s="2" t="b">
        <v>1</v>
      </c>
      <c r="J125" s="2">
        <v>1</v>
      </c>
      <c r="K125" s="2"/>
      <c r="L125" s="2"/>
      <c r="M125" s="2"/>
      <c r="N125" s="2"/>
      <c r="O125" s="2"/>
      <c r="P125" s="2" t="s">
        <v>55</v>
      </c>
      <c r="Q125" s="2">
        <v>92</v>
      </c>
      <c r="R125" s="2">
        <v>2</v>
      </c>
      <c r="S125" s="2" t="s">
        <v>33</v>
      </c>
      <c r="T125" s="2">
        <v>69</v>
      </c>
      <c r="U125" s="2">
        <v>0.254</v>
      </c>
      <c r="V125" s="2">
        <v>71000</v>
      </c>
      <c r="W125" s="2">
        <v>0.35499999999999998</v>
      </c>
      <c r="X125" s="2">
        <v>9.0200000000000002E-2</v>
      </c>
      <c r="Y125" s="2">
        <v>0.82799999999999996</v>
      </c>
    </row>
    <row r="126" spans="1:25" x14ac:dyDescent="0.3">
      <c r="A126" s="2" t="s">
        <v>92</v>
      </c>
      <c r="B126" s="2" t="s">
        <v>51</v>
      </c>
      <c r="C126" s="2" t="s">
        <v>93</v>
      </c>
      <c r="D126" s="2" t="s">
        <v>94</v>
      </c>
      <c r="E126" s="2" t="s">
        <v>54</v>
      </c>
      <c r="F126" s="2">
        <v>60000</v>
      </c>
      <c r="G126" s="2" t="s">
        <v>47</v>
      </c>
      <c r="H126" s="2" t="s">
        <v>48</v>
      </c>
      <c r="I126" s="2" t="b">
        <v>1</v>
      </c>
      <c r="J126" s="2">
        <v>3</v>
      </c>
      <c r="K126" s="2"/>
      <c r="L126" s="2"/>
      <c r="M126" s="2"/>
      <c r="N126" s="2"/>
      <c r="O126" s="2"/>
      <c r="P126" s="2" t="s">
        <v>55</v>
      </c>
      <c r="Q126" s="2">
        <v>92</v>
      </c>
      <c r="R126" s="2">
        <v>2</v>
      </c>
      <c r="S126" s="2" t="s">
        <v>33</v>
      </c>
      <c r="T126" s="2">
        <v>69</v>
      </c>
      <c r="U126" s="2">
        <v>0.254</v>
      </c>
      <c r="V126" s="2">
        <v>71000</v>
      </c>
      <c r="W126" s="2">
        <v>0.35499999999999998</v>
      </c>
      <c r="X126" s="2">
        <v>9.0200000000000002E-2</v>
      </c>
      <c r="Y126" s="2">
        <v>0.82799999999999996</v>
      </c>
    </row>
    <row r="127" spans="1:25" x14ac:dyDescent="0.3">
      <c r="A127" s="2" t="s">
        <v>95</v>
      </c>
      <c r="B127" s="2" t="s">
        <v>96</v>
      </c>
      <c r="C127" s="2" t="s">
        <v>97</v>
      </c>
      <c r="D127" s="2" t="s">
        <v>98</v>
      </c>
      <c r="E127" s="2" t="s">
        <v>99</v>
      </c>
      <c r="F127" s="2"/>
      <c r="G127" s="2" t="s">
        <v>47</v>
      </c>
      <c r="H127" s="2" t="s">
        <v>31</v>
      </c>
      <c r="I127" s="2" t="b">
        <v>1</v>
      </c>
      <c r="J127" s="2">
        <v>4</v>
      </c>
      <c r="K127" s="2">
        <v>0</v>
      </c>
      <c r="L127" s="2">
        <v>0</v>
      </c>
      <c r="M127" s="2">
        <v>4</v>
      </c>
      <c r="N127" s="2">
        <v>71</v>
      </c>
      <c r="O127" s="2">
        <v>0.224</v>
      </c>
      <c r="P127" s="2" t="s">
        <v>98</v>
      </c>
      <c r="Q127" s="2">
        <v>11.1</v>
      </c>
      <c r="R127" s="2">
        <v>12</v>
      </c>
      <c r="S127" s="2" t="s">
        <v>41</v>
      </c>
      <c r="T127" s="2">
        <v>71</v>
      </c>
      <c r="U127" s="2">
        <v>0.224</v>
      </c>
      <c r="V127" s="2">
        <v>7500</v>
      </c>
      <c r="W127" s="2">
        <v>4.2000000000000003E-2</v>
      </c>
      <c r="X127" s="2">
        <v>9.2999999999999992E-3</v>
      </c>
      <c r="Y127" s="2">
        <v>0.74099999999999999</v>
      </c>
    </row>
    <row r="128" spans="1:25" x14ac:dyDescent="0.3">
      <c r="A128" s="2" t="s">
        <v>100</v>
      </c>
      <c r="B128" s="2" t="s">
        <v>101</v>
      </c>
      <c r="C128" s="2" t="s">
        <v>102</v>
      </c>
      <c r="D128" s="2" t="s">
        <v>103</v>
      </c>
      <c r="E128" s="2" t="s">
        <v>29</v>
      </c>
      <c r="F128" s="2">
        <v>12000</v>
      </c>
      <c r="G128" s="2" t="s">
        <v>47</v>
      </c>
      <c r="H128" s="2" t="s">
        <v>31</v>
      </c>
      <c r="I128" s="2" t="b">
        <v>1</v>
      </c>
      <c r="J128" s="2">
        <v>2</v>
      </c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x14ac:dyDescent="0.3">
      <c r="A129" s="2" t="s">
        <v>104</v>
      </c>
      <c r="B129" s="2" t="s">
        <v>105</v>
      </c>
      <c r="C129" s="2" t="s">
        <v>106</v>
      </c>
      <c r="D129" s="2" t="s">
        <v>107</v>
      </c>
      <c r="E129" s="2" t="s">
        <v>108</v>
      </c>
      <c r="F129" s="2">
        <v>18000</v>
      </c>
      <c r="G129" s="2" t="s">
        <v>47</v>
      </c>
      <c r="H129" s="2" t="s">
        <v>48</v>
      </c>
      <c r="I129" s="2" t="b">
        <v>1</v>
      </c>
      <c r="J129" s="2">
        <v>4</v>
      </c>
      <c r="K129" s="2">
        <v>0</v>
      </c>
      <c r="L129" s="2">
        <v>0</v>
      </c>
      <c r="M129" s="2">
        <v>4</v>
      </c>
      <c r="N129" s="2">
        <v>71.2</v>
      </c>
      <c r="O129" s="2">
        <v>0.223</v>
      </c>
      <c r="P129" s="2" t="s">
        <v>109</v>
      </c>
      <c r="Q129" s="2">
        <v>100</v>
      </c>
      <c r="R129" s="2">
        <v>1</v>
      </c>
      <c r="S129" s="2" t="s">
        <v>33</v>
      </c>
      <c r="T129" s="2">
        <v>73.3</v>
      </c>
      <c r="U129" s="2">
        <v>0.20300000000000001</v>
      </c>
      <c r="V129" s="2">
        <v>25000</v>
      </c>
      <c r="W129" s="2">
        <v>0.22700000000000001</v>
      </c>
      <c r="X129" s="2">
        <v>4.6100000000000002E-2</v>
      </c>
      <c r="Y129" s="2">
        <v>0.63600000000000001</v>
      </c>
    </row>
    <row r="130" spans="1:25" x14ac:dyDescent="0.3">
      <c r="A130" s="2" t="s">
        <v>110</v>
      </c>
      <c r="B130" s="2" t="s">
        <v>111</v>
      </c>
      <c r="C130" s="2" t="s">
        <v>112</v>
      </c>
      <c r="D130" s="2" t="s">
        <v>113</v>
      </c>
      <c r="E130" s="2" t="s">
        <v>114</v>
      </c>
      <c r="F130" s="2">
        <v>3500</v>
      </c>
      <c r="G130" s="2" t="s">
        <v>30</v>
      </c>
      <c r="H130" s="2" t="s">
        <v>31</v>
      </c>
      <c r="I130" s="2" t="b">
        <v>1</v>
      </c>
      <c r="J130" s="2">
        <v>1</v>
      </c>
      <c r="K130" s="2"/>
      <c r="L130" s="2"/>
      <c r="M130" s="2"/>
      <c r="N130" s="2"/>
      <c r="O130" s="2"/>
      <c r="P130" s="2" t="s">
        <v>113</v>
      </c>
      <c r="Q130" s="2">
        <v>4.3</v>
      </c>
      <c r="R130" s="2">
        <v>14</v>
      </c>
      <c r="S130" s="2" t="s">
        <v>41</v>
      </c>
      <c r="T130" s="2">
        <v>64.5</v>
      </c>
      <c r="U130" s="2">
        <v>0.29699999999999999</v>
      </c>
      <c r="V130" s="2">
        <v>4000</v>
      </c>
      <c r="W130" s="2">
        <v>1.2999999999999999E-2</v>
      </c>
      <c r="X130" s="2">
        <v>4.0000000000000001E-3</v>
      </c>
      <c r="Y130" s="2">
        <v>0.67300000000000004</v>
      </c>
    </row>
    <row r="131" spans="1:25" x14ac:dyDescent="0.3">
      <c r="A131" s="2" t="s">
        <v>115</v>
      </c>
      <c r="B131" s="2" t="s">
        <v>116</v>
      </c>
      <c r="C131" s="2" t="s">
        <v>117</v>
      </c>
      <c r="D131" s="2" t="s">
        <v>118</v>
      </c>
      <c r="E131" s="2" t="s">
        <v>119</v>
      </c>
      <c r="F131" s="2"/>
      <c r="G131" s="2" t="s">
        <v>47</v>
      </c>
      <c r="H131" s="2" t="s">
        <v>31</v>
      </c>
      <c r="I131" s="2" t="b">
        <v>1</v>
      </c>
      <c r="J131" s="2">
        <v>1</v>
      </c>
      <c r="K131" s="2">
        <v>0</v>
      </c>
      <c r="L131" s="2">
        <v>0</v>
      </c>
      <c r="M131" s="2">
        <v>1</v>
      </c>
      <c r="N131" s="2">
        <v>78</v>
      </c>
      <c r="O131" s="2">
        <v>0.15</v>
      </c>
      <c r="P131" s="2" t="s">
        <v>120</v>
      </c>
      <c r="Q131" s="2">
        <v>27.8</v>
      </c>
      <c r="R131" s="2">
        <v>5</v>
      </c>
      <c r="S131" s="2" t="s">
        <v>41</v>
      </c>
      <c r="T131" s="2">
        <v>73.900000000000006</v>
      </c>
      <c r="U131" s="2">
        <v>0.20599999999999999</v>
      </c>
      <c r="V131" s="2">
        <v>19750</v>
      </c>
      <c r="W131" s="2">
        <v>7.9000000000000001E-2</v>
      </c>
      <c r="X131" s="2">
        <v>1.6299999999999999E-2</v>
      </c>
      <c r="Y131" s="2">
        <v>0.68600000000000005</v>
      </c>
    </row>
    <row r="132" spans="1:25" x14ac:dyDescent="0.3">
      <c r="A132" s="2" t="s">
        <v>121</v>
      </c>
      <c r="B132" s="2" t="s">
        <v>122</v>
      </c>
      <c r="C132" s="2" t="s">
        <v>123</v>
      </c>
      <c r="D132" s="2" t="s">
        <v>124</v>
      </c>
      <c r="E132" s="2" t="s">
        <v>125</v>
      </c>
      <c r="F132" s="2"/>
      <c r="G132" s="2" t="s">
        <v>39</v>
      </c>
      <c r="H132" s="2" t="s">
        <v>31</v>
      </c>
      <c r="I132" s="2" t="b">
        <v>1</v>
      </c>
      <c r="J132" s="2">
        <v>3</v>
      </c>
      <c r="K132" s="2">
        <v>0</v>
      </c>
      <c r="L132" s="2">
        <v>0</v>
      </c>
      <c r="M132" s="2">
        <v>3</v>
      </c>
      <c r="N132" s="2">
        <v>61.5</v>
      </c>
      <c r="O132" s="2">
        <v>0.41</v>
      </c>
      <c r="P132" s="2" t="s">
        <v>126</v>
      </c>
      <c r="Q132" s="2">
        <v>69.8</v>
      </c>
      <c r="R132" s="2">
        <v>3</v>
      </c>
      <c r="S132" s="2" t="s">
        <v>33</v>
      </c>
      <c r="T132" s="2">
        <v>64.8</v>
      </c>
      <c r="U132" s="2">
        <v>0.32200000000000001</v>
      </c>
      <c r="V132" s="2">
        <v>7500</v>
      </c>
      <c r="W132" s="2">
        <v>7.9000000000000001E-2</v>
      </c>
      <c r="X132" s="2">
        <v>2.5399999999999999E-2</v>
      </c>
      <c r="Y132" s="2">
        <v>0.53300000000000003</v>
      </c>
    </row>
    <row r="133" spans="1:25" x14ac:dyDescent="0.3">
      <c r="A133" s="2" t="s">
        <v>127</v>
      </c>
      <c r="B133" s="2" t="s">
        <v>128</v>
      </c>
      <c r="C133" s="2" t="s">
        <v>129</v>
      </c>
      <c r="D133" s="2" t="s">
        <v>130</v>
      </c>
      <c r="E133" s="2" t="s">
        <v>108</v>
      </c>
      <c r="F133" s="2"/>
      <c r="G133" s="2" t="s">
        <v>39</v>
      </c>
      <c r="H133" s="2" t="s">
        <v>73</v>
      </c>
      <c r="I133" s="2" t="b">
        <v>1</v>
      </c>
      <c r="J133" s="2">
        <v>3</v>
      </c>
      <c r="K133" s="2"/>
      <c r="L133" s="2"/>
      <c r="M133" s="2"/>
      <c r="N133" s="2"/>
      <c r="O133" s="2"/>
      <c r="P133" s="2" t="s">
        <v>109</v>
      </c>
      <c r="Q133" s="2">
        <v>100</v>
      </c>
      <c r="R133" s="2">
        <v>1</v>
      </c>
      <c r="S133" s="2" t="s">
        <v>33</v>
      </c>
      <c r="T133" s="2">
        <v>73.3</v>
      </c>
      <c r="U133" s="2">
        <v>0.20300000000000001</v>
      </c>
      <c r="V133" s="2">
        <v>25000</v>
      </c>
      <c r="W133" s="2">
        <v>0.22700000000000001</v>
      </c>
      <c r="X133" s="2">
        <v>4.6100000000000002E-2</v>
      </c>
      <c r="Y133" s="2">
        <v>0.63600000000000001</v>
      </c>
    </row>
    <row r="134" spans="1:25" x14ac:dyDescent="0.3">
      <c r="A134" s="2" t="s">
        <v>131</v>
      </c>
      <c r="B134" s="2" t="s">
        <v>132</v>
      </c>
      <c r="C134" s="2" t="s">
        <v>133</v>
      </c>
      <c r="D134" s="2" t="s">
        <v>134</v>
      </c>
      <c r="E134" s="2" t="s">
        <v>135</v>
      </c>
      <c r="F134" s="2"/>
      <c r="G134" s="2" t="s">
        <v>39</v>
      </c>
      <c r="H134" s="2" t="s">
        <v>73</v>
      </c>
      <c r="I134" s="2" t="b">
        <v>1</v>
      </c>
      <c r="J134" s="2">
        <v>3</v>
      </c>
      <c r="K134" s="2"/>
      <c r="L134" s="2"/>
      <c r="M134" s="2"/>
      <c r="N134" s="2"/>
      <c r="O134" s="2"/>
      <c r="P134" s="2" t="s">
        <v>136</v>
      </c>
      <c r="Q134" s="2">
        <v>25.3</v>
      </c>
      <c r="R134" s="2">
        <v>6</v>
      </c>
      <c r="S134" s="2" t="s">
        <v>41</v>
      </c>
      <c r="T134" s="2">
        <v>64.5</v>
      </c>
      <c r="U134" s="2">
        <v>0.317</v>
      </c>
      <c r="V134" s="2">
        <v>45950</v>
      </c>
      <c r="W134" s="2">
        <v>8.7999999999999995E-2</v>
      </c>
      <c r="X134" s="2">
        <v>2.8000000000000001E-2</v>
      </c>
      <c r="Y134" s="2">
        <v>0.83399999999999996</v>
      </c>
    </row>
    <row r="135" spans="1:25" x14ac:dyDescent="0.3">
      <c r="A135" s="2" t="s">
        <v>137</v>
      </c>
      <c r="B135" s="2" t="s">
        <v>138</v>
      </c>
      <c r="C135" s="2" t="s">
        <v>139</v>
      </c>
      <c r="D135" s="2" t="s">
        <v>140</v>
      </c>
      <c r="E135" s="2" t="s">
        <v>141</v>
      </c>
      <c r="F135" s="2"/>
      <c r="G135" s="2" t="s">
        <v>67</v>
      </c>
      <c r="H135" s="2" t="s">
        <v>73</v>
      </c>
      <c r="I135" s="2" t="b">
        <v>1</v>
      </c>
      <c r="J135" s="2">
        <v>2</v>
      </c>
      <c r="K135" s="2"/>
      <c r="L135" s="2"/>
      <c r="M135" s="2"/>
      <c r="N135" s="2"/>
      <c r="O135" s="2"/>
      <c r="P135" s="2" t="s">
        <v>142</v>
      </c>
      <c r="Q135" s="2">
        <v>11.7</v>
      </c>
      <c r="R135" s="2">
        <v>11</v>
      </c>
      <c r="S135" s="2" t="s">
        <v>41</v>
      </c>
      <c r="T135" s="2">
        <v>78.3</v>
      </c>
      <c r="U135" s="2">
        <v>0.14899999999999999</v>
      </c>
      <c r="V135" s="2">
        <v>10250</v>
      </c>
      <c r="W135" s="2">
        <v>4.7E-2</v>
      </c>
      <c r="X135" s="2">
        <v>6.8999999999999999E-3</v>
      </c>
      <c r="Y135" s="2">
        <v>0.64500000000000002</v>
      </c>
    </row>
    <row r="136" spans="1:25" x14ac:dyDescent="0.3">
      <c r="A136" s="2" t="s">
        <v>143</v>
      </c>
      <c r="B136" s="2" t="s">
        <v>111</v>
      </c>
      <c r="C136" s="2" t="s">
        <v>144</v>
      </c>
      <c r="D136" s="2" t="s">
        <v>145</v>
      </c>
      <c r="E136" s="2" t="s">
        <v>125</v>
      </c>
      <c r="F136" s="2">
        <v>5600</v>
      </c>
      <c r="G136" s="2" t="s">
        <v>47</v>
      </c>
      <c r="H136" s="2" t="s">
        <v>31</v>
      </c>
      <c r="I136" s="2" t="b">
        <v>1</v>
      </c>
      <c r="J136" s="2">
        <v>2</v>
      </c>
      <c r="K136" s="2"/>
      <c r="L136" s="2"/>
      <c r="M136" s="2"/>
      <c r="N136" s="2"/>
      <c r="O136" s="2"/>
      <c r="P136" s="2" t="s">
        <v>126</v>
      </c>
      <c r="Q136" s="2">
        <v>69.8</v>
      </c>
      <c r="R136" s="2">
        <v>3</v>
      </c>
      <c r="S136" s="2" t="s">
        <v>33</v>
      </c>
      <c r="T136" s="2">
        <v>64.8</v>
      </c>
      <c r="U136" s="2">
        <v>0.32200000000000001</v>
      </c>
      <c r="V136" s="2">
        <v>7500</v>
      </c>
      <c r="W136" s="2">
        <v>7.9000000000000001E-2</v>
      </c>
      <c r="X136" s="2">
        <v>2.5399999999999999E-2</v>
      </c>
      <c r="Y136" s="2">
        <v>0.53300000000000003</v>
      </c>
    </row>
    <row r="137" spans="1:25" x14ac:dyDescent="0.3">
      <c r="A137" s="2" t="s">
        <v>146</v>
      </c>
      <c r="B137" s="2" t="s">
        <v>147</v>
      </c>
      <c r="C137" s="2" t="s">
        <v>148</v>
      </c>
      <c r="D137" s="2" t="s">
        <v>149</v>
      </c>
      <c r="E137" s="2" t="s">
        <v>119</v>
      </c>
      <c r="F137" s="2"/>
      <c r="G137" s="2" t="s">
        <v>39</v>
      </c>
      <c r="H137" s="2" t="s">
        <v>31</v>
      </c>
      <c r="I137" s="2" t="b">
        <v>1</v>
      </c>
      <c r="J137" s="2">
        <v>3</v>
      </c>
      <c r="K137" s="2">
        <v>1</v>
      </c>
      <c r="L137" s="2">
        <v>0</v>
      </c>
      <c r="M137" s="2">
        <v>2</v>
      </c>
      <c r="N137" s="2">
        <v>60.2</v>
      </c>
      <c r="O137" s="2">
        <v>0.38300000000000001</v>
      </c>
      <c r="P137" s="2" t="s">
        <v>120</v>
      </c>
      <c r="Q137" s="2">
        <v>27.8</v>
      </c>
      <c r="R137" s="2">
        <v>5</v>
      </c>
      <c r="S137" s="2" t="s">
        <v>41</v>
      </c>
      <c r="T137" s="2">
        <v>73.900000000000006</v>
      </c>
      <c r="U137" s="2">
        <v>0.20599999999999999</v>
      </c>
      <c r="V137" s="2">
        <v>19750</v>
      </c>
      <c r="W137" s="2">
        <v>7.9000000000000001E-2</v>
      </c>
      <c r="X137" s="2">
        <v>1.6299999999999999E-2</v>
      </c>
      <c r="Y137" s="2">
        <v>0.68600000000000005</v>
      </c>
    </row>
    <row r="138" spans="1:25" x14ac:dyDescent="0.3">
      <c r="A138" s="2" t="s">
        <v>150</v>
      </c>
      <c r="B138" s="2" t="s">
        <v>132</v>
      </c>
      <c r="C138" s="2" t="s">
        <v>151</v>
      </c>
      <c r="D138" s="2" t="s">
        <v>152</v>
      </c>
      <c r="E138" s="2" t="s">
        <v>135</v>
      </c>
      <c r="F138" s="2"/>
      <c r="G138" s="2" t="s">
        <v>39</v>
      </c>
      <c r="H138" s="2" t="s">
        <v>73</v>
      </c>
      <c r="I138" s="2" t="b">
        <v>1</v>
      </c>
      <c r="J138" s="2">
        <v>3</v>
      </c>
      <c r="K138" s="2">
        <v>1</v>
      </c>
      <c r="L138" s="2">
        <v>0</v>
      </c>
      <c r="M138" s="2">
        <v>2</v>
      </c>
      <c r="N138" s="2">
        <v>54.3</v>
      </c>
      <c r="O138" s="2">
        <v>0.46100000000000002</v>
      </c>
      <c r="P138" s="2" t="s">
        <v>136</v>
      </c>
      <c r="Q138" s="2">
        <v>25.3</v>
      </c>
      <c r="R138" s="2">
        <v>6</v>
      </c>
      <c r="S138" s="2" t="s">
        <v>41</v>
      </c>
      <c r="T138" s="2">
        <v>64.5</v>
      </c>
      <c r="U138" s="2">
        <v>0.317</v>
      </c>
      <c r="V138" s="2">
        <v>45950</v>
      </c>
      <c r="W138" s="2">
        <v>8.7999999999999995E-2</v>
      </c>
      <c r="X138" s="2">
        <v>2.8000000000000001E-2</v>
      </c>
      <c r="Y138" s="2">
        <v>0.83399999999999996</v>
      </c>
    </row>
    <row r="139" spans="1:25" x14ac:dyDescent="0.3">
      <c r="A139" s="2" t="s">
        <v>153</v>
      </c>
      <c r="B139" s="2" t="s">
        <v>154</v>
      </c>
      <c r="C139" s="2" t="s">
        <v>155</v>
      </c>
      <c r="D139" s="2" t="s">
        <v>156</v>
      </c>
      <c r="E139" s="2" t="s">
        <v>157</v>
      </c>
      <c r="F139" s="2">
        <v>6000</v>
      </c>
      <c r="G139" s="2" t="s">
        <v>47</v>
      </c>
      <c r="H139" s="2" t="s">
        <v>31</v>
      </c>
      <c r="I139" s="2" t="b">
        <v>1</v>
      </c>
      <c r="J139" s="2">
        <v>4</v>
      </c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x14ac:dyDescent="0.3">
      <c r="A140" s="2" t="s">
        <v>159</v>
      </c>
      <c r="B140" s="2" t="s">
        <v>160</v>
      </c>
      <c r="C140" s="2" t="s">
        <v>161</v>
      </c>
      <c r="D140" s="2" t="s">
        <v>162</v>
      </c>
      <c r="E140" s="2" t="s">
        <v>163</v>
      </c>
      <c r="F140" s="2">
        <v>3000</v>
      </c>
      <c r="G140" s="2" t="s">
        <v>30</v>
      </c>
      <c r="H140" s="2" t="s">
        <v>31</v>
      </c>
      <c r="I140" s="2" t="b">
        <v>1</v>
      </c>
      <c r="J140" s="2">
        <v>1</v>
      </c>
      <c r="K140" s="2"/>
      <c r="L140" s="2"/>
      <c r="M140" s="2"/>
      <c r="N140" s="2"/>
      <c r="O140" s="2"/>
      <c r="P140" s="2" t="s">
        <v>162</v>
      </c>
      <c r="Q140" s="2">
        <v>7.4</v>
      </c>
      <c r="R140" s="2">
        <v>13</v>
      </c>
      <c r="S140" s="2" t="s">
        <v>41</v>
      </c>
      <c r="T140" s="2">
        <v>73.8</v>
      </c>
      <c r="U140" s="2">
        <v>0.21199999999999999</v>
      </c>
      <c r="V140" s="2">
        <v>5050</v>
      </c>
      <c r="W140" s="2">
        <v>4.2000000000000003E-2</v>
      </c>
      <c r="X140" s="2">
        <v>8.8999999999999999E-3</v>
      </c>
      <c r="Y140" s="2">
        <v>0.80100000000000005</v>
      </c>
    </row>
    <row r="141" spans="1:25" x14ac:dyDescent="0.3">
      <c r="A141" s="2" t="s">
        <v>164</v>
      </c>
      <c r="B141" s="2" t="s">
        <v>165</v>
      </c>
      <c r="C141" s="2" t="s">
        <v>166</v>
      </c>
      <c r="D141" s="2" t="s">
        <v>167</v>
      </c>
      <c r="E141" s="2" t="s">
        <v>168</v>
      </c>
      <c r="F141" s="2"/>
      <c r="G141" s="2" t="s">
        <v>39</v>
      </c>
      <c r="H141" s="2" t="s">
        <v>31</v>
      </c>
      <c r="I141" s="2" t="b">
        <v>1</v>
      </c>
      <c r="J141" s="2">
        <v>3</v>
      </c>
      <c r="K141" s="2">
        <v>0</v>
      </c>
      <c r="L141" s="2">
        <v>1</v>
      </c>
      <c r="M141" s="2">
        <v>2</v>
      </c>
      <c r="N141" s="2">
        <v>82.3</v>
      </c>
      <c r="O141" s="2">
        <v>0.113</v>
      </c>
      <c r="P141" s="2" t="s">
        <v>169</v>
      </c>
      <c r="Q141" s="2">
        <v>67.900000000000006</v>
      </c>
      <c r="R141" s="2">
        <v>4</v>
      </c>
      <c r="S141" s="2" t="s">
        <v>33</v>
      </c>
      <c r="T141" s="2">
        <v>59.1</v>
      </c>
      <c r="U141" s="2">
        <v>0.42099999999999999</v>
      </c>
      <c r="V141" s="2">
        <v>17250</v>
      </c>
      <c r="W141" s="2">
        <v>0.13300000000000001</v>
      </c>
      <c r="X141" s="2">
        <v>5.5899999999999998E-2</v>
      </c>
      <c r="Y141" s="2">
        <v>0.79200000000000004</v>
      </c>
    </row>
    <row r="142" spans="1:25" x14ac:dyDescent="0.3">
      <c r="A142" s="2" t="s">
        <v>170</v>
      </c>
      <c r="B142" s="2" t="s">
        <v>105</v>
      </c>
      <c r="C142" s="2" t="s">
        <v>171</v>
      </c>
      <c r="D142" s="2" t="s">
        <v>172</v>
      </c>
      <c r="E142" s="2" t="s">
        <v>38</v>
      </c>
      <c r="F142" s="2">
        <v>8000</v>
      </c>
      <c r="G142" s="2" t="s">
        <v>47</v>
      </c>
      <c r="H142" s="2" t="s">
        <v>31</v>
      </c>
      <c r="I142" s="2" t="b">
        <v>1</v>
      </c>
      <c r="J142" s="2">
        <v>4</v>
      </c>
      <c r="K142" s="2">
        <v>0</v>
      </c>
      <c r="L142" s="2">
        <v>0</v>
      </c>
      <c r="M142" s="2">
        <v>4</v>
      </c>
      <c r="N142" s="2">
        <v>70.400000000000006</v>
      </c>
      <c r="O142" s="2">
        <v>0.23400000000000001</v>
      </c>
      <c r="P142" s="2" t="s">
        <v>40</v>
      </c>
      <c r="Q142" s="2">
        <v>22.8</v>
      </c>
      <c r="R142" s="2">
        <v>7</v>
      </c>
      <c r="S142" s="2" t="s">
        <v>41</v>
      </c>
      <c r="T142" s="2">
        <v>68.5</v>
      </c>
      <c r="U142" s="2">
        <v>0.26200000000000001</v>
      </c>
      <c r="V142" s="2">
        <v>49000</v>
      </c>
      <c r="W142" s="2">
        <v>0.11700000000000001</v>
      </c>
      <c r="X142" s="2">
        <v>3.0599999999999999E-2</v>
      </c>
      <c r="Y142" s="2">
        <v>0.85799999999999998</v>
      </c>
    </row>
    <row r="143" spans="1:25" x14ac:dyDescent="0.3">
      <c r="A143" s="2" t="s">
        <v>173</v>
      </c>
      <c r="B143" s="2" t="s">
        <v>138</v>
      </c>
      <c r="C143" s="2" t="s">
        <v>174</v>
      </c>
      <c r="D143" s="2" t="s">
        <v>140</v>
      </c>
      <c r="E143" s="2" t="s">
        <v>141</v>
      </c>
      <c r="F143" s="2"/>
      <c r="G143" s="2" t="s">
        <v>39</v>
      </c>
      <c r="H143" s="2" t="s">
        <v>73</v>
      </c>
      <c r="I143" s="2" t="b">
        <v>1</v>
      </c>
      <c r="J143" s="2">
        <v>2</v>
      </c>
      <c r="K143" s="2">
        <v>0</v>
      </c>
      <c r="L143" s="2">
        <v>0</v>
      </c>
      <c r="M143" s="2">
        <v>2</v>
      </c>
      <c r="N143" s="2">
        <v>74.5</v>
      </c>
      <c r="O143" s="2">
        <v>0.20899999999999999</v>
      </c>
      <c r="P143" s="2" t="s">
        <v>142</v>
      </c>
      <c r="Q143" s="2">
        <v>11.7</v>
      </c>
      <c r="R143" s="2">
        <v>11</v>
      </c>
      <c r="S143" s="2" t="s">
        <v>41</v>
      </c>
      <c r="T143" s="2">
        <v>78.3</v>
      </c>
      <c r="U143" s="2">
        <v>0.14899999999999999</v>
      </c>
      <c r="V143" s="2">
        <v>10250</v>
      </c>
      <c r="W143" s="2">
        <v>4.7E-2</v>
      </c>
      <c r="X143" s="2">
        <v>6.8999999999999999E-3</v>
      </c>
      <c r="Y143" s="2">
        <v>0.64500000000000002</v>
      </c>
    </row>
    <row r="144" spans="1:25" x14ac:dyDescent="0.3">
      <c r="A144" s="2" t="s">
        <v>175</v>
      </c>
      <c r="B144" s="2" t="s">
        <v>101</v>
      </c>
      <c r="C144" s="2" t="s">
        <v>176</v>
      </c>
      <c r="D144" s="2" t="s">
        <v>177</v>
      </c>
      <c r="E144" s="2" t="s">
        <v>135</v>
      </c>
      <c r="F144" s="2"/>
      <c r="G144" s="2" t="s">
        <v>47</v>
      </c>
      <c r="H144" s="2" t="s">
        <v>48</v>
      </c>
      <c r="I144" s="2" t="b">
        <v>1</v>
      </c>
      <c r="J144" s="2">
        <v>3</v>
      </c>
      <c r="K144" s="2"/>
      <c r="L144" s="2"/>
      <c r="M144" s="2"/>
      <c r="N144" s="2"/>
      <c r="O144" s="2"/>
      <c r="P144" s="2" t="s">
        <v>136</v>
      </c>
      <c r="Q144" s="2">
        <v>25.3</v>
      </c>
      <c r="R144" s="2">
        <v>6</v>
      </c>
      <c r="S144" s="2" t="s">
        <v>41</v>
      </c>
      <c r="T144" s="2">
        <v>64.5</v>
      </c>
      <c r="U144" s="2">
        <v>0.317</v>
      </c>
      <c r="V144" s="2">
        <v>45950</v>
      </c>
      <c r="W144" s="2">
        <v>8.7999999999999995E-2</v>
      </c>
      <c r="X144" s="2">
        <v>2.8000000000000001E-2</v>
      </c>
      <c r="Y144" s="2">
        <v>0.83399999999999996</v>
      </c>
    </row>
    <row r="145" spans="1:25" x14ac:dyDescent="0.3">
      <c r="A145" s="2" t="s">
        <v>178</v>
      </c>
      <c r="B145" s="2" t="s">
        <v>179</v>
      </c>
      <c r="C145" s="2" t="s">
        <v>180</v>
      </c>
      <c r="D145" s="2" t="s">
        <v>181</v>
      </c>
      <c r="E145" s="2" t="s">
        <v>78</v>
      </c>
      <c r="F145" s="2"/>
      <c r="G145" s="2" t="s">
        <v>39</v>
      </c>
      <c r="H145" s="2" t="s">
        <v>73</v>
      </c>
      <c r="I145" s="2" t="b">
        <v>1</v>
      </c>
      <c r="J145" s="2">
        <v>3</v>
      </c>
      <c r="K145" s="2"/>
      <c r="L145" s="2"/>
      <c r="M145" s="2"/>
      <c r="N145" s="2"/>
      <c r="O145" s="2"/>
      <c r="P145" s="2" t="s">
        <v>79</v>
      </c>
      <c r="Q145" s="2">
        <v>16.7</v>
      </c>
      <c r="R145" s="2">
        <v>9</v>
      </c>
      <c r="S145" s="2" t="s">
        <v>41</v>
      </c>
      <c r="T145" s="2">
        <v>58.4</v>
      </c>
      <c r="U145" s="2">
        <v>0.42299999999999999</v>
      </c>
      <c r="V145" s="2">
        <v>3500</v>
      </c>
      <c r="W145" s="2">
        <v>2.1999999999999999E-2</v>
      </c>
      <c r="X145" s="2">
        <v>9.2999999999999992E-3</v>
      </c>
      <c r="Y145" s="2">
        <v>0.64</v>
      </c>
    </row>
    <row r="146" spans="1:25" x14ac:dyDescent="0.3">
      <c r="A146" s="2" t="s">
        <v>182</v>
      </c>
      <c r="B146" s="2" t="s">
        <v>183</v>
      </c>
      <c r="C146" s="2" t="s">
        <v>184</v>
      </c>
      <c r="D146" s="2" t="s">
        <v>185</v>
      </c>
      <c r="E146" s="2" t="s">
        <v>186</v>
      </c>
      <c r="F146" s="2"/>
      <c r="G146" s="2" t="s">
        <v>30</v>
      </c>
      <c r="H146" s="2" t="s">
        <v>73</v>
      </c>
      <c r="I146" s="2" t="b">
        <v>1</v>
      </c>
      <c r="J146" s="2">
        <v>3</v>
      </c>
      <c r="K146" s="2">
        <v>0</v>
      </c>
      <c r="L146" s="2">
        <v>0</v>
      </c>
      <c r="M146" s="2">
        <v>3</v>
      </c>
      <c r="N146" s="2">
        <v>55.4</v>
      </c>
      <c r="O146" s="2">
        <v>0.50600000000000001</v>
      </c>
      <c r="P146" s="2" t="s">
        <v>187</v>
      </c>
      <c r="Q146" s="2">
        <v>17.899999999999999</v>
      </c>
      <c r="R146" s="2">
        <v>8</v>
      </c>
      <c r="S146" s="2" t="s">
        <v>41</v>
      </c>
      <c r="T146" s="2">
        <v>55.4</v>
      </c>
      <c r="U146" s="2">
        <v>0.50600000000000001</v>
      </c>
      <c r="V146" s="2">
        <v>3500</v>
      </c>
      <c r="W146" s="2">
        <v>2.5000000000000001E-2</v>
      </c>
      <c r="X146" s="2">
        <v>1.2699999999999999E-2</v>
      </c>
      <c r="Y146" s="2">
        <v>0.72599999999999998</v>
      </c>
    </row>
    <row r="147" spans="1:25" x14ac:dyDescent="0.3">
      <c r="A147" s="2" t="s">
        <v>188</v>
      </c>
      <c r="B147" s="2" t="s">
        <v>105</v>
      </c>
      <c r="C147" s="2" t="s">
        <v>189</v>
      </c>
      <c r="D147" s="2" t="s">
        <v>190</v>
      </c>
      <c r="E147" s="2" t="s">
        <v>191</v>
      </c>
      <c r="F147" s="2">
        <v>4000</v>
      </c>
      <c r="G147" s="2" t="s">
        <v>30</v>
      </c>
      <c r="H147" s="2" t="s">
        <v>31</v>
      </c>
      <c r="I147" s="2" t="b">
        <v>1</v>
      </c>
      <c r="J147" s="2">
        <v>2</v>
      </c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x14ac:dyDescent="0.3">
      <c r="A148" s="2" t="s">
        <v>192</v>
      </c>
      <c r="B148" s="2" t="s">
        <v>128</v>
      </c>
      <c r="C148" s="2" t="s">
        <v>193</v>
      </c>
      <c r="D148" s="2" t="s">
        <v>194</v>
      </c>
      <c r="E148" s="2" t="s">
        <v>108</v>
      </c>
      <c r="F148" s="2"/>
      <c r="G148" s="2" t="s">
        <v>39</v>
      </c>
      <c r="H148" s="2" t="s">
        <v>73</v>
      </c>
      <c r="I148" s="2" t="b">
        <v>1</v>
      </c>
      <c r="J148" s="2">
        <v>3</v>
      </c>
      <c r="K148" s="2"/>
      <c r="L148" s="2"/>
      <c r="M148" s="2"/>
      <c r="N148" s="2"/>
      <c r="O148" s="2"/>
      <c r="P148" s="2" t="s">
        <v>109</v>
      </c>
      <c r="Q148" s="2">
        <v>100</v>
      </c>
      <c r="R148" s="2">
        <v>1</v>
      </c>
      <c r="S148" s="2" t="s">
        <v>33</v>
      </c>
      <c r="T148" s="2">
        <v>73.3</v>
      </c>
      <c r="U148" s="2">
        <v>0.20300000000000001</v>
      </c>
      <c r="V148" s="2">
        <v>25000</v>
      </c>
      <c r="W148" s="2">
        <v>0.22700000000000001</v>
      </c>
      <c r="X148" s="2">
        <v>4.6100000000000002E-2</v>
      </c>
      <c r="Y148" s="2">
        <v>0.63600000000000001</v>
      </c>
    </row>
    <row r="149" spans="1:25" x14ac:dyDescent="0.3">
      <c r="A149" s="2" t="s">
        <v>195</v>
      </c>
      <c r="B149" s="2" t="s">
        <v>51</v>
      </c>
      <c r="C149" s="2" t="s">
        <v>196</v>
      </c>
      <c r="D149" s="2" t="s">
        <v>197</v>
      </c>
      <c r="E149" s="2" t="s">
        <v>198</v>
      </c>
      <c r="F149" s="2"/>
      <c r="G149" s="2" t="s">
        <v>47</v>
      </c>
      <c r="H149" s="2" t="s">
        <v>31</v>
      </c>
      <c r="I149" s="2" t="b">
        <v>1</v>
      </c>
      <c r="J149" s="2">
        <v>3</v>
      </c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x14ac:dyDescent="0.3">
      <c r="A150" s="2" t="s">
        <v>200</v>
      </c>
      <c r="B150" s="2" t="s">
        <v>201</v>
      </c>
      <c r="C150" s="2" t="s">
        <v>202</v>
      </c>
      <c r="D150" s="2" t="s">
        <v>203</v>
      </c>
      <c r="E150" s="2" t="s">
        <v>135</v>
      </c>
      <c r="F150" s="2"/>
      <c r="G150" s="2" t="s">
        <v>30</v>
      </c>
      <c r="H150" s="2" t="s">
        <v>73</v>
      </c>
      <c r="I150" s="2" t="b">
        <v>1</v>
      </c>
      <c r="J150" s="2">
        <v>2</v>
      </c>
      <c r="K150" s="2"/>
      <c r="L150" s="2"/>
      <c r="M150" s="2"/>
      <c r="N150" s="2"/>
      <c r="O150" s="2"/>
      <c r="P150" s="2" t="s">
        <v>136</v>
      </c>
      <c r="Q150" s="2">
        <v>25.3</v>
      </c>
      <c r="R150" s="2">
        <v>6</v>
      </c>
      <c r="S150" s="2" t="s">
        <v>41</v>
      </c>
      <c r="T150" s="2">
        <v>64.5</v>
      </c>
      <c r="U150" s="2">
        <v>0.317</v>
      </c>
      <c r="V150" s="2">
        <v>45950</v>
      </c>
      <c r="W150" s="2">
        <v>8.7999999999999995E-2</v>
      </c>
      <c r="X150" s="2">
        <v>2.8000000000000001E-2</v>
      </c>
      <c r="Y150" s="2">
        <v>0.83399999999999996</v>
      </c>
    </row>
    <row r="151" spans="1:25" x14ac:dyDescent="0.3">
      <c r="A151" s="2" t="s">
        <v>204</v>
      </c>
      <c r="B151" s="2" t="s">
        <v>205</v>
      </c>
      <c r="C151" s="2" t="s">
        <v>206</v>
      </c>
      <c r="D151" s="2" t="s">
        <v>162</v>
      </c>
      <c r="E151" s="2" t="s">
        <v>163</v>
      </c>
      <c r="F151" s="2">
        <v>3000</v>
      </c>
      <c r="G151" s="2" t="s">
        <v>30</v>
      </c>
      <c r="H151" s="2" t="s">
        <v>31</v>
      </c>
      <c r="I151" s="2" t="b">
        <v>1</v>
      </c>
      <c r="J151" s="2">
        <v>2</v>
      </c>
      <c r="K151" s="2"/>
      <c r="L151" s="2"/>
      <c r="M151" s="2"/>
      <c r="N151" s="2"/>
      <c r="O151" s="2"/>
      <c r="P151" s="2" t="s">
        <v>162</v>
      </c>
      <c r="Q151" s="2">
        <v>7.4</v>
      </c>
      <c r="R151" s="2">
        <v>13</v>
      </c>
      <c r="S151" s="2" t="s">
        <v>41</v>
      </c>
      <c r="T151" s="2">
        <v>73.8</v>
      </c>
      <c r="U151" s="2">
        <v>0.21199999999999999</v>
      </c>
      <c r="V151" s="2">
        <v>5050</v>
      </c>
      <c r="W151" s="2">
        <v>4.2000000000000003E-2</v>
      </c>
      <c r="X151" s="2">
        <v>8.8999999999999999E-3</v>
      </c>
      <c r="Y151" s="2">
        <v>0.80100000000000005</v>
      </c>
    </row>
    <row r="152" spans="1:25" x14ac:dyDescent="0.3">
      <c r="A152" s="2" t="s">
        <v>207</v>
      </c>
      <c r="B152" s="2" t="s">
        <v>208</v>
      </c>
      <c r="C152" s="2" t="s">
        <v>209</v>
      </c>
      <c r="D152" s="2" t="s">
        <v>210</v>
      </c>
      <c r="E152" s="2" t="s">
        <v>168</v>
      </c>
      <c r="F152" s="2">
        <v>7000</v>
      </c>
      <c r="G152" s="2" t="s">
        <v>47</v>
      </c>
      <c r="H152" s="2" t="s">
        <v>31</v>
      </c>
      <c r="I152" s="2" t="b">
        <v>1</v>
      </c>
      <c r="J152" s="2">
        <v>3</v>
      </c>
      <c r="K152" s="2"/>
      <c r="L152" s="2"/>
      <c r="M152" s="2"/>
      <c r="N152" s="2"/>
      <c r="O152" s="2"/>
      <c r="P152" s="2" t="s">
        <v>169</v>
      </c>
      <c r="Q152" s="2">
        <v>67.900000000000006</v>
      </c>
      <c r="R152" s="2">
        <v>4</v>
      </c>
      <c r="S152" s="2" t="s">
        <v>33</v>
      </c>
      <c r="T152" s="2">
        <v>59.1</v>
      </c>
      <c r="U152" s="2">
        <v>0.42099999999999999</v>
      </c>
      <c r="V152" s="2">
        <v>17250</v>
      </c>
      <c r="W152" s="2">
        <v>0.13300000000000001</v>
      </c>
      <c r="X152" s="2">
        <v>5.5899999999999998E-2</v>
      </c>
      <c r="Y152" s="2">
        <v>0.79200000000000004</v>
      </c>
    </row>
    <row r="153" spans="1:25" x14ac:dyDescent="0.3">
      <c r="A153" s="2" t="s">
        <v>211</v>
      </c>
      <c r="B153" s="2" t="s">
        <v>51</v>
      </c>
      <c r="C153" s="2" t="s">
        <v>212</v>
      </c>
      <c r="D153" s="2" t="s">
        <v>213</v>
      </c>
      <c r="E153" s="2" t="s">
        <v>29</v>
      </c>
      <c r="F153" s="2">
        <v>8000</v>
      </c>
      <c r="G153" s="2" t="s">
        <v>47</v>
      </c>
      <c r="H153" s="2" t="s">
        <v>31</v>
      </c>
      <c r="I153" s="2" t="b">
        <v>1</v>
      </c>
      <c r="J153" s="2">
        <v>2</v>
      </c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x14ac:dyDescent="0.3">
      <c r="A154" s="2" t="s">
        <v>214</v>
      </c>
      <c r="B154" s="2" t="s">
        <v>122</v>
      </c>
      <c r="C154" s="2" t="s">
        <v>215</v>
      </c>
      <c r="D154" s="2" t="s">
        <v>216</v>
      </c>
      <c r="E154" s="2" t="s">
        <v>125</v>
      </c>
      <c r="F154" s="2"/>
      <c r="G154" s="2" t="s">
        <v>39</v>
      </c>
      <c r="H154" s="2" t="s">
        <v>73</v>
      </c>
      <c r="I154" s="2" t="b">
        <v>1</v>
      </c>
      <c r="J154" s="2">
        <v>2</v>
      </c>
      <c r="K154" s="2"/>
      <c r="L154" s="2"/>
      <c r="M154" s="2"/>
      <c r="N154" s="2"/>
      <c r="O154" s="2"/>
      <c r="P154" s="2" t="s">
        <v>126</v>
      </c>
      <c r="Q154" s="2">
        <v>69.8</v>
      </c>
      <c r="R154" s="2">
        <v>3</v>
      </c>
      <c r="S154" s="2" t="s">
        <v>33</v>
      </c>
      <c r="T154" s="2">
        <v>64.8</v>
      </c>
      <c r="U154" s="2">
        <v>0.32200000000000001</v>
      </c>
      <c r="V154" s="2">
        <v>7500</v>
      </c>
      <c r="W154" s="2">
        <v>7.9000000000000001E-2</v>
      </c>
      <c r="X154" s="2">
        <v>2.5399999999999999E-2</v>
      </c>
      <c r="Y154" s="2">
        <v>0.53300000000000003</v>
      </c>
    </row>
    <row r="155" spans="1:25" x14ac:dyDescent="0.3">
      <c r="A155" s="2" t="s">
        <v>217</v>
      </c>
      <c r="B155" s="2" t="s">
        <v>205</v>
      </c>
      <c r="C155" s="2" t="s">
        <v>218</v>
      </c>
      <c r="D155" s="2" t="s">
        <v>162</v>
      </c>
      <c r="E155" s="2" t="s">
        <v>163</v>
      </c>
      <c r="F155" s="2">
        <v>3000</v>
      </c>
      <c r="G155" s="2" t="s">
        <v>30</v>
      </c>
      <c r="H155" s="2" t="s">
        <v>31</v>
      </c>
      <c r="I155" s="2" t="b">
        <v>1</v>
      </c>
      <c r="J155" s="2">
        <v>1</v>
      </c>
      <c r="K155" s="2">
        <v>0</v>
      </c>
      <c r="L155" s="2">
        <v>0</v>
      </c>
      <c r="M155" s="2">
        <v>1</v>
      </c>
      <c r="N155" s="2">
        <v>75</v>
      </c>
      <c r="O155" s="2">
        <v>0.2</v>
      </c>
      <c r="P155" s="2" t="s">
        <v>162</v>
      </c>
      <c r="Q155" s="2">
        <v>7.4</v>
      </c>
      <c r="R155" s="2">
        <v>13</v>
      </c>
      <c r="S155" s="2" t="s">
        <v>41</v>
      </c>
      <c r="T155" s="2">
        <v>73.8</v>
      </c>
      <c r="U155" s="2">
        <v>0.21199999999999999</v>
      </c>
      <c r="V155" s="2">
        <v>5050</v>
      </c>
      <c r="W155" s="2">
        <v>4.2000000000000003E-2</v>
      </c>
      <c r="X155" s="2">
        <v>8.8999999999999999E-3</v>
      </c>
      <c r="Y155" s="2">
        <v>0.80100000000000005</v>
      </c>
    </row>
    <row r="156" spans="1:25" x14ac:dyDescent="0.3">
      <c r="A156" s="2" t="s">
        <v>219</v>
      </c>
      <c r="B156" s="2" t="s">
        <v>128</v>
      </c>
      <c r="C156" s="2" t="s">
        <v>220</v>
      </c>
      <c r="D156" s="2" t="s">
        <v>107</v>
      </c>
      <c r="E156" s="2" t="s">
        <v>108</v>
      </c>
      <c r="F156" s="2"/>
      <c r="G156" s="2" t="s">
        <v>39</v>
      </c>
      <c r="H156" s="2" t="s">
        <v>73</v>
      </c>
      <c r="I156" s="2" t="b">
        <v>1</v>
      </c>
      <c r="J156" s="2">
        <v>2</v>
      </c>
      <c r="K156" s="2"/>
      <c r="L156" s="2"/>
      <c r="M156" s="2"/>
      <c r="N156" s="2"/>
      <c r="O156" s="2"/>
      <c r="P156" s="2" t="s">
        <v>109</v>
      </c>
      <c r="Q156" s="2">
        <v>100</v>
      </c>
      <c r="R156" s="2">
        <v>1</v>
      </c>
      <c r="S156" s="2" t="s">
        <v>33</v>
      </c>
      <c r="T156" s="2">
        <v>73.3</v>
      </c>
      <c r="U156" s="2">
        <v>0.20300000000000001</v>
      </c>
      <c r="V156" s="2">
        <v>25000</v>
      </c>
      <c r="W156" s="2">
        <v>0.22700000000000001</v>
      </c>
      <c r="X156" s="2">
        <v>4.6100000000000002E-2</v>
      </c>
      <c r="Y156" s="2">
        <v>0.63600000000000001</v>
      </c>
    </row>
    <row r="157" spans="1:25" x14ac:dyDescent="0.3">
      <c r="A157" s="2" t="s">
        <v>221</v>
      </c>
      <c r="B157" s="2" t="s">
        <v>51</v>
      </c>
      <c r="C157" s="2" t="s">
        <v>222</v>
      </c>
      <c r="D157" s="2" t="s">
        <v>162</v>
      </c>
      <c r="E157" s="2" t="s">
        <v>163</v>
      </c>
      <c r="F157" s="2">
        <v>400</v>
      </c>
      <c r="G157" s="2" t="s">
        <v>67</v>
      </c>
      <c r="H157" s="2" t="s">
        <v>31</v>
      </c>
      <c r="I157" s="2" t="b">
        <v>1</v>
      </c>
      <c r="J157" s="2">
        <v>1</v>
      </c>
      <c r="K157" s="2">
        <v>0</v>
      </c>
      <c r="L157" s="2">
        <v>0</v>
      </c>
      <c r="M157" s="2">
        <v>1</v>
      </c>
      <c r="N157" s="2">
        <v>55</v>
      </c>
      <c r="O157" s="2">
        <v>0.4</v>
      </c>
      <c r="P157" s="2" t="s">
        <v>162</v>
      </c>
      <c r="Q157" s="2">
        <v>7.4</v>
      </c>
      <c r="R157" s="2">
        <v>13</v>
      </c>
      <c r="S157" s="2" t="s">
        <v>41</v>
      </c>
      <c r="T157" s="2">
        <v>73.8</v>
      </c>
      <c r="U157" s="2">
        <v>0.21199999999999999</v>
      </c>
      <c r="V157" s="2">
        <v>5050</v>
      </c>
      <c r="W157" s="2">
        <v>4.2000000000000003E-2</v>
      </c>
      <c r="X157" s="2">
        <v>8.8999999999999999E-3</v>
      </c>
      <c r="Y157" s="2">
        <v>0.80100000000000005</v>
      </c>
    </row>
    <row r="158" spans="1:25" x14ac:dyDescent="0.3">
      <c r="A158" s="2" t="s">
        <v>223</v>
      </c>
      <c r="B158" s="2" t="s">
        <v>51</v>
      </c>
      <c r="C158" s="2" t="s">
        <v>224</v>
      </c>
      <c r="D158" s="2" t="s">
        <v>190</v>
      </c>
      <c r="E158" s="2" t="s">
        <v>191</v>
      </c>
      <c r="F158" s="2"/>
      <c r="G158" s="2" t="s">
        <v>67</v>
      </c>
      <c r="H158" s="2" t="s">
        <v>31</v>
      </c>
      <c r="I158" s="2" t="b">
        <v>1</v>
      </c>
      <c r="J158" s="2">
        <v>1</v>
      </c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x14ac:dyDescent="0.3">
      <c r="A159" s="2" t="s">
        <v>225</v>
      </c>
      <c r="B159" s="2" t="s">
        <v>147</v>
      </c>
      <c r="C159" s="2" t="s">
        <v>226</v>
      </c>
      <c r="D159" s="2" t="s">
        <v>118</v>
      </c>
      <c r="E159" s="2" t="s">
        <v>119</v>
      </c>
      <c r="F159" s="2">
        <v>3500</v>
      </c>
      <c r="G159" s="2" t="s">
        <v>30</v>
      </c>
      <c r="H159" s="2" t="s">
        <v>31</v>
      </c>
      <c r="I159" s="2" t="b">
        <v>1</v>
      </c>
      <c r="J159" s="2">
        <v>2</v>
      </c>
      <c r="K159" s="2">
        <v>0</v>
      </c>
      <c r="L159" s="2">
        <v>0</v>
      </c>
      <c r="M159" s="2">
        <v>2</v>
      </c>
      <c r="N159" s="2">
        <v>75.5</v>
      </c>
      <c r="O159" s="2">
        <v>0.191</v>
      </c>
      <c r="P159" s="2" t="s">
        <v>120</v>
      </c>
      <c r="Q159" s="2">
        <v>27.8</v>
      </c>
      <c r="R159" s="2">
        <v>5</v>
      </c>
      <c r="S159" s="2" t="s">
        <v>41</v>
      </c>
      <c r="T159" s="2">
        <v>73.900000000000006</v>
      </c>
      <c r="U159" s="2">
        <v>0.20599999999999999</v>
      </c>
      <c r="V159" s="2">
        <v>19750</v>
      </c>
      <c r="W159" s="2">
        <v>7.9000000000000001E-2</v>
      </c>
      <c r="X159" s="2">
        <v>1.6299999999999999E-2</v>
      </c>
      <c r="Y159" s="2">
        <v>0.68600000000000005</v>
      </c>
    </row>
    <row r="160" spans="1:25" x14ac:dyDescent="0.3">
      <c r="A160" s="2" t="s">
        <v>227</v>
      </c>
      <c r="B160" s="2" t="s">
        <v>228</v>
      </c>
      <c r="C160" s="2" t="s">
        <v>229</v>
      </c>
      <c r="D160" s="2" t="s">
        <v>230</v>
      </c>
      <c r="E160" s="2" t="s">
        <v>168</v>
      </c>
      <c r="F160" s="2"/>
      <c r="G160" s="2" t="s">
        <v>67</v>
      </c>
      <c r="H160" s="2" t="s">
        <v>31</v>
      </c>
      <c r="I160" s="2" t="b">
        <v>1</v>
      </c>
      <c r="J160" s="2">
        <v>2</v>
      </c>
      <c r="K160" s="2"/>
      <c r="L160" s="2"/>
      <c r="M160" s="2"/>
      <c r="N160" s="2"/>
      <c r="O160" s="2"/>
      <c r="P160" s="2" t="s">
        <v>169</v>
      </c>
      <c r="Q160" s="2">
        <v>67.900000000000006</v>
      </c>
      <c r="R160" s="2">
        <v>4</v>
      </c>
      <c r="S160" s="2" t="s">
        <v>33</v>
      </c>
      <c r="T160" s="2">
        <v>59.1</v>
      </c>
      <c r="U160" s="2">
        <v>0.42099999999999999</v>
      </c>
      <c r="V160" s="2">
        <v>17250</v>
      </c>
      <c r="W160" s="2">
        <v>0.13300000000000001</v>
      </c>
      <c r="X160" s="2">
        <v>5.5899999999999998E-2</v>
      </c>
      <c r="Y160" s="2">
        <v>0.79200000000000004</v>
      </c>
    </row>
    <row r="161" spans="1:25" x14ac:dyDescent="0.3">
      <c r="A161" s="2" t="s">
        <v>231</v>
      </c>
      <c r="B161" s="2" t="s">
        <v>232</v>
      </c>
      <c r="C161" s="2" t="s">
        <v>233</v>
      </c>
      <c r="D161" s="2" t="s">
        <v>234</v>
      </c>
      <c r="E161" s="2" t="s">
        <v>235</v>
      </c>
      <c r="F161" s="2"/>
      <c r="G161" s="2" t="s">
        <v>39</v>
      </c>
      <c r="H161" s="2" t="s">
        <v>73</v>
      </c>
      <c r="I161" s="2" t="b">
        <v>1</v>
      </c>
      <c r="J161" s="2">
        <v>4</v>
      </c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x14ac:dyDescent="0.3">
      <c r="A162" s="2" t="s">
        <v>237</v>
      </c>
      <c r="B162" s="2" t="s">
        <v>238</v>
      </c>
      <c r="C162" s="2" t="s">
        <v>239</v>
      </c>
      <c r="D162" s="2" t="s">
        <v>240</v>
      </c>
      <c r="E162" s="2" t="s">
        <v>141</v>
      </c>
      <c r="F162" s="2">
        <v>3000</v>
      </c>
      <c r="G162" s="2" t="s">
        <v>30</v>
      </c>
      <c r="H162" s="2" t="s">
        <v>31</v>
      </c>
      <c r="I162" s="2" t="b">
        <v>1</v>
      </c>
      <c r="J162" s="2">
        <v>3</v>
      </c>
      <c r="K162" s="2">
        <v>0</v>
      </c>
      <c r="L162" s="2">
        <v>1</v>
      </c>
      <c r="M162" s="2">
        <v>2</v>
      </c>
      <c r="N162" s="2">
        <v>82</v>
      </c>
      <c r="O162" s="2">
        <v>0.111</v>
      </c>
      <c r="P162" s="2" t="s">
        <v>142</v>
      </c>
      <c r="Q162" s="2">
        <v>11.7</v>
      </c>
      <c r="R162" s="2">
        <v>11</v>
      </c>
      <c r="S162" s="2" t="s">
        <v>41</v>
      </c>
      <c r="T162" s="2">
        <v>78.3</v>
      </c>
      <c r="U162" s="2">
        <v>0.14899999999999999</v>
      </c>
      <c r="V162" s="2">
        <v>10250</v>
      </c>
      <c r="W162" s="2">
        <v>4.7E-2</v>
      </c>
      <c r="X162" s="2">
        <v>6.8999999999999999E-3</v>
      </c>
      <c r="Y162" s="2">
        <v>0.64500000000000002</v>
      </c>
    </row>
    <row r="163" spans="1:25" x14ac:dyDescent="0.3">
      <c r="A163" s="2" t="s">
        <v>241</v>
      </c>
      <c r="B163" s="2" t="s">
        <v>232</v>
      </c>
      <c r="C163" s="2" t="s">
        <v>242</v>
      </c>
      <c r="D163" s="2" t="s">
        <v>243</v>
      </c>
      <c r="E163" s="2" t="s">
        <v>235</v>
      </c>
      <c r="F163" s="2">
        <v>1200</v>
      </c>
      <c r="G163" s="2" t="s">
        <v>39</v>
      </c>
      <c r="H163" s="2" t="s">
        <v>31</v>
      </c>
      <c r="I163" s="2" t="b">
        <v>1</v>
      </c>
      <c r="J163" s="2">
        <v>3</v>
      </c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x14ac:dyDescent="0.3">
      <c r="A164" s="2" t="s">
        <v>244</v>
      </c>
      <c r="B164" s="2" t="s">
        <v>75</v>
      </c>
      <c r="C164" s="2" t="s">
        <v>245</v>
      </c>
      <c r="D164" s="2" t="s">
        <v>246</v>
      </c>
      <c r="E164" s="2" t="s">
        <v>78</v>
      </c>
      <c r="F164" s="2">
        <v>3000</v>
      </c>
      <c r="G164" s="2" t="s">
        <v>30</v>
      </c>
      <c r="H164" s="2" t="s">
        <v>31</v>
      </c>
      <c r="I164" s="2" t="b">
        <v>1</v>
      </c>
      <c r="J164" s="2">
        <v>4</v>
      </c>
      <c r="K164" s="2">
        <v>0</v>
      </c>
      <c r="L164" s="2">
        <v>0</v>
      </c>
      <c r="M164" s="2">
        <v>4</v>
      </c>
      <c r="N164" s="2">
        <v>58.4</v>
      </c>
      <c r="O164" s="2">
        <v>0.42299999999999999</v>
      </c>
      <c r="P164" s="2" t="s">
        <v>79</v>
      </c>
      <c r="Q164" s="2">
        <v>16.7</v>
      </c>
      <c r="R164" s="2">
        <v>9</v>
      </c>
      <c r="S164" s="2" t="s">
        <v>41</v>
      </c>
      <c r="T164" s="2">
        <v>58.4</v>
      </c>
      <c r="U164" s="2">
        <v>0.42299999999999999</v>
      </c>
      <c r="V164" s="2">
        <v>3500</v>
      </c>
      <c r="W164" s="2">
        <v>2.1999999999999999E-2</v>
      </c>
      <c r="X164" s="2">
        <v>9.2999999999999992E-3</v>
      </c>
      <c r="Y164" s="2">
        <v>0.64</v>
      </c>
    </row>
    <row r="165" spans="1:25" x14ac:dyDescent="0.3">
      <c r="A165" s="2" t="s">
        <v>247</v>
      </c>
      <c r="B165" s="2" t="s">
        <v>165</v>
      </c>
      <c r="C165" s="2" t="s">
        <v>248</v>
      </c>
      <c r="D165" s="2" t="s">
        <v>249</v>
      </c>
      <c r="E165" s="2" t="s">
        <v>88</v>
      </c>
      <c r="F165" s="2">
        <v>1200</v>
      </c>
      <c r="G165" s="2" t="s">
        <v>39</v>
      </c>
      <c r="H165" s="2" t="s">
        <v>31</v>
      </c>
      <c r="I165" s="2" t="b">
        <v>1</v>
      </c>
      <c r="J165" s="2">
        <v>3</v>
      </c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x14ac:dyDescent="0.3">
      <c r="A166" s="2" t="s">
        <v>250</v>
      </c>
      <c r="B166" s="2" t="s">
        <v>101</v>
      </c>
      <c r="C166" s="2" t="s">
        <v>102</v>
      </c>
      <c r="D166" s="2" t="s">
        <v>103</v>
      </c>
      <c r="E166" s="2" t="s">
        <v>251</v>
      </c>
      <c r="F166" s="2">
        <v>12000</v>
      </c>
      <c r="G166" s="2" t="s">
        <v>47</v>
      </c>
      <c r="H166" s="2" t="s">
        <v>31</v>
      </c>
      <c r="I166" s="2" t="b">
        <v>1</v>
      </c>
      <c r="J166" s="2">
        <v>3</v>
      </c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x14ac:dyDescent="0.3">
      <c r="A167" s="2" t="s">
        <v>252</v>
      </c>
      <c r="B167" s="2" t="s">
        <v>101</v>
      </c>
      <c r="C167" s="2" t="s">
        <v>253</v>
      </c>
      <c r="D167" s="2" t="s">
        <v>254</v>
      </c>
      <c r="E167" s="2" t="s">
        <v>135</v>
      </c>
      <c r="F167" s="2">
        <v>10000</v>
      </c>
      <c r="G167" s="2" t="s">
        <v>47</v>
      </c>
      <c r="H167" s="2" t="s">
        <v>31</v>
      </c>
      <c r="I167" s="2" t="b">
        <v>1</v>
      </c>
      <c r="J167" s="2">
        <v>3</v>
      </c>
      <c r="K167" s="2">
        <v>1</v>
      </c>
      <c r="L167" s="2">
        <v>1</v>
      </c>
      <c r="M167" s="2">
        <v>1</v>
      </c>
      <c r="N167" s="2">
        <v>55.8</v>
      </c>
      <c r="O167" s="2">
        <v>0.47499999999999998</v>
      </c>
      <c r="P167" s="2" t="s">
        <v>136</v>
      </c>
      <c r="Q167" s="2">
        <v>25.3</v>
      </c>
      <c r="R167" s="2">
        <v>6</v>
      </c>
      <c r="S167" s="2" t="s">
        <v>41</v>
      </c>
      <c r="T167" s="2">
        <v>64.5</v>
      </c>
      <c r="U167" s="2">
        <v>0.317</v>
      </c>
      <c r="V167" s="2">
        <v>45950</v>
      </c>
      <c r="W167" s="2">
        <v>8.7999999999999995E-2</v>
      </c>
      <c r="X167" s="2">
        <v>2.8000000000000001E-2</v>
      </c>
      <c r="Y167" s="2">
        <v>0.83399999999999996</v>
      </c>
    </row>
    <row r="168" spans="1:25" x14ac:dyDescent="0.3">
      <c r="A168" s="2" t="s">
        <v>255</v>
      </c>
      <c r="B168" s="2" t="s">
        <v>256</v>
      </c>
      <c r="C168" s="2" t="s">
        <v>257</v>
      </c>
      <c r="D168" s="2" t="s">
        <v>53</v>
      </c>
      <c r="E168" s="2" t="s">
        <v>54</v>
      </c>
      <c r="F168" s="2"/>
      <c r="G168" s="2" t="s">
        <v>47</v>
      </c>
      <c r="H168" s="2" t="s">
        <v>31</v>
      </c>
      <c r="I168" s="2" t="b">
        <v>1</v>
      </c>
      <c r="J168" s="2">
        <v>2</v>
      </c>
      <c r="K168" s="2"/>
      <c r="L168" s="2"/>
      <c r="M168" s="2"/>
      <c r="N168" s="2"/>
      <c r="O168" s="2"/>
      <c r="P168" s="2" t="s">
        <v>55</v>
      </c>
      <c r="Q168" s="2">
        <v>92</v>
      </c>
      <c r="R168" s="2">
        <v>2</v>
      </c>
      <c r="S168" s="2" t="s">
        <v>33</v>
      </c>
      <c r="T168" s="2">
        <v>69</v>
      </c>
      <c r="U168" s="2">
        <v>0.254</v>
      </c>
      <c r="V168" s="2">
        <v>71000</v>
      </c>
      <c r="W168" s="2">
        <v>0.35499999999999998</v>
      </c>
      <c r="X168" s="2">
        <v>9.0200000000000002E-2</v>
      </c>
      <c r="Y168" s="2">
        <v>0.82799999999999996</v>
      </c>
    </row>
    <row r="169" spans="1:25" x14ac:dyDescent="0.3">
      <c r="A169" s="2" t="s">
        <v>258</v>
      </c>
      <c r="B169" s="2" t="s">
        <v>85</v>
      </c>
      <c r="C169" s="2" t="s">
        <v>259</v>
      </c>
      <c r="D169" s="2" t="s">
        <v>260</v>
      </c>
      <c r="E169" s="2" t="s">
        <v>88</v>
      </c>
      <c r="F169" s="2"/>
      <c r="G169" s="2" t="s">
        <v>30</v>
      </c>
      <c r="H169" s="2" t="s">
        <v>31</v>
      </c>
      <c r="I169" s="2" t="b">
        <v>1</v>
      </c>
      <c r="J169" s="2">
        <v>3</v>
      </c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x14ac:dyDescent="0.3">
      <c r="A170" s="2" t="s">
        <v>261</v>
      </c>
      <c r="B170" s="2" t="s">
        <v>35</v>
      </c>
      <c r="C170" s="2" t="s">
        <v>262</v>
      </c>
      <c r="D170" s="2" t="s">
        <v>263</v>
      </c>
      <c r="E170" s="2" t="s">
        <v>38</v>
      </c>
      <c r="F170" s="2"/>
      <c r="G170" s="2" t="s">
        <v>47</v>
      </c>
      <c r="H170" s="2" t="s">
        <v>48</v>
      </c>
      <c r="I170" s="2" t="b">
        <v>1</v>
      </c>
      <c r="J170" s="2">
        <v>3</v>
      </c>
      <c r="K170" s="2">
        <v>0</v>
      </c>
      <c r="L170" s="2">
        <v>0</v>
      </c>
      <c r="M170" s="2">
        <v>3</v>
      </c>
      <c r="N170" s="2">
        <v>67.900000000000006</v>
      </c>
      <c r="O170" s="2">
        <v>0.26900000000000002</v>
      </c>
      <c r="P170" s="2" t="s">
        <v>40</v>
      </c>
      <c r="Q170" s="2">
        <v>22.8</v>
      </c>
      <c r="R170" s="2">
        <v>7</v>
      </c>
      <c r="S170" s="2" t="s">
        <v>41</v>
      </c>
      <c r="T170" s="2">
        <v>68.5</v>
      </c>
      <c r="U170" s="2">
        <v>0.26200000000000001</v>
      </c>
      <c r="V170" s="2">
        <v>49000</v>
      </c>
      <c r="W170" s="2">
        <v>0.11700000000000001</v>
      </c>
      <c r="X170" s="2">
        <v>3.0599999999999999E-2</v>
      </c>
      <c r="Y170" s="2">
        <v>0.85799999999999998</v>
      </c>
    </row>
    <row r="171" spans="1:25" x14ac:dyDescent="0.3">
      <c r="A171" s="2" t="s">
        <v>264</v>
      </c>
      <c r="B171" s="2" t="s">
        <v>96</v>
      </c>
      <c r="C171" s="2" t="s">
        <v>265</v>
      </c>
      <c r="D171" s="2" t="s">
        <v>98</v>
      </c>
      <c r="E171" s="2" t="s">
        <v>99</v>
      </c>
      <c r="F171" s="2"/>
      <c r="G171" s="2" t="s">
        <v>47</v>
      </c>
      <c r="H171" s="2" t="s">
        <v>31</v>
      </c>
      <c r="I171" s="2" t="b">
        <v>1</v>
      </c>
      <c r="J171" s="2">
        <v>3</v>
      </c>
      <c r="K171" s="2"/>
      <c r="L171" s="2"/>
      <c r="M171" s="2"/>
      <c r="N171" s="2"/>
      <c r="O171" s="2"/>
      <c r="P171" s="2" t="s">
        <v>98</v>
      </c>
      <c r="Q171" s="2">
        <v>11.1</v>
      </c>
      <c r="R171" s="2">
        <v>12</v>
      </c>
      <c r="S171" s="2" t="s">
        <v>41</v>
      </c>
      <c r="T171" s="2">
        <v>71</v>
      </c>
      <c r="U171" s="2">
        <v>0.224</v>
      </c>
      <c r="V171" s="2">
        <v>7500</v>
      </c>
      <c r="W171" s="2">
        <v>4.2000000000000003E-2</v>
      </c>
      <c r="X171" s="2">
        <v>9.2999999999999992E-3</v>
      </c>
      <c r="Y171" s="2">
        <v>0.74099999999999999</v>
      </c>
    </row>
    <row r="172" spans="1:25" x14ac:dyDescent="0.3">
      <c r="A172" s="2" t="s">
        <v>266</v>
      </c>
      <c r="B172" s="2" t="s">
        <v>267</v>
      </c>
      <c r="C172" s="2" t="s">
        <v>268</v>
      </c>
      <c r="D172" s="2" t="s">
        <v>269</v>
      </c>
      <c r="E172" s="2" t="s">
        <v>168</v>
      </c>
      <c r="F172" s="2"/>
      <c r="G172" s="2" t="s">
        <v>30</v>
      </c>
      <c r="H172" s="2" t="s">
        <v>73</v>
      </c>
      <c r="I172" s="2" t="b">
        <v>1</v>
      </c>
      <c r="J172" s="2">
        <v>2</v>
      </c>
      <c r="K172" s="2">
        <v>1</v>
      </c>
      <c r="L172" s="2">
        <v>0</v>
      </c>
      <c r="M172" s="2">
        <v>1</v>
      </c>
      <c r="N172" s="2">
        <v>39.700000000000003</v>
      </c>
      <c r="O172" s="2">
        <v>0.67100000000000004</v>
      </c>
      <c r="P172" s="2" t="s">
        <v>169</v>
      </c>
      <c r="Q172" s="2">
        <v>67.900000000000006</v>
      </c>
      <c r="R172" s="2">
        <v>4</v>
      </c>
      <c r="S172" s="2" t="s">
        <v>33</v>
      </c>
      <c r="T172" s="2">
        <v>59.1</v>
      </c>
      <c r="U172" s="2">
        <v>0.42099999999999999</v>
      </c>
      <c r="V172" s="2">
        <v>17250</v>
      </c>
      <c r="W172" s="2">
        <v>0.13300000000000001</v>
      </c>
      <c r="X172" s="2">
        <v>5.5899999999999998E-2</v>
      </c>
      <c r="Y172" s="2">
        <v>0.79200000000000004</v>
      </c>
    </row>
    <row r="173" spans="1:25" x14ac:dyDescent="0.3">
      <c r="A173" s="2" t="s">
        <v>270</v>
      </c>
      <c r="B173" s="2" t="s">
        <v>271</v>
      </c>
      <c r="C173" s="2" t="s">
        <v>272</v>
      </c>
      <c r="D173" s="2" t="s">
        <v>273</v>
      </c>
      <c r="E173" s="2" t="s">
        <v>125</v>
      </c>
      <c r="F173" s="2">
        <v>1200</v>
      </c>
      <c r="G173" s="2" t="s">
        <v>39</v>
      </c>
      <c r="H173" s="2" t="s">
        <v>31</v>
      </c>
      <c r="I173" s="2" t="b">
        <v>1</v>
      </c>
      <c r="J173" s="2">
        <v>3</v>
      </c>
      <c r="K173" s="2"/>
      <c r="L173" s="2"/>
      <c r="M173" s="2"/>
      <c r="N173" s="2"/>
      <c r="O173" s="2"/>
      <c r="P173" s="2" t="s">
        <v>126</v>
      </c>
      <c r="Q173" s="2">
        <v>69.8</v>
      </c>
      <c r="R173" s="2">
        <v>3</v>
      </c>
      <c r="S173" s="2" t="s">
        <v>33</v>
      </c>
      <c r="T173" s="2">
        <v>64.8</v>
      </c>
      <c r="U173" s="2">
        <v>0.32200000000000001</v>
      </c>
      <c r="V173" s="2">
        <v>7500</v>
      </c>
      <c r="W173" s="2">
        <v>7.9000000000000001E-2</v>
      </c>
      <c r="X173" s="2">
        <v>2.5399999999999999E-2</v>
      </c>
      <c r="Y173" s="2">
        <v>0.53300000000000003</v>
      </c>
    </row>
    <row r="174" spans="1:25" x14ac:dyDescent="0.3">
      <c r="A174" s="2" t="s">
        <v>274</v>
      </c>
      <c r="B174" s="2" t="s">
        <v>228</v>
      </c>
      <c r="C174" s="2" t="s">
        <v>275</v>
      </c>
      <c r="D174" s="2" t="s">
        <v>276</v>
      </c>
      <c r="E174" s="2" t="s">
        <v>168</v>
      </c>
      <c r="F174" s="2"/>
      <c r="G174" s="2" t="s">
        <v>39</v>
      </c>
      <c r="H174" s="2" t="s">
        <v>73</v>
      </c>
      <c r="I174" s="2" t="b">
        <v>1</v>
      </c>
      <c r="J174" s="2">
        <v>3</v>
      </c>
      <c r="K174" s="2">
        <v>1</v>
      </c>
      <c r="L174" s="2">
        <v>0</v>
      </c>
      <c r="M174" s="2">
        <v>2</v>
      </c>
      <c r="N174" s="2">
        <v>52.3</v>
      </c>
      <c r="O174" s="2">
        <v>0.49</v>
      </c>
      <c r="P174" s="2" t="s">
        <v>169</v>
      </c>
      <c r="Q174" s="2">
        <v>67.900000000000006</v>
      </c>
      <c r="R174" s="2">
        <v>4</v>
      </c>
      <c r="S174" s="2" t="s">
        <v>33</v>
      </c>
      <c r="T174" s="2">
        <v>59.1</v>
      </c>
      <c r="U174" s="2">
        <v>0.42099999999999999</v>
      </c>
      <c r="V174" s="2">
        <v>17250</v>
      </c>
      <c r="W174" s="2">
        <v>0.13300000000000001</v>
      </c>
      <c r="X174" s="2">
        <v>5.5899999999999998E-2</v>
      </c>
      <c r="Y174" s="2">
        <v>0.79200000000000004</v>
      </c>
    </row>
    <row r="175" spans="1:25" x14ac:dyDescent="0.3">
      <c r="A175" s="2" t="s">
        <v>277</v>
      </c>
      <c r="B175" s="2" t="s">
        <v>105</v>
      </c>
      <c r="C175" s="2" t="s">
        <v>278</v>
      </c>
      <c r="D175" s="2" t="s">
        <v>260</v>
      </c>
      <c r="E175" s="2" t="s">
        <v>88</v>
      </c>
      <c r="F175" s="2"/>
      <c r="G175" s="2" t="s">
        <v>47</v>
      </c>
      <c r="H175" s="2" t="s">
        <v>48</v>
      </c>
      <c r="I175" s="2" t="b">
        <v>1</v>
      </c>
      <c r="J175" s="2">
        <v>3</v>
      </c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x14ac:dyDescent="0.3">
      <c r="A176" s="2" t="s">
        <v>279</v>
      </c>
      <c r="B176" s="2" t="s">
        <v>280</v>
      </c>
      <c r="C176" s="2" t="s">
        <v>281</v>
      </c>
      <c r="D176" s="2" t="s">
        <v>282</v>
      </c>
      <c r="E176" s="2" t="s">
        <v>38</v>
      </c>
      <c r="F176" s="2"/>
      <c r="G176" s="2" t="s">
        <v>39</v>
      </c>
      <c r="H176" s="2" t="s">
        <v>73</v>
      </c>
      <c r="I176" s="2" t="b">
        <v>1</v>
      </c>
      <c r="J176" s="2">
        <v>3</v>
      </c>
      <c r="K176" s="2"/>
      <c r="L176" s="2"/>
      <c r="M176" s="2"/>
      <c r="N176" s="2"/>
      <c r="O176" s="2"/>
      <c r="P176" s="2" t="s">
        <v>40</v>
      </c>
      <c r="Q176" s="2">
        <v>22.8</v>
      </c>
      <c r="R176" s="2">
        <v>7</v>
      </c>
      <c r="S176" s="2" t="s">
        <v>41</v>
      </c>
      <c r="T176" s="2">
        <v>68.5</v>
      </c>
      <c r="U176" s="2">
        <v>0.26200000000000001</v>
      </c>
      <c r="V176" s="2">
        <v>49000</v>
      </c>
      <c r="W176" s="2">
        <v>0.11700000000000001</v>
      </c>
      <c r="X176" s="2">
        <v>3.0599999999999999E-2</v>
      </c>
      <c r="Y176" s="2">
        <v>0.85799999999999998</v>
      </c>
    </row>
    <row r="177" spans="1:25" x14ac:dyDescent="0.3">
      <c r="A177" s="2" t="s">
        <v>283</v>
      </c>
      <c r="B177" s="2" t="s">
        <v>208</v>
      </c>
      <c r="C177" s="2" t="s">
        <v>284</v>
      </c>
      <c r="D177" s="2" t="s">
        <v>285</v>
      </c>
      <c r="E177" s="2" t="s">
        <v>168</v>
      </c>
      <c r="F177" s="2"/>
      <c r="G177" s="2" t="s">
        <v>30</v>
      </c>
      <c r="H177" s="2" t="s">
        <v>31</v>
      </c>
      <c r="I177" s="2" t="b">
        <v>1</v>
      </c>
      <c r="J177" s="2">
        <v>2</v>
      </c>
      <c r="K177" s="2">
        <v>0</v>
      </c>
      <c r="L177" s="2">
        <v>0</v>
      </c>
      <c r="M177" s="2">
        <v>2</v>
      </c>
      <c r="N177" s="2">
        <v>73.5</v>
      </c>
      <c r="O177" s="2">
        <v>0.22500000000000001</v>
      </c>
      <c r="P177" s="2" t="s">
        <v>169</v>
      </c>
      <c r="Q177" s="2">
        <v>67.900000000000006</v>
      </c>
      <c r="R177" s="2">
        <v>4</v>
      </c>
      <c r="S177" s="2" t="s">
        <v>33</v>
      </c>
      <c r="T177" s="2">
        <v>59.1</v>
      </c>
      <c r="U177" s="2">
        <v>0.42099999999999999</v>
      </c>
      <c r="V177" s="2">
        <v>17250</v>
      </c>
      <c r="W177" s="2">
        <v>0.13300000000000001</v>
      </c>
      <c r="X177" s="2">
        <v>5.5899999999999998E-2</v>
      </c>
      <c r="Y177" s="2">
        <v>0.79200000000000004</v>
      </c>
    </row>
    <row r="178" spans="1:25" x14ac:dyDescent="0.3">
      <c r="A178" s="2" t="s">
        <v>286</v>
      </c>
      <c r="B178" s="2" t="s">
        <v>267</v>
      </c>
      <c r="C178" s="2" t="s">
        <v>287</v>
      </c>
      <c r="D178" s="2" t="s">
        <v>269</v>
      </c>
      <c r="E178" s="2" t="s">
        <v>168</v>
      </c>
      <c r="F178" s="2"/>
      <c r="G178" s="2" t="s">
        <v>30</v>
      </c>
      <c r="H178" s="2" t="s">
        <v>73</v>
      </c>
      <c r="I178" s="2" t="b">
        <v>1</v>
      </c>
      <c r="J178" s="2">
        <v>3</v>
      </c>
      <c r="K178" s="2"/>
      <c r="L178" s="2"/>
      <c r="M178" s="2"/>
      <c r="N178" s="2"/>
      <c r="O178" s="2"/>
      <c r="P178" s="2" t="s">
        <v>169</v>
      </c>
      <c r="Q178" s="2">
        <v>67.900000000000006</v>
      </c>
      <c r="R178" s="2">
        <v>4</v>
      </c>
      <c r="S178" s="2" t="s">
        <v>33</v>
      </c>
      <c r="T178" s="2">
        <v>59.1</v>
      </c>
      <c r="U178" s="2">
        <v>0.42099999999999999</v>
      </c>
      <c r="V178" s="2">
        <v>17250</v>
      </c>
      <c r="W178" s="2">
        <v>0.13300000000000001</v>
      </c>
      <c r="X178" s="2">
        <v>5.5899999999999998E-2</v>
      </c>
      <c r="Y178" s="2">
        <v>0.79200000000000004</v>
      </c>
    </row>
    <row r="179" spans="1:25" x14ac:dyDescent="0.3">
      <c r="A179" s="2" t="s">
        <v>288</v>
      </c>
      <c r="B179" s="2" t="s">
        <v>289</v>
      </c>
      <c r="C179" s="2" t="s">
        <v>290</v>
      </c>
      <c r="D179" s="2" t="s">
        <v>291</v>
      </c>
      <c r="E179" s="2" t="s">
        <v>135</v>
      </c>
      <c r="F179" s="2">
        <v>6000</v>
      </c>
      <c r="G179" s="2" t="s">
        <v>47</v>
      </c>
      <c r="H179" s="2" t="s">
        <v>31</v>
      </c>
      <c r="I179" s="2" t="b">
        <v>1</v>
      </c>
      <c r="J179" s="2">
        <v>4</v>
      </c>
      <c r="K179" s="2">
        <v>1</v>
      </c>
      <c r="L179" s="2">
        <v>1</v>
      </c>
      <c r="M179" s="2">
        <v>2</v>
      </c>
      <c r="N179" s="2">
        <v>61.8</v>
      </c>
      <c r="O179" s="2">
        <v>0.36799999999999999</v>
      </c>
      <c r="P179" s="2" t="s">
        <v>136</v>
      </c>
      <c r="Q179" s="2">
        <v>25.3</v>
      </c>
      <c r="R179" s="2">
        <v>6</v>
      </c>
      <c r="S179" s="2" t="s">
        <v>41</v>
      </c>
      <c r="T179" s="2">
        <v>64.5</v>
      </c>
      <c r="U179" s="2">
        <v>0.317</v>
      </c>
      <c r="V179" s="2">
        <v>45950</v>
      </c>
      <c r="W179" s="2">
        <v>8.7999999999999995E-2</v>
      </c>
      <c r="X179" s="2">
        <v>2.8000000000000001E-2</v>
      </c>
      <c r="Y179" s="2">
        <v>0.83399999999999996</v>
      </c>
    </row>
    <row r="180" spans="1:25" x14ac:dyDescent="0.3">
      <c r="A180" s="2" t="s">
        <v>292</v>
      </c>
      <c r="B180" s="2" t="s">
        <v>132</v>
      </c>
      <c r="C180" s="2" t="s">
        <v>293</v>
      </c>
      <c r="D180" s="2" t="s">
        <v>294</v>
      </c>
      <c r="E180" s="2" t="s">
        <v>135</v>
      </c>
      <c r="F180" s="2"/>
      <c r="G180" s="2" t="s">
        <v>39</v>
      </c>
      <c r="H180" s="2" t="s">
        <v>73</v>
      </c>
      <c r="I180" s="2" t="b">
        <v>1</v>
      </c>
      <c r="J180" s="2">
        <v>2</v>
      </c>
      <c r="K180" s="2"/>
      <c r="L180" s="2"/>
      <c r="M180" s="2"/>
      <c r="N180" s="2"/>
      <c r="O180" s="2"/>
      <c r="P180" s="2" t="s">
        <v>136</v>
      </c>
      <c r="Q180" s="2">
        <v>25.3</v>
      </c>
      <c r="R180" s="2">
        <v>6</v>
      </c>
      <c r="S180" s="2" t="s">
        <v>41</v>
      </c>
      <c r="T180" s="2">
        <v>64.5</v>
      </c>
      <c r="U180" s="2">
        <v>0.317</v>
      </c>
      <c r="V180" s="2">
        <v>45950</v>
      </c>
      <c r="W180" s="2">
        <v>8.7999999999999995E-2</v>
      </c>
      <c r="X180" s="2">
        <v>2.8000000000000001E-2</v>
      </c>
      <c r="Y180" s="2">
        <v>0.83399999999999996</v>
      </c>
    </row>
    <row r="181" spans="1:25" x14ac:dyDescent="0.3">
      <c r="A181" s="2" t="s">
        <v>295</v>
      </c>
      <c r="B181" s="2" t="s">
        <v>132</v>
      </c>
      <c r="C181" s="2" t="s">
        <v>296</v>
      </c>
      <c r="D181" s="2" t="s">
        <v>134</v>
      </c>
      <c r="E181" s="2" t="s">
        <v>135</v>
      </c>
      <c r="F181" s="2"/>
      <c r="G181" s="2" t="s">
        <v>39</v>
      </c>
      <c r="H181" s="2" t="s">
        <v>73</v>
      </c>
      <c r="I181" s="2" t="b">
        <v>1</v>
      </c>
      <c r="J181" s="2">
        <v>3</v>
      </c>
      <c r="K181" s="2">
        <v>1</v>
      </c>
      <c r="L181" s="2">
        <v>0</v>
      </c>
      <c r="M181" s="2">
        <v>2</v>
      </c>
      <c r="N181" s="2">
        <v>60.5</v>
      </c>
      <c r="O181" s="2">
        <v>0.377</v>
      </c>
      <c r="P181" s="2" t="s">
        <v>136</v>
      </c>
      <c r="Q181" s="2">
        <v>25.3</v>
      </c>
      <c r="R181" s="2">
        <v>6</v>
      </c>
      <c r="S181" s="2" t="s">
        <v>41</v>
      </c>
      <c r="T181" s="2">
        <v>64.5</v>
      </c>
      <c r="U181" s="2">
        <v>0.317</v>
      </c>
      <c r="V181" s="2">
        <v>45950</v>
      </c>
      <c r="W181" s="2">
        <v>8.7999999999999995E-2</v>
      </c>
      <c r="X181" s="2">
        <v>2.8000000000000001E-2</v>
      </c>
      <c r="Y181" s="2">
        <v>0.83399999999999996</v>
      </c>
    </row>
    <row r="182" spans="1:25" x14ac:dyDescent="0.3">
      <c r="A182" s="2" t="s">
        <v>297</v>
      </c>
      <c r="B182" s="2" t="s">
        <v>298</v>
      </c>
      <c r="C182" s="2" t="s">
        <v>299</v>
      </c>
      <c r="D182" s="2" t="s">
        <v>300</v>
      </c>
      <c r="E182" s="2" t="s">
        <v>157</v>
      </c>
      <c r="F182" s="2"/>
      <c r="G182" s="2" t="s">
        <v>39</v>
      </c>
      <c r="H182" s="2" t="s">
        <v>73</v>
      </c>
      <c r="I182" s="2" t="b">
        <v>1</v>
      </c>
      <c r="J182" s="2">
        <v>3</v>
      </c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x14ac:dyDescent="0.3">
      <c r="A183" s="2" t="s">
        <v>301</v>
      </c>
      <c r="B183" s="2" t="s">
        <v>128</v>
      </c>
      <c r="C183" s="2" t="s">
        <v>302</v>
      </c>
      <c r="D183" s="2" t="s">
        <v>130</v>
      </c>
      <c r="E183" s="2" t="s">
        <v>108</v>
      </c>
      <c r="F183" s="2"/>
      <c r="G183" s="2" t="s">
        <v>39</v>
      </c>
      <c r="H183" s="2" t="s">
        <v>73</v>
      </c>
      <c r="I183" s="2" t="b">
        <v>1</v>
      </c>
      <c r="J183" s="2">
        <v>3</v>
      </c>
      <c r="K183" s="2">
        <v>0</v>
      </c>
      <c r="L183" s="2">
        <v>1</v>
      </c>
      <c r="M183" s="2">
        <v>2</v>
      </c>
      <c r="N183" s="2">
        <v>82</v>
      </c>
      <c r="O183" s="2">
        <v>0.111</v>
      </c>
      <c r="P183" s="2" t="s">
        <v>109</v>
      </c>
      <c r="Q183" s="2">
        <v>100</v>
      </c>
      <c r="R183" s="2">
        <v>1</v>
      </c>
      <c r="S183" s="2" t="s">
        <v>33</v>
      </c>
      <c r="T183" s="2">
        <v>73.3</v>
      </c>
      <c r="U183" s="2">
        <v>0.20300000000000001</v>
      </c>
      <c r="V183" s="2">
        <v>25000</v>
      </c>
      <c r="W183" s="2">
        <v>0.22700000000000001</v>
      </c>
      <c r="X183" s="2">
        <v>4.6100000000000002E-2</v>
      </c>
      <c r="Y183" s="2">
        <v>0.63600000000000001</v>
      </c>
    </row>
    <row r="184" spans="1:25" x14ac:dyDescent="0.3">
      <c r="A184" s="2" t="s">
        <v>303</v>
      </c>
      <c r="B184" s="2" t="s">
        <v>165</v>
      </c>
      <c r="C184" s="2" t="s">
        <v>304</v>
      </c>
      <c r="D184" s="2" t="s">
        <v>305</v>
      </c>
      <c r="E184" s="2" t="s">
        <v>88</v>
      </c>
      <c r="F184" s="2"/>
      <c r="G184" s="2" t="s">
        <v>39</v>
      </c>
      <c r="H184" s="2" t="s">
        <v>73</v>
      </c>
      <c r="I184" s="2" t="b">
        <v>1</v>
      </c>
      <c r="J184" s="2">
        <v>2</v>
      </c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x14ac:dyDescent="0.3">
      <c r="A185" s="2" t="s">
        <v>306</v>
      </c>
      <c r="B185" s="2" t="s">
        <v>307</v>
      </c>
      <c r="C185" s="2" t="s">
        <v>308</v>
      </c>
      <c r="D185" s="2" t="s">
        <v>309</v>
      </c>
      <c r="E185" s="2" t="s">
        <v>157</v>
      </c>
      <c r="F185" s="2"/>
      <c r="G185" s="2" t="s">
        <v>30</v>
      </c>
      <c r="H185" s="2" t="s">
        <v>31</v>
      </c>
      <c r="I185" s="2" t="b">
        <v>1</v>
      </c>
      <c r="J185" s="2">
        <v>2</v>
      </c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x14ac:dyDescent="0.3">
      <c r="A186" s="2" t="s">
        <v>310</v>
      </c>
      <c r="B186" s="2" t="s">
        <v>51</v>
      </c>
      <c r="C186" s="2" t="s">
        <v>311</v>
      </c>
      <c r="D186" s="2" t="s">
        <v>190</v>
      </c>
      <c r="E186" s="2" t="s">
        <v>191</v>
      </c>
      <c r="F186" s="2">
        <v>8000</v>
      </c>
      <c r="G186" s="2" t="s">
        <v>47</v>
      </c>
      <c r="H186" s="2" t="s">
        <v>31</v>
      </c>
      <c r="I186" s="2" t="b">
        <v>1</v>
      </c>
      <c r="J186" s="2">
        <v>3</v>
      </c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x14ac:dyDescent="0.3">
      <c r="A187" s="2" t="s">
        <v>312</v>
      </c>
      <c r="B187" s="2" t="s">
        <v>101</v>
      </c>
      <c r="C187" s="2" t="s">
        <v>313</v>
      </c>
      <c r="D187" s="2" t="s">
        <v>314</v>
      </c>
      <c r="E187" s="2" t="s">
        <v>135</v>
      </c>
      <c r="F187" s="2">
        <v>1200</v>
      </c>
      <c r="G187" s="2" t="s">
        <v>39</v>
      </c>
      <c r="H187" s="2" t="s">
        <v>31</v>
      </c>
      <c r="I187" s="2" t="b">
        <v>1</v>
      </c>
      <c r="J187" s="2">
        <v>1</v>
      </c>
      <c r="K187" s="2"/>
      <c r="L187" s="2"/>
      <c r="M187" s="2"/>
      <c r="N187" s="2"/>
      <c r="O187" s="2"/>
      <c r="P187" s="2" t="s">
        <v>136</v>
      </c>
      <c r="Q187" s="2">
        <v>25.3</v>
      </c>
      <c r="R187" s="2">
        <v>6</v>
      </c>
      <c r="S187" s="2" t="s">
        <v>41</v>
      </c>
      <c r="T187" s="2">
        <v>64.5</v>
      </c>
      <c r="U187" s="2">
        <v>0.317</v>
      </c>
      <c r="V187" s="2">
        <v>45950</v>
      </c>
      <c r="W187" s="2">
        <v>8.7999999999999995E-2</v>
      </c>
      <c r="X187" s="2">
        <v>2.8000000000000001E-2</v>
      </c>
      <c r="Y187" s="2">
        <v>0.83399999999999996</v>
      </c>
    </row>
    <row r="188" spans="1:25" x14ac:dyDescent="0.3">
      <c r="A188" s="2" t="s">
        <v>315</v>
      </c>
      <c r="B188" s="2" t="s">
        <v>316</v>
      </c>
      <c r="C188" s="2" t="s">
        <v>317</v>
      </c>
      <c r="D188" s="2" t="s">
        <v>318</v>
      </c>
      <c r="E188" s="2" t="s">
        <v>319</v>
      </c>
      <c r="F188" s="2">
        <v>12000</v>
      </c>
      <c r="G188" s="2" t="s">
        <v>47</v>
      </c>
      <c r="H188" s="2" t="s">
        <v>31</v>
      </c>
      <c r="I188" s="2" t="b">
        <v>1</v>
      </c>
      <c r="J188" s="2">
        <v>4</v>
      </c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x14ac:dyDescent="0.3">
      <c r="A189" s="2" t="s">
        <v>321</v>
      </c>
      <c r="B189" s="2" t="s">
        <v>298</v>
      </c>
      <c r="C189" s="2" t="s">
        <v>322</v>
      </c>
      <c r="D189" s="2" t="s">
        <v>323</v>
      </c>
      <c r="E189" s="2" t="s">
        <v>157</v>
      </c>
      <c r="F189" s="2"/>
      <c r="G189" s="2" t="s">
        <v>39</v>
      </c>
      <c r="H189" s="2" t="s">
        <v>73</v>
      </c>
      <c r="I189" s="2" t="b">
        <v>1</v>
      </c>
      <c r="J189" s="2">
        <v>2</v>
      </c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x14ac:dyDescent="0.3">
      <c r="A190" s="2" t="s">
        <v>324</v>
      </c>
      <c r="B190" s="2" t="s">
        <v>280</v>
      </c>
      <c r="C190" s="2" t="s">
        <v>325</v>
      </c>
      <c r="D190" s="2" t="s">
        <v>326</v>
      </c>
      <c r="E190" s="2" t="s">
        <v>38</v>
      </c>
      <c r="F190" s="2"/>
      <c r="G190" s="2" t="s">
        <v>67</v>
      </c>
      <c r="H190" s="2" t="s">
        <v>73</v>
      </c>
      <c r="I190" s="2" t="b">
        <v>1</v>
      </c>
      <c r="J190" s="2">
        <v>3</v>
      </c>
      <c r="K190" s="2"/>
      <c r="L190" s="2"/>
      <c r="M190" s="2"/>
      <c r="N190" s="2"/>
      <c r="O190" s="2"/>
      <c r="P190" s="2" t="s">
        <v>40</v>
      </c>
      <c r="Q190" s="2">
        <v>22.8</v>
      </c>
      <c r="R190" s="2">
        <v>7</v>
      </c>
      <c r="S190" s="2" t="s">
        <v>41</v>
      </c>
      <c r="T190" s="2">
        <v>68.5</v>
      </c>
      <c r="U190" s="2">
        <v>0.26200000000000001</v>
      </c>
      <c r="V190" s="2">
        <v>49000</v>
      </c>
      <c r="W190" s="2">
        <v>0.11700000000000001</v>
      </c>
      <c r="X190" s="2">
        <v>3.0599999999999999E-2</v>
      </c>
      <c r="Y190" s="2">
        <v>0.85799999999999998</v>
      </c>
    </row>
    <row r="191" spans="1:25" x14ac:dyDescent="0.3">
      <c r="A191" s="2" t="s">
        <v>327</v>
      </c>
      <c r="B191" s="2" t="s">
        <v>101</v>
      </c>
      <c r="C191" s="2" t="s">
        <v>328</v>
      </c>
      <c r="D191" s="2" t="s">
        <v>314</v>
      </c>
      <c r="E191" s="2" t="s">
        <v>135</v>
      </c>
      <c r="F191" s="2">
        <v>1500</v>
      </c>
      <c r="G191" s="2" t="s">
        <v>39</v>
      </c>
      <c r="H191" s="2" t="s">
        <v>31</v>
      </c>
      <c r="I191" s="2" t="b">
        <v>1</v>
      </c>
      <c r="J191" s="2">
        <v>1</v>
      </c>
      <c r="K191" s="2">
        <v>1</v>
      </c>
      <c r="L191" s="2">
        <v>0</v>
      </c>
      <c r="M191" s="2">
        <v>0</v>
      </c>
      <c r="N191" s="2">
        <v>15</v>
      </c>
      <c r="O191" s="2">
        <v>1</v>
      </c>
      <c r="P191" s="2" t="s">
        <v>136</v>
      </c>
      <c r="Q191" s="2">
        <v>25.3</v>
      </c>
      <c r="R191" s="2">
        <v>6</v>
      </c>
      <c r="S191" s="2" t="s">
        <v>41</v>
      </c>
      <c r="T191" s="2">
        <v>64.5</v>
      </c>
      <c r="U191" s="2">
        <v>0.317</v>
      </c>
      <c r="V191" s="2">
        <v>45950</v>
      </c>
      <c r="W191" s="2">
        <v>8.7999999999999995E-2</v>
      </c>
      <c r="X191" s="2">
        <v>2.8000000000000001E-2</v>
      </c>
      <c r="Y191" s="2">
        <v>0.83399999999999996</v>
      </c>
    </row>
    <row r="192" spans="1:25" x14ac:dyDescent="0.3">
      <c r="A192" s="2" t="s">
        <v>329</v>
      </c>
      <c r="B192" s="2" t="s">
        <v>51</v>
      </c>
      <c r="C192" s="2" t="s">
        <v>330</v>
      </c>
      <c r="D192" s="2" t="s">
        <v>94</v>
      </c>
      <c r="E192" s="2" t="s">
        <v>54</v>
      </c>
      <c r="F192" s="2">
        <v>60000</v>
      </c>
      <c r="G192" s="2" t="s">
        <v>47</v>
      </c>
      <c r="H192" s="2" t="s">
        <v>48</v>
      </c>
      <c r="I192" s="2" t="b">
        <v>1</v>
      </c>
      <c r="J192" s="2">
        <v>4</v>
      </c>
      <c r="K192" s="2">
        <v>0</v>
      </c>
      <c r="L192" s="2">
        <v>0</v>
      </c>
      <c r="M192" s="2">
        <v>4</v>
      </c>
      <c r="N192" s="2">
        <v>71</v>
      </c>
      <c r="O192" s="2">
        <v>0.224</v>
      </c>
      <c r="P192" s="2" t="s">
        <v>55</v>
      </c>
      <c r="Q192" s="2">
        <v>92</v>
      </c>
      <c r="R192" s="2">
        <v>2</v>
      </c>
      <c r="S192" s="2" t="s">
        <v>33</v>
      </c>
      <c r="T192" s="2">
        <v>69</v>
      </c>
      <c r="U192" s="2">
        <v>0.254</v>
      </c>
      <c r="V192" s="2">
        <v>71000</v>
      </c>
      <c r="W192" s="2">
        <v>0.35499999999999998</v>
      </c>
      <c r="X192" s="2">
        <v>9.0200000000000002E-2</v>
      </c>
      <c r="Y192" s="2">
        <v>0.82799999999999996</v>
      </c>
    </row>
    <row r="193" spans="1:25" x14ac:dyDescent="0.3">
      <c r="A193" s="2" t="s">
        <v>331</v>
      </c>
      <c r="B193" s="2" t="s">
        <v>256</v>
      </c>
      <c r="C193" s="2" t="s">
        <v>332</v>
      </c>
      <c r="D193" s="2" t="s">
        <v>53</v>
      </c>
      <c r="E193" s="2" t="s">
        <v>54</v>
      </c>
      <c r="F193" s="2"/>
      <c r="G193" s="2" t="s">
        <v>47</v>
      </c>
      <c r="H193" s="2" t="s">
        <v>31</v>
      </c>
      <c r="I193" s="2" t="b">
        <v>1</v>
      </c>
      <c r="J193" s="2">
        <v>1</v>
      </c>
      <c r="K193" s="2">
        <v>0</v>
      </c>
      <c r="L193" s="2">
        <v>0</v>
      </c>
      <c r="M193" s="2">
        <v>1</v>
      </c>
      <c r="N193" s="2">
        <v>78</v>
      </c>
      <c r="O193" s="2">
        <v>0.15</v>
      </c>
      <c r="P193" s="2" t="s">
        <v>55</v>
      </c>
      <c r="Q193" s="2">
        <v>92</v>
      </c>
      <c r="R193" s="2">
        <v>2</v>
      </c>
      <c r="S193" s="2" t="s">
        <v>33</v>
      </c>
      <c r="T193" s="2">
        <v>69</v>
      </c>
      <c r="U193" s="2">
        <v>0.254</v>
      </c>
      <c r="V193" s="2">
        <v>71000</v>
      </c>
      <c r="W193" s="2">
        <v>0.35499999999999998</v>
      </c>
      <c r="X193" s="2">
        <v>9.0200000000000002E-2</v>
      </c>
      <c r="Y193" s="2">
        <v>0.82799999999999996</v>
      </c>
    </row>
    <row r="194" spans="1:25" x14ac:dyDescent="0.3">
      <c r="A194" s="2" t="s">
        <v>333</v>
      </c>
      <c r="B194" s="2" t="s">
        <v>111</v>
      </c>
      <c r="C194" s="2" t="s">
        <v>334</v>
      </c>
      <c r="D194" s="2" t="s">
        <v>113</v>
      </c>
      <c r="E194" s="2" t="s">
        <v>114</v>
      </c>
      <c r="F194" s="2">
        <v>4500</v>
      </c>
      <c r="G194" s="2" t="s">
        <v>30</v>
      </c>
      <c r="H194" s="2" t="s">
        <v>31</v>
      </c>
      <c r="I194" s="2" t="b">
        <v>1</v>
      </c>
      <c r="J194" s="2">
        <v>2</v>
      </c>
      <c r="K194" s="2">
        <v>0</v>
      </c>
      <c r="L194" s="2">
        <v>0</v>
      </c>
      <c r="M194" s="2">
        <v>2</v>
      </c>
      <c r="N194" s="2">
        <v>64.5</v>
      </c>
      <c r="O194" s="2">
        <v>0.29699999999999999</v>
      </c>
      <c r="P194" s="2" t="s">
        <v>113</v>
      </c>
      <c r="Q194" s="2">
        <v>4.3</v>
      </c>
      <c r="R194" s="2">
        <v>14</v>
      </c>
      <c r="S194" s="2" t="s">
        <v>41</v>
      </c>
      <c r="T194" s="2">
        <v>64.5</v>
      </c>
      <c r="U194" s="2">
        <v>0.29699999999999999</v>
      </c>
      <c r="V194" s="2">
        <v>4000</v>
      </c>
      <c r="W194" s="2">
        <v>1.2999999999999999E-2</v>
      </c>
      <c r="X194" s="2">
        <v>4.0000000000000001E-3</v>
      </c>
      <c r="Y194" s="2">
        <v>0.67300000000000004</v>
      </c>
    </row>
    <row r="195" spans="1:25" x14ac:dyDescent="0.3">
      <c r="A195" s="2" t="s">
        <v>335</v>
      </c>
      <c r="B195" s="2" t="s">
        <v>336</v>
      </c>
      <c r="C195" s="2" t="s">
        <v>337</v>
      </c>
      <c r="D195" s="2" t="s">
        <v>338</v>
      </c>
      <c r="E195" s="2" t="s">
        <v>141</v>
      </c>
      <c r="F195" s="2"/>
      <c r="G195" s="2" t="s">
        <v>47</v>
      </c>
      <c r="H195" s="2" t="s">
        <v>31</v>
      </c>
      <c r="I195" s="2" t="b">
        <v>1</v>
      </c>
      <c r="J195" s="2">
        <v>3</v>
      </c>
      <c r="K195" s="2">
        <v>0</v>
      </c>
      <c r="L195" s="2">
        <v>0</v>
      </c>
      <c r="M195" s="2">
        <v>3</v>
      </c>
      <c r="N195" s="2">
        <v>77.3</v>
      </c>
      <c r="O195" s="2">
        <v>0.156</v>
      </c>
      <c r="P195" s="2" t="s">
        <v>142</v>
      </c>
      <c r="Q195" s="2">
        <v>11.7</v>
      </c>
      <c r="R195" s="2">
        <v>11</v>
      </c>
      <c r="S195" s="2" t="s">
        <v>41</v>
      </c>
      <c r="T195" s="2">
        <v>78.3</v>
      </c>
      <c r="U195" s="2">
        <v>0.14899999999999999</v>
      </c>
      <c r="V195" s="2">
        <v>10250</v>
      </c>
      <c r="W195" s="2">
        <v>4.7E-2</v>
      </c>
      <c r="X195" s="2">
        <v>6.8999999999999999E-3</v>
      </c>
      <c r="Y195" s="2">
        <v>0.64500000000000002</v>
      </c>
    </row>
    <row r="196" spans="1:25" x14ac:dyDescent="0.3">
      <c r="A196" s="2" t="s">
        <v>339</v>
      </c>
      <c r="B196" s="2" t="s">
        <v>81</v>
      </c>
      <c r="C196" s="2" t="s">
        <v>340</v>
      </c>
      <c r="D196" s="2" t="s">
        <v>341</v>
      </c>
      <c r="E196" s="2" t="s">
        <v>60</v>
      </c>
      <c r="F196" s="2"/>
      <c r="G196" s="2" t="s">
        <v>39</v>
      </c>
      <c r="H196" s="2" t="s">
        <v>73</v>
      </c>
      <c r="I196" s="2" t="b">
        <v>1</v>
      </c>
      <c r="J196" s="2">
        <v>2</v>
      </c>
      <c r="K196" s="2">
        <v>0</v>
      </c>
      <c r="L196" s="2">
        <v>0</v>
      </c>
      <c r="M196" s="2">
        <v>2</v>
      </c>
      <c r="N196" s="2">
        <v>74.5</v>
      </c>
      <c r="O196" s="2">
        <v>0.20899999999999999</v>
      </c>
      <c r="P196" s="2" t="s">
        <v>61</v>
      </c>
      <c r="Q196" s="2">
        <v>11.7</v>
      </c>
      <c r="R196" s="2">
        <v>10</v>
      </c>
      <c r="S196" s="2" t="s">
        <v>41</v>
      </c>
      <c r="T196" s="2">
        <v>68</v>
      </c>
      <c r="U196" s="2">
        <v>0.27500000000000002</v>
      </c>
      <c r="V196" s="2">
        <v>11050</v>
      </c>
      <c r="W196" s="2">
        <v>6.0999999999999999E-2</v>
      </c>
      <c r="X196" s="2">
        <v>1.6899999999999998E-2</v>
      </c>
      <c r="Y196" s="2">
        <v>0.85399999999999998</v>
      </c>
    </row>
    <row r="197" spans="1:25" x14ac:dyDescent="0.3">
      <c r="A197" s="2" t="s">
        <v>342</v>
      </c>
      <c r="B197" s="2" t="s">
        <v>81</v>
      </c>
      <c r="C197" s="2" t="s">
        <v>343</v>
      </c>
      <c r="D197" s="2" t="s">
        <v>83</v>
      </c>
      <c r="E197" s="2" t="s">
        <v>60</v>
      </c>
      <c r="F197" s="2">
        <v>6000</v>
      </c>
      <c r="G197" s="2" t="s">
        <v>47</v>
      </c>
      <c r="H197" s="2" t="s">
        <v>31</v>
      </c>
      <c r="I197" s="2" t="b">
        <v>1</v>
      </c>
      <c r="J197" s="2">
        <v>4</v>
      </c>
      <c r="K197" s="2">
        <v>0</v>
      </c>
      <c r="L197" s="2">
        <v>0</v>
      </c>
      <c r="M197" s="2">
        <v>4</v>
      </c>
      <c r="N197" s="2">
        <v>69.400000000000006</v>
      </c>
      <c r="O197" s="2">
        <v>0.24099999999999999</v>
      </c>
      <c r="P197" s="2" t="s">
        <v>61</v>
      </c>
      <c r="Q197" s="2">
        <v>11.7</v>
      </c>
      <c r="R197" s="2">
        <v>10</v>
      </c>
      <c r="S197" s="2" t="s">
        <v>41</v>
      </c>
      <c r="T197" s="2">
        <v>68</v>
      </c>
      <c r="U197" s="2">
        <v>0.27500000000000002</v>
      </c>
      <c r="V197" s="2">
        <v>11050</v>
      </c>
      <c r="W197" s="2">
        <v>6.0999999999999999E-2</v>
      </c>
      <c r="X197" s="2">
        <v>1.6899999999999998E-2</v>
      </c>
      <c r="Y197" s="2">
        <v>0.85399999999999998</v>
      </c>
    </row>
    <row r="198" spans="1:25" x14ac:dyDescent="0.3">
      <c r="A198" s="2" t="s">
        <v>344</v>
      </c>
      <c r="B198" s="2" t="s">
        <v>51</v>
      </c>
      <c r="C198" s="2" t="s">
        <v>26</v>
      </c>
      <c r="D198" s="2" t="s">
        <v>28</v>
      </c>
      <c r="E198" s="2" t="s">
        <v>29</v>
      </c>
      <c r="F198" s="2">
        <v>3300</v>
      </c>
      <c r="G198" s="2" t="s">
        <v>30</v>
      </c>
      <c r="H198" s="2" t="s">
        <v>31</v>
      </c>
      <c r="I198" s="2" t="b">
        <v>1</v>
      </c>
      <c r="J198" s="2">
        <v>3</v>
      </c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x14ac:dyDescent="0.3">
      <c r="A199" s="2" t="s">
        <v>345</v>
      </c>
      <c r="B199" s="2" t="s">
        <v>147</v>
      </c>
      <c r="C199" s="2" t="s">
        <v>346</v>
      </c>
      <c r="D199" s="2" t="s">
        <v>118</v>
      </c>
      <c r="E199" s="2" t="s">
        <v>119</v>
      </c>
      <c r="F199" s="2"/>
      <c r="G199" s="2" t="s">
        <v>47</v>
      </c>
      <c r="H199" s="2" t="s">
        <v>48</v>
      </c>
      <c r="I199" s="2" t="b">
        <v>1</v>
      </c>
      <c r="J199" s="2">
        <v>1</v>
      </c>
      <c r="K199" s="2"/>
      <c r="L199" s="2"/>
      <c r="M199" s="2"/>
      <c r="N199" s="2"/>
      <c r="O199" s="2"/>
      <c r="P199" s="2" t="s">
        <v>120</v>
      </c>
      <c r="Q199" s="2">
        <v>27.8</v>
      </c>
      <c r="R199" s="2">
        <v>5</v>
      </c>
      <c r="S199" s="2" t="s">
        <v>41</v>
      </c>
      <c r="T199" s="2">
        <v>73.900000000000006</v>
      </c>
      <c r="U199" s="2">
        <v>0.20599999999999999</v>
      </c>
      <c r="V199" s="2">
        <v>19750</v>
      </c>
      <c r="W199" s="2">
        <v>7.9000000000000001E-2</v>
      </c>
      <c r="X199" s="2">
        <v>1.6299999999999999E-2</v>
      </c>
      <c r="Y199" s="2">
        <v>0.68600000000000005</v>
      </c>
    </row>
    <row r="200" spans="1:25" x14ac:dyDescent="0.3">
      <c r="A200" s="2" t="s">
        <v>347</v>
      </c>
      <c r="B200" s="2" t="s">
        <v>228</v>
      </c>
      <c r="C200" s="2" t="s">
        <v>348</v>
      </c>
      <c r="D200" s="2" t="s">
        <v>349</v>
      </c>
      <c r="E200" s="2" t="s">
        <v>168</v>
      </c>
      <c r="F200" s="2"/>
      <c r="G200" s="2" t="s">
        <v>39</v>
      </c>
      <c r="H200" s="2" t="s">
        <v>73</v>
      </c>
      <c r="I200" s="2" t="b">
        <v>1</v>
      </c>
      <c r="J200" s="2">
        <v>1</v>
      </c>
      <c r="K200" s="2"/>
      <c r="L200" s="2"/>
      <c r="M200" s="2"/>
      <c r="N200" s="2"/>
      <c r="O200" s="2"/>
      <c r="P200" s="2" t="s">
        <v>169</v>
      </c>
      <c r="Q200" s="2">
        <v>67.900000000000006</v>
      </c>
      <c r="R200" s="2">
        <v>4</v>
      </c>
      <c r="S200" s="2" t="s">
        <v>33</v>
      </c>
      <c r="T200" s="2">
        <v>59.1</v>
      </c>
      <c r="U200" s="2">
        <v>0.42099999999999999</v>
      </c>
      <c r="V200" s="2">
        <v>17250</v>
      </c>
      <c r="W200" s="2">
        <v>0.13300000000000001</v>
      </c>
      <c r="X200" s="2">
        <v>5.5899999999999998E-2</v>
      </c>
      <c r="Y200" s="2">
        <v>0.79200000000000004</v>
      </c>
    </row>
    <row r="201" spans="1:25" x14ac:dyDescent="0.3">
      <c r="A201" s="2" t="s">
        <v>350</v>
      </c>
      <c r="B201" s="2" t="s">
        <v>238</v>
      </c>
      <c r="C201" s="2" t="s">
        <v>351</v>
      </c>
      <c r="D201" s="2" t="s">
        <v>240</v>
      </c>
      <c r="E201" s="2" t="s">
        <v>141</v>
      </c>
      <c r="F201" s="2">
        <v>3000</v>
      </c>
      <c r="G201" s="2" t="s">
        <v>30</v>
      </c>
      <c r="H201" s="2" t="s">
        <v>31</v>
      </c>
      <c r="I201" s="2" t="b">
        <v>1</v>
      </c>
      <c r="J201" s="2">
        <v>3</v>
      </c>
      <c r="K201" s="2"/>
      <c r="L201" s="2"/>
      <c r="M201" s="2"/>
      <c r="N201" s="2"/>
      <c r="O201" s="2"/>
      <c r="P201" s="2" t="s">
        <v>142</v>
      </c>
      <c r="Q201" s="2">
        <v>11.7</v>
      </c>
      <c r="R201" s="2">
        <v>11</v>
      </c>
      <c r="S201" s="2" t="s">
        <v>41</v>
      </c>
      <c r="T201" s="2">
        <v>78.3</v>
      </c>
      <c r="U201" s="2">
        <v>0.14899999999999999</v>
      </c>
      <c r="V201" s="2">
        <v>10250</v>
      </c>
      <c r="W201" s="2">
        <v>4.7E-2</v>
      </c>
      <c r="X201" s="2">
        <v>6.8999999999999999E-3</v>
      </c>
      <c r="Y201" s="2">
        <v>0.64500000000000002</v>
      </c>
    </row>
    <row r="202" spans="1:25" x14ac:dyDescent="0.3">
      <c r="A202" s="2" t="s">
        <v>352</v>
      </c>
      <c r="B202" s="2" t="s">
        <v>165</v>
      </c>
      <c r="C202" s="2" t="s">
        <v>353</v>
      </c>
      <c r="D202" s="2" t="s">
        <v>354</v>
      </c>
      <c r="E202" s="2" t="s">
        <v>168</v>
      </c>
      <c r="F202" s="2"/>
      <c r="G202" s="2" t="s">
        <v>39</v>
      </c>
      <c r="H202" s="2" t="s">
        <v>73</v>
      </c>
      <c r="I202" s="2" t="b">
        <v>1</v>
      </c>
      <c r="J202" s="2">
        <v>2</v>
      </c>
      <c r="K202" s="2">
        <v>0</v>
      </c>
      <c r="L202" s="2">
        <v>1</v>
      </c>
      <c r="M202" s="2">
        <v>1</v>
      </c>
      <c r="N202" s="2">
        <v>83.2</v>
      </c>
      <c r="O202" s="2">
        <v>0.11799999999999999</v>
      </c>
      <c r="P202" s="2" t="s">
        <v>169</v>
      </c>
      <c r="Q202" s="2">
        <v>67.900000000000006</v>
      </c>
      <c r="R202" s="2">
        <v>4</v>
      </c>
      <c r="S202" s="2" t="s">
        <v>33</v>
      </c>
      <c r="T202" s="2">
        <v>59.1</v>
      </c>
      <c r="U202" s="2">
        <v>0.42099999999999999</v>
      </c>
      <c r="V202" s="2">
        <v>17250</v>
      </c>
      <c r="W202" s="2">
        <v>0.13300000000000001</v>
      </c>
      <c r="X202" s="2">
        <v>5.5899999999999998E-2</v>
      </c>
      <c r="Y202" s="2">
        <v>0.79200000000000004</v>
      </c>
    </row>
    <row r="203" spans="1:25" x14ac:dyDescent="0.3">
      <c r="A203" s="2" t="s">
        <v>355</v>
      </c>
      <c r="B203" s="2" t="s">
        <v>116</v>
      </c>
      <c r="C203" s="2" t="s">
        <v>356</v>
      </c>
      <c r="D203" s="2" t="s">
        <v>118</v>
      </c>
      <c r="E203" s="2" t="s">
        <v>119</v>
      </c>
      <c r="F203" s="2">
        <v>10000</v>
      </c>
      <c r="G203" s="2" t="s">
        <v>47</v>
      </c>
      <c r="H203" s="2" t="s">
        <v>31</v>
      </c>
      <c r="I203" s="2" t="b">
        <v>1</v>
      </c>
      <c r="J203" s="2">
        <v>1</v>
      </c>
      <c r="K203" s="2"/>
      <c r="L203" s="2"/>
      <c r="M203" s="2"/>
      <c r="N203" s="2"/>
      <c r="O203" s="2"/>
      <c r="P203" s="2" t="s">
        <v>120</v>
      </c>
      <c r="Q203" s="2">
        <v>27.8</v>
      </c>
      <c r="R203" s="2">
        <v>5</v>
      </c>
      <c r="S203" s="2" t="s">
        <v>41</v>
      </c>
      <c r="T203" s="2">
        <v>73.900000000000006</v>
      </c>
      <c r="U203" s="2">
        <v>0.20599999999999999</v>
      </c>
      <c r="V203" s="2">
        <v>19750</v>
      </c>
      <c r="W203" s="2">
        <v>7.9000000000000001E-2</v>
      </c>
      <c r="X203" s="2">
        <v>1.6299999999999999E-2</v>
      </c>
      <c r="Y203" s="2">
        <v>0.68600000000000005</v>
      </c>
    </row>
    <row r="204" spans="1:25" x14ac:dyDescent="0.3">
      <c r="A204" s="2" t="s">
        <v>357</v>
      </c>
      <c r="B204" s="2" t="s">
        <v>358</v>
      </c>
      <c r="C204" s="2" t="s">
        <v>359</v>
      </c>
      <c r="D204" s="2" t="s">
        <v>360</v>
      </c>
      <c r="E204" s="2" t="s">
        <v>361</v>
      </c>
      <c r="F204" s="2">
        <v>6000</v>
      </c>
      <c r="G204" s="2" t="s">
        <v>47</v>
      </c>
      <c r="H204" s="2" t="s">
        <v>31</v>
      </c>
      <c r="I204" s="2" t="b">
        <v>1</v>
      </c>
      <c r="J204" s="2">
        <v>3</v>
      </c>
      <c r="K204" s="2">
        <v>0</v>
      </c>
      <c r="L204" s="2">
        <v>0</v>
      </c>
      <c r="M204" s="2">
        <v>3</v>
      </c>
      <c r="N204" s="2">
        <v>66.7</v>
      </c>
      <c r="O204" s="2">
        <v>0.28299999999999997</v>
      </c>
      <c r="P204" s="2" t="s">
        <v>362</v>
      </c>
      <c r="Q204" s="2">
        <v>0</v>
      </c>
      <c r="R204" s="2">
        <v>15</v>
      </c>
      <c r="S204" s="2" t="s">
        <v>41</v>
      </c>
      <c r="T204" s="2">
        <v>66.7</v>
      </c>
      <c r="U204" s="2">
        <v>0.28299999999999997</v>
      </c>
      <c r="V204" s="2">
        <v>3500</v>
      </c>
      <c r="W204" s="2">
        <v>1.2999999999999999E-2</v>
      </c>
      <c r="X204" s="2">
        <v>3.5000000000000001E-3</v>
      </c>
      <c r="Y204" s="2">
        <v>0.83199999999999996</v>
      </c>
    </row>
    <row r="205" spans="1:25" x14ac:dyDescent="0.3">
      <c r="A205" s="2" t="s">
        <v>363</v>
      </c>
      <c r="B205" s="2" t="s">
        <v>364</v>
      </c>
      <c r="C205" s="2" t="s">
        <v>365</v>
      </c>
      <c r="D205" s="2" t="s">
        <v>366</v>
      </c>
      <c r="E205" s="2" t="s">
        <v>66</v>
      </c>
      <c r="F205" s="2">
        <v>1200</v>
      </c>
      <c r="G205" s="2" t="s">
        <v>39</v>
      </c>
      <c r="H205" s="2" t="s">
        <v>31</v>
      </c>
      <c r="I205" s="2" t="b">
        <v>1</v>
      </c>
      <c r="J205" s="2">
        <v>3</v>
      </c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x14ac:dyDescent="0.3">
      <c r="A206" s="2" t="s">
        <v>367</v>
      </c>
      <c r="B206" s="2" t="s">
        <v>51</v>
      </c>
      <c r="C206" s="2" t="s">
        <v>368</v>
      </c>
      <c r="D206" s="2" t="s">
        <v>162</v>
      </c>
      <c r="E206" s="2" t="s">
        <v>163</v>
      </c>
      <c r="F206" s="2">
        <v>300</v>
      </c>
      <c r="G206" s="2" t="s">
        <v>67</v>
      </c>
      <c r="H206" s="2" t="s">
        <v>31</v>
      </c>
      <c r="I206" s="2" t="b">
        <v>1</v>
      </c>
      <c r="J206" s="2">
        <v>1</v>
      </c>
      <c r="K206" s="2"/>
      <c r="L206" s="2"/>
      <c r="M206" s="2"/>
      <c r="N206" s="2"/>
      <c r="O206" s="2"/>
      <c r="P206" s="2" t="s">
        <v>162</v>
      </c>
      <c r="Q206" s="2">
        <v>7.4</v>
      </c>
      <c r="R206" s="2">
        <v>13</v>
      </c>
      <c r="S206" s="2" t="s">
        <v>41</v>
      </c>
      <c r="T206" s="2">
        <v>73.8</v>
      </c>
      <c r="U206" s="2">
        <v>0.21199999999999999</v>
      </c>
      <c r="V206" s="2">
        <v>5050</v>
      </c>
      <c r="W206" s="2">
        <v>4.2000000000000003E-2</v>
      </c>
      <c r="X206" s="2">
        <v>8.8999999999999999E-3</v>
      </c>
      <c r="Y206" s="2">
        <v>0.80100000000000005</v>
      </c>
    </row>
    <row r="207" spans="1:25" x14ac:dyDescent="0.3">
      <c r="A207" s="2" t="s">
        <v>369</v>
      </c>
      <c r="B207" s="2" t="s">
        <v>271</v>
      </c>
      <c r="C207" s="2" t="s">
        <v>370</v>
      </c>
      <c r="D207" s="2" t="s">
        <v>371</v>
      </c>
      <c r="E207" s="2" t="s">
        <v>125</v>
      </c>
      <c r="F207" s="2"/>
      <c r="G207" s="2" t="s">
        <v>30</v>
      </c>
      <c r="H207" s="2" t="s">
        <v>31</v>
      </c>
      <c r="I207" s="2" t="b">
        <v>1</v>
      </c>
      <c r="J207" s="2">
        <v>3</v>
      </c>
      <c r="K207" s="2">
        <v>0</v>
      </c>
      <c r="L207" s="2">
        <v>0</v>
      </c>
      <c r="M207" s="2">
        <v>3</v>
      </c>
      <c r="N207" s="2">
        <v>61</v>
      </c>
      <c r="O207" s="2">
        <v>0.41899999999999998</v>
      </c>
      <c r="P207" s="2" t="s">
        <v>126</v>
      </c>
      <c r="Q207" s="2">
        <v>69.8</v>
      </c>
      <c r="R207" s="2">
        <v>3</v>
      </c>
      <c r="S207" s="2" t="s">
        <v>33</v>
      </c>
      <c r="T207" s="2">
        <v>64.8</v>
      </c>
      <c r="U207" s="2">
        <v>0.32200000000000001</v>
      </c>
      <c r="V207" s="2">
        <v>7500</v>
      </c>
      <c r="W207" s="2">
        <v>7.9000000000000001E-2</v>
      </c>
      <c r="X207" s="2">
        <v>2.5399999999999999E-2</v>
      </c>
      <c r="Y207" s="2">
        <v>0.53300000000000003</v>
      </c>
    </row>
    <row r="208" spans="1:25" x14ac:dyDescent="0.3">
      <c r="A208" s="2" t="s">
        <v>372</v>
      </c>
      <c r="B208" s="2" t="s">
        <v>165</v>
      </c>
      <c r="C208" s="2" t="s">
        <v>373</v>
      </c>
      <c r="D208" s="2" t="s">
        <v>260</v>
      </c>
      <c r="E208" s="2" t="s">
        <v>88</v>
      </c>
      <c r="F208" s="2"/>
      <c r="G208" s="2" t="s">
        <v>39</v>
      </c>
      <c r="H208" s="2" t="s">
        <v>73</v>
      </c>
      <c r="I208" s="2" t="b">
        <v>1</v>
      </c>
      <c r="J208" s="2">
        <v>3</v>
      </c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x14ac:dyDescent="0.3">
      <c r="A209" s="2" t="s">
        <v>374</v>
      </c>
      <c r="B209" s="2" t="s">
        <v>105</v>
      </c>
      <c r="C209" s="2" t="s">
        <v>375</v>
      </c>
      <c r="D209" s="2" t="s">
        <v>376</v>
      </c>
      <c r="E209" s="2" t="s">
        <v>108</v>
      </c>
      <c r="F209" s="2"/>
      <c r="G209" s="2" t="s">
        <v>30</v>
      </c>
      <c r="H209" s="2" t="s">
        <v>31</v>
      </c>
      <c r="I209" s="2" t="b">
        <v>1</v>
      </c>
      <c r="J209" s="2">
        <v>2</v>
      </c>
      <c r="K209" s="2">
        <v>0</v>
      </c>
      <c r="L209" s="2">
        <v>0</v>
      </c>
      <c r="M209" s="2">
        <v>2</v>
      </c>
      <c r="N209" s="2">
        <v>75.5</v>
      </c>
      <c r="O209" s="2">
        <v>0.191</v>
      </c>
      <c r="P209" s="2" t="s">
        <v>109</v>
      </c>
      <c r="Q209" s="2">
        <v>100</v>
      </c>
      <c r="R209" s="2">
        <v>1</v>
      </c>
      <c r="S209" s="2" t="s">
        <v>33</v>
      </c>
      <c r="T209" s="2">
        <v>73.3</v>
      </c>
      <c r="U209" s="2">
        <v>0.20300000000000001</v>
      </c>
      <c r="V209" s="2">
        <v>25000</v>
      </c>
      <c r="W209" s="2">
        <v>0.22700000000000001</v>
      </c>
      <c r="X209" s="2">
        <v>4.6100000000000002E-2</v>
      </c>
      <c r="Y209" s="2">
        <v>0.63600000000000001</v>
      </c>
    </row>
    <row r="210" spans="1:25" x14ac:dyDescent="0.3">
      <c r="A210" s="2" t="s">
        <v>377</v>
      </c>
      <c r="B210" s="2" t="s">
        <v>111</v>
      </c>
      <c r="C210" s="2" t="s">
        <v>378</v>
      </c>
      <c r="D210" s="2" t="s">
        <v>113</v>
      </c>
      <c r="E210" s="2" t="s">
        <v>114</v>
      </c>
      <c r="F210" s="2">
        <v>4000</v>
      </c>
      <c r="G210" s="2" t="s">
        <v>30</v>
      </c>
      <c r="H210" s="2" t="s">
        <v>31</v>
      </c>
      <c r="I210" s="2" t="b">
        <v>1</v>
      </c>
      <c r="J210" s="2">
        <v>2</v>
      </c>
      <c r="K210" s="2"/>
      <c r="L210" s="2"/>
      <c r="M210" s="2"/>
      <c r="N210" s="2"/>
      <c r="O210" s="2"/>
      <c r="P210" s="2" t="s">
        <v>113</v>
      </c>
      <c r="Q210" s="2">
        <v>4.3</v>
      </c>
      <c r="R210" s="2">
        <v>14</v>
      </c>
      <c r="S210" s="2" t="s">
        <v>41</v>
      </c>
      <c r="T210" s="2">
        <v>64.5</v>
      </c>
      <c r="U210" s="2">
        <v>0.29699999999999999</v>
      </c>
      <c r="V210" s="2">
        <v>4000</v>
      </c>
      <c r="W210" s="2">
        <v>1.2999999999999999E-2</v>
      </c>
      <c r="X210" s="2">
        <v>4.0000000000000001E-3</v>
      </c>
      <c r="Y210" s="2">
        <v>0.67300000000000004</v>
      </c>
    </row>
    <row r="211" spans="1:25" x14ac:dyDescent="0.3">
      <c r="A211" s="2" t="s">
        <v>379</v>
      </c>
      <c r="B211" s="2" t="s">
        <v>75</v>
      </c>
      <c r="C211" s="2" t="s">
        <v>380</v>
      </c>
      <c r="D211" s="2" t="s">
        <v>246</v>
      </c>
      <c r="E211" s="2" t="s">
        <v>78</v>
      </c>
      <c r="F211" s="2"/>
      <c r="G211" s="2" t="s">
        <v>30</v>
      </c>
      <c r="H211" s="2" t="s">
        <v>73</v>
      </c>
      <c r="I211" s="2" t="b">
        <v>1</v>
      </c>
      <c r="J211" s="2">
        <v>4</v>
      </c>
      <c r="K211" s="2"/>
      <c r="L211" s="2"/>
      <c r="M211" s="2"/>
      <c r="N211" s="2"/>
      <c r="O211" s="2"/>
      <c r="P211" s="2" t="s">
        <v>79</v>
      </c>
      <c r="Q211" s="2">
        <v>16.7</v>
      </c>
      <c r="R211" s="2">
        <v>9</v>
      </c>
      <c r="S211" s="2" t="s">
        <v>41</v>
      </c>
      <c r="T211" s="2">
        <v>58.4</v>
      </c>
      <c r="U211" s="2">
        <v>0.42299999999999999</v>
      </c>
      <c r="V211" s="2">
        <v>3500</v>
      </c>
      <c r="W211" s="2">
        <v>2.1999999999999999E-2</v>
      </c>
      <c r="X211" s="2">
        <v>9.2999999999999992E-3</v>
      </c>
      <c r="Y211" s="2">
        <v>0.64</v>
      </c>
    </row>
    <row r="212" spans="1:25" x14ac:dyDescent="0.3">
      <c r="A212" s="2" t="s">
        <v>381</v>
      </c>
      <c r="B212" s="2" t="s">
        <v>232</v>
      </c>
      <c r="C212" s="2" t="s">
        <v>382</v>
      </c>
      <c r="D212" s="2" t="s">
        <v>383</v>
      </c>
      <c r="E212" s="2" t="s">
        <v>235</v>
      </c>
      <c r="F212" s="2">
        <v>3500</v>
      </c>
      <c r="G212" s="2" t="s">
        <v>30</v>
      </c>
      <c r="H212" s="2" t="s">
        <v>31</v>
      </c>
      <c r="I212" s="2" t="b">
        <v>1</v>
      </c>
      <c r="J212" s="2">
        <v>4</v>
      </c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x14ac:dyDescent="0.3">
      <c r="A213" s="2" t="s">
        <v>384</v>
      </c>
      <c r="B213" s="2" t="s">
        <v>385</v>
      </c>
      <c r="C213" s="2" t="s">
        <v>386</v>
      </c>
      <c r="D213" s="2" t="s">
        <v>387</v>
      </c>
      <c r="E213" s="2" t="s">
        <v>168</v>
      </c>
      <c r="F213" s="2"/>
      <c r="G213" s="2" t="s">
        <v>67</v>
      </c>
      <c r="H213" s="2" t="s">
        <v>73</v>
      </c>
      <c r="I213" s="2" t="b">
        <v>1</v>
      </c>
      <c r="J213" s="2">
        <v>3</v>
      </c>
      <c r="K213" s="2">
        <v>1</v>
      </c>
      <c r="L213" s="2">
        <v>0</v>
      </c>
      <c r="M213" s="2">
        <v>2</v>
      </c>
      <c r="N213" s="2">
        <v>50</v>
      </c>
      <c r="O213" s="2">
        <v>0.53300000000000003</v>
      </c>
      <c r="P213" s="2" t="s">
        <v>169</v>
      </c>
      <c r="Q213" s="2">
        <v>67.900000000000006</v>
      </c>
      <c r="R213" s="2">
        <v>4</v>
      </c>
      <c r="S213" s="2" t="s">
        <v>33</v>
      </c>
      <c r="T213" s="2">
        <v>59.1</v>
      </c>
      <c r="U213" s="2">
        <v>0.42099999999999999</v>
      </c>
      <c r="V213" s="2">
        <v>17250</v>
      </c>
      <c r="W213" s="2">
        <v>0.13300000000000001</v>
      </c>
      <c r="X213" s="2">
        <v>5.5899999999999998E-2</v>
      </c>
      <c r="Y213" s="2">
        <v>0.79200000000000004</v>
      </c>
    </row>
    <row r="214" spans="1:25" x14ac:dyDescent="0.3">
      <c r="A214" s="2" t="s">
        <v>388</v>
      </c>
      <c r="B214" s="2" t="s">
        <v>101</v>
      </c>
      <c r="C214" s="2" t="s">
        <v>389</v>
      </c>
      <c r="D214" s="2" t="s">
        <v>390</v>
      </c>
      <c r="E214" s="2" t="s">
        <v>135</v>
      </c>
      <c r="F214" s="2">
        <v>30000</v>
      </c>
      <c r="G214" s="2" t="s">
        <v>47</v>
      </c>
      <c r="H214" s="2" t="s">
        <v>31</v>
      </c>
      <c r="I214" s="2" t="b">
        <v>1</v>
      </c>
      <c r="J214" s="2">
        <v>3</v>
      </c>
      <c r="K214" s="2">
        <v>0</v>
      </c>
      <c r="L214" s="2">
        <v>0</v>
      </c>
      <c r="M214" s="2">
        <v>3</v>
      </c>
      <c r="N214" s="2">
        <v>70</v>
      </c>
      <c r="O214" s="2">
        <v>0.23</v>
      </c>
      <c r="P214" s="2" t="s">
        <v>136</v>
      </c>
      <c r="Q214" s="2">
        <v>25.3</v>
      </c>
      <c r="R214" s="2">
        <v>6</v>
      </c>
      <c r="S214" s="2" t="s">
        <v>41</v>
      </c>
      <c r="T214" s="2">
        <v>64.5</v>
      </c>
      <c r="U214" s="2">
        <v>0.317</v>
      </c>
      <c r="V214" s="2">
        <v>45950</v>
      </c>
      <c r="W214" s="2">
        <v>8.7999999999999995E-2</v>
      </c>
      <c r="X214" s="2">
        <v>2.8000000000000001E-2</v>
      </c>
      <c r="Y214" s="2">
        <v>0.83399999999999996</v>
      </c>
    </row>
    <row r="215" spans="1:25" x14ac:dyDescent="0.3">
      <c r="A215" s="2" t="s">
        <v>391</v>
      </c>
      <c r="B215" s="2" t="s">
        <v>289</v>
      </c>
      <c r="C215" s="2" t="s">
        <v>392</v>
      </c>
      <c r="D215" s="2" t="s">
        <v>136</v>
      </c>
      <c r="E215" s="2" t="s">
        <v>135</v>
      </c>
      <c r="F215" s="2"/>
      <c r="G215" s="2" t="s">
        <v>39</v>
      </c>
      <c r="H215" s="2" t="s">
        <v>73</v>
      </c>
      <c r="I215" s="2" t="b">
        <v>1</v>
      </c>
      <c r="J215" s="2">
        <v>1</v>
      </c>
      <c r="K215" s="2"/>
      <c r="L215" s="2"/>
      <c r="M215" s="2"/>
      <c r="N215" s="2"/>
      <c r="O215" s="2"/>
      <c r="P215" s="2" t="s">
        <v>136</v>
      </c>
      <c r="Q215" s="2">
        <v>25.3</v>
      </c>
      <c r="R215" s="2">
        <v>6</v>
      </c>
      <c r="S215" s="2" t="s">
        <v>41</v>
      </c>
      <c r="T215" s="2">
        <v>64.5</v>
      </c>
      <c r="U215" s="2">
        <v>0.317</v>
      </c>
      <c r="V215" s="2">
        <v>45950</v>
      </c>
      <c r="W215" s="2">
        <v>8.7999999999999995E-2</v>
      </c>
      <c r="X215" s="2">
        <v>2.8000000000000001E-2</v>
      </c>
      <c r="Y215" s="2">
        <v>0.83399999999999996</v>
      </c>
    </row>
    <row r="216" spans="1:25" x14ac:dyDescent="0.3">
      <c r="A216" s="2" t="s">
        <v>393</v>
      </c>
      <c r="B216" s="2" t="s">
        <v>111</v>
      </c>
      <c r="C216" s="2" t="s">
        <v>394</v>
      </c>
      <c r="D216" s="2" t="s">
        <v>145</v>
      </c>
      <c r="E216" s="2" t="s">
        <v>125</v>
      </c>
      <c r="F216" s="2">
        <v>5300</v>
      </c>
      <c r="G216" s="2" t="s">
        <v>47</v>
      </c>
      <c r="H216" s="2" t="s">
        <v>31</v>
      </c>
      <c r="I216" s="2" t="b">
        <v>1</v>
      </c>
      <c r="J216" s="2">
        <v>2</v>
      </c>
      <c r="K216" s="2">
        <v>0</v>
      </c>
      <c r="L216" s="2">
        <v>0</v>
      </c>
      <c r="M216" s="2">
        <v>2</v>
      </c>
      <c r="N216" s="2">
        <v>66.5</v>
      </c>
      <c r="O216" s="2">
        <v>0.27500000000000002</v>
      </c>
      <c r="P216" s="2" t="s">
        <v>126</v>
      </c>
      <c r="Q216" s="2">
        <v>69.8</v>
      </c>
      <c r="R216" s="2">
        <v>3</v>
      </c>
      <c r="S216" s="2" t="s">
        <v>33</v>
      </c>
      <c r="T216" s="2">
        <v>64.8</v>
      </c>
      <c r="U216" s="2">
        <v>0.32200000000000001</v>
      </c>
      <c r="V216" s="2">
        <v>7500</v>
      </c>
      <c r="W216" s="2">
        <v>7.9000000000000001E-2</v>
      </c>
      <c r="X216" s="2">
        <v>2.5399999999999999E-2</v>
      </c>
      <c r="Y216" s="2">
        <v>0.53300000000000003</v>
      </c>
    </row>
    <row r="217" spans="1:25" x14ac:dyDescent="0.3">
      <c r="A217" s="2" t="s">
        <v>395</v>
      </c>
      <c r="B217" s="2" t="s">
        <v>201</v>
      </c>
      <c r="C217" s="2" t="s">
        <v>396</v>
      </c>
      <c r="D217" s="2" t="s">
        <v>136</v>
      </c>
      <c r="E217" s="2" t="s">
        <v>135</v>
      </c>
      <c r="F217" s="2"/>
      <c r="G217" s="2" t="s">
        <v>39</v>
      </c>
      <c r="H217" s="2" t="s">
        <v>73</v>
      </c>
      <c r="I217" s="2" t="b">
        <v>1</v>
      </c>
      <c r="J217" s="2">
        <v>3</v>
      </c>
      <c r="K217" s="2"/>
      <c r="L217" s="2"/>
      <c r="M217" s="2"/>
      <c r="N217" s="2"/>
      <c r="O217" s="2"/>
      <c r="P217" s="2" t="s">
        <v>136</v>
      </c>
      <c r="Q217" s="2">
        <v>25.3</v>
      </c>
      <c r="R217" s="2">
        <v>6</v>
      </c>
      <c r="S217" s="2" t="s">
        <v>41</v>
      </c>
      <c r="T217" s="2">
        <v>64.5</v>
      </c>
      <c r="U217" s="2">
        <v>0.317</v>
      </c>
      <c r="V217" s="2">
        <v>45950</v>
      </c>
      <c r="W217" s="2">
        <v>8.7999999999999995E-2</v>
      </c>
      <c r="X217" s="2">
        <v>2.8000000000000001E-2</v>
      </c>
      <c r="Y217" s="2">
        <v>0.83399999999999996</v>
      </c>
    </row>
    <row r="218" spans="1:25" x14ac:dyDescent="0.3">
      <c r="A218" s="2" t="s">
        <v>397</v>
      </c>
      <c r="B218" s="2" t="s">
        <v>132</v>
      </c>
      <c r="C218" s="2" t="s">
        <v>398</v>
      </c>
      <c r="D218" s="2" t="s">
        <v>294</v>
      </c>
      <c r="E218" s="2" t="s">
        <v>135</v>
      </c>
      <c r="F218" s="2"/>
      <c r="G218" s="2" t="s">
        <v>67</v>
      </c>
      <c r="H218" s="2" t="s">
        <v>73</v>
      </c>
      <c r="I218" s="2" t="b">
        <v>1</v>
      </c>
      <c r="J218" s="2">
        <v>3</v>
      </c>
      <c r="K218" s="2">
        <v>1</v>
      </c>
      <c r="L218" s="2">
        <v>0</v>
      </c>
      <c r="M218" s="2">
        <v>2</v>
      </c>
      <c r="N218" s="2">
        <v>55.4</v>
      </c>
      <c r="O218" s="2">
        <v>0.44600000000000001</v>
      </c>
      <c r="P218" s="2" t="s">
        <v>136</v>
      </c>
      <c r="Q218" s="2">
        <v>25.3</v>
      </c>
      <c r="R218" s="2">
        <v>6</v>
      </c>
      <c r="S218" s="2" t="s">
        <v>41</v>
      </c>
      <c r="T218" s="2">
        <v>64.5</v>
      </c>
      <c r="U218" s="2">
        <v>0.317</v>
      </c>
      <c r="V218" s="2">
        <v>45950</v>
      </c>
      <c r="W218" s="2">
        <v>8.7999999999999995E-2</v>
      </c>
      <c r="X218" s="2">
        <v>2.8000000000000001E-2</v>
      </c>
      <c r="Y218" s="2">
        <v>0.83399999999999996</v>
      </c>
    </row>
    <row r="219" spans="1:25" x14ac:dyDescent="0.3">
      <c r="A219" s="2" t="s">
        <v>399</v>
      </c>
      <c r="B219" s="2" t="s">
        <v>400</v>
      </c>
      <c r="C219" s="2" t="s">
        <v>401</v>
      </c>
      <c r="D219" s="2" t="s">
        <v>402</v>
      </c>
      <c r="E219" s="2" t="s">
        <v>66</v>
      </c>
      <c r="F219" s="2">
        <v>1200</v>
      </c>
      <c r="G219" s="2" t="s">
        <v>39</v>
      </c>
      <c r="H219" s="2" t="s">
        <v>31</v>
      </c>
      <c r="I219" s="2" t="b">
        <v>1</v>
      </c>
      <c r="J219" s="2">
        <v>1</v>
      </c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x14ac:dyDescent="0.3">
      <c r="A220" s="2" t="s">
        <v>403</v>
      </c>
      <c r="B220" s="2" t="s">
        <v>280</v>
      </c>
      <c r="C220" s="2" t="s">
        <v>404</v>
      </c>
      <c r="D220" s="2" t="s">
        <v>405</v>
      </c>
      <c r="E220" s="2" t="s">
        <v>38</v>
      </c>
      <c r="F220" s="2"/>
      <c r="G220" s="2" t="s">
        <v>39</v>
      </c>
      <c r="H220" s="2" t="s">
        <v>31</v>
      </c>
      <c r="I220" s="2" t="b">
        <v>1</v>
      </c>
      <c r="J220" s="2">
        <v>3</v>
      </c>
      <c r="K220" s="2">
        <v>0</v>
      </c>
      <c r="L220" s="2">
        <v>0</v>
      </c>
      <c r="M220" s="2">
        <v>3</v>
      </c>
      <c r="N220" s="2">
        <v>77.7</v>
      </c>
      <c r="O220" s="2">
        <v>0.15</v>
      </c>
      <c r="P220" s="2" t="s">
        <v>40</v>
      </c>
      <c r="Q220" s="2">
        <v>22.8</v>
      </c>
      <c r="R220" s="2">
        <v>7</v>
      </c>
      <c r="S220" s="2" t="s">
        <v>41</v>
      </c>
      <c r="T220" s="2">
        <v>68.5</v>
      </c>
      <c r="U220" s="2">
        <v>0.26200000000000001</v>
      </c>
      <c r="V220" s="2">
        <v>49000</v>
      </c>
      <c r="W220" s="2">
        <v>0.11700000000000001</v>
      </c>
      <c r="X220" s="2">
        <v>3.0599999999999999E-2</v>
      </c>
      <c r="Y220" s="2">
        <v>0.85799999999999998</v>
      </c>
    </row>
    <row r="221" spans="1:25" x14ac:dyDescent="0.3">
      <c r="A221" s="2" t="s">
        <v>406</v>
      </c>
      <c r="B221" s="2" t="s">
        <v>183</v>
      </c>
      <c r="C221" s="2" t="s">
        <v>407</v>
      </c>
      <c r="D221" s="2" t="s">
        <v>408</v>
      </c>
      <c r="E221" s="2" t="s">
        <v>409</v>
      </c>
      <c r="F221" s="2"/>
      <c r="G221" s="2" t="s">
        <v>47</v>
      </c>
      <c r="H221" s="2" t="s">
        <v>31</v>
      </c>
      <c r="I221" s="2" t="b">
        <v>1</v>
      </c>
      <c r="J221" s="2">
        <v>2</v>
      </c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x14ac:dyDescent="0.3">
      <c r="A222" s="2" t="s">
        <v>411</v>
      </c>
      <c r="B222" s="2" t="s">
        <v>160</v>
      </c>
      <c r="C222" s="2" t="s">
        <v>412</v>
      </c>
      <c r="D222" s="2" t="s">
        <v>162</v>
      </c>
      <c r="E222" s="2" t="s">
        <v>163</v>
      </c>
      <c r="F222" s="2"/>
      <c r="G222" s="2" t="s">
        <v>39</v>
      </c>
      <c r="H222" s="2" t="s">
        <v>73</v>
      </c>
      <c r="I222" s="2" t="b">
        <v>1</v>
      </c>
      <c r="J222" s="2">
        <v>1</v>
      </c>
      <c r="K222" s="2">
        <v>0</v>
      </c>
      <c r="L222" s="2">
        <v>0</v>
      </c>
      <c r="M222" s="2">
        <v>1</v>
      </c>
      <c r="N222" s="2">
        <v>75</v>
      </c>
      <c r="O222" s="2">
        <v>0.2</v>
      </c>
      <c r="P222" s="2" t="s">
        <v>162</v>
      </c>
      <c r="Q222" s="2">
        <v>7.4</v>
      </c>
      <c r="R222" s="2">
        <v>13</v>
      </c>
      <c r="S222" s="2" t="s">
        <v>41</v>
      </c>
      <c r="T222" s="2">
        <v>73.8</v>
      </c>
      <c r="U222" s="2">
        <v>0.21199999999999999</v>
      </c>
      <c r="V222" s="2">
        <v>5050</v>
      </c>
      <c r="W222" s="2">
        <v>4.2000000000000003E-2</v>
      </c>
      <c r="X222" s="2">
        <v>8.8999999999999999E-3</v>
      </c>
      <c r="Y222" s="2">
        <v>0.80100000000000005</v>
      </c>
    </row>
    <row r="223" spans="1:25" x14ac:dyDescent="0.3">
      <c r="A223" s="2" t="s">
        <v>413</v>
      </c>
      <c r="B223" s="2" t="s">
        <v>414</v>
      </c>
      <c r="C223" s="2" t="s">
        <v>415</v>
      </c>
      <c r="D223" s="2" t="s">
        <v>416</v>
      </c>
      <c r="E223" s="2" t="s">
        <v>29</v>
      </c>
      <c r="F223" s="2"/>
      <c r="G223" s="2" t="s">
        <v>30</v>
      </c>
      <c r="H223" s="2" t="s">
        <v>31</v>
      </c>
      <c r="I223" s="2" t="b">
        <v>1</v>
      </c>
      <c r="J223" s="2">
        <v>3</v>
      </c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x14ac:dyDescent="0.3">
      <c r="A224" s="2" t="s">
        <v>417</v>
      </c>
      <c r="B224" s="2" t="s">
        <v>51</v>
      </c>
      <c r="C224" s="2" t="s">
        <v>418</v>
      </c>
      <c r="D224" s="2" t="s">
        <v>190</v>
      </c>
      <c r="E224" s="2" t="s">
        <v>191</v>
      </c>
      <c r="F224" s="2">
        <v>3500</v>
      </c>
      <c r="G224" s="2" t="s">
        <v>30</v>
      </c>
      <c r="H224" s="2" t="s">
        <v>31</v>
      </c>
      <c r="I224" s="2" t="b">
        <v>1</v>
      </c>
      <c r="J224" s="2">
        <v>2</v>
      </c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x14ac:dyDescent="0.3">
      <c r="A225" s="2" t="s">
        <v>419</v>
      </c>
      <c r="B225" s="2" t="s">
        <v>147</v>
      </c>
      <c r="C225" s="2" t="s">
        <v>420</v>
      </c>
      <c r="D225" s="2" t="s">
        <v>421</v>
      </c>
      <c r="E225" s="2" t="s">
        <v>119</v>
      </c>
      <c r="F225" s="2">
        <v>300</v>
      </c>
      <c r="G225" s="2" t="s">
        <v>67</v>
      </c>
      <c r="H225" s="2" t="s">
        <v>31</v>
      </c>
      <c r="I225" s="2" t="b">
        <v>1</v>
      </c>
      <c r="J225" s="2">
        <v>4</v>
      </c>
      <c r="K225" s="2"/>
      <c r="L225" s="2"/>
      <c r="M225" s="2"/>
      <c r="N225" s="2"/>
      <c r="O225" s="2"/>
      <c r="P225" s="2" t="s">
        <v>120</v>
      </c>
      <c r="Q225" s="2">
        <v>27.8</v>
      </c>
      <c r="R225" s="2">
        <v>5</v>
      </c>
      <c r="S225" s="2" t="s">
        <v>41</v>
      </c>
      <c r="T225" s="2">
        <v>73.900000000000006</v>
      </c>
      <c r="U225" s="2">
        <v>0.20599999999999999</v>
      </c>
      <c r="V225" s="2">
        <v>19750</v>
      </c>
      <c r="W225" s="2">
        <v>7.9000000000000001E-2</v>
      </c>
      <c r="X225" s="2">
        <v>1.6299999999999999E-2</v>
      </c>
      <c r="Y225" s="2">
        <v>0.68600000000000005</v>
      </c>
    </row>
    <row r="226" spans="1:25" x14ac:dyDescent="0.3">
      <c r="A226" s="2" t="s">
        <v>422</v>
      </c>
      <c r="B226" s="2" t="s">
        <v>423</v>
      </c>
      <c r="C226" s="2" t="s">
        <v>424</v>
      </c>
      <c r="D226" s="2" t="s">
        <v>425</v>
      </c>
      <c r="E226" s="2" t="s">
        <v>119</v>
      </c>
      <c r="F226" s="2"/>
      <c r="G226" s="2" t="s">
        <v>39</v>
      </c>
      <c r="H226" s="2" t="s">
        <v>73</v>
      </c>
      <c r="I226" s="2" t="b">
        <v>1</v>
      </c>
      <c r="J226" s="2">
        <v>3</v>
      </c>
      <c r="K226" s="2">
        <v>0</v>
      </c>
      <c r="L226" s="2">
        <v>0</v>
      </c>
      <c r="M226" s="2">
        <v>3</v>
      </c>
      <c r="N226" s="2">
        <v>78</v>
      </c>
      <c r="O226" s="2">
        <v>0.14399999999999999</v>
      </c>
      <c r="P226" s="2" t="s">
        <v>120</v>
      </c>
      <c r="Q226" s="2">
        <v>27.8</v>
      </c>
      <c r="R226" s="2">
        <v>5</v>
      </c>
      <c r="S226" s="2" t="s">
        <v>41</v>
      </c>
      <c r="T226" s="2">
        <v>73.900000000000006</v>
      </c>
      <c r="U226" s="2">
        <v>0.20599999999999999</v>
      </c>
      <c r="V226" s="2">
        <v>19750</v>
      </c>
      <c r="W226" s="2">
        <v>7.9000000000000001E-2</v>
      </c>
      <c r="X226" s="2">
        <v>1.6299999999999999E-2</v>
      </c>
      <c r="Y226" s="2">
        <v>0.68600000000000005</v>
      </c>
    </row>
    <row r="227" spans="1:25" x14ac:dyDescent="0.3">
      <c r="A227" s="2" t="s">
        <v>426</v>
      </c>
      <c r="B227" s="2" t="s">
        <v>336</v>
      </c>
      <c r="C227" s="2" t="s">
        <v>427</v>
      </c>
      <c r="D227" s="2" t="s">
        <v>338</v>
      </c>
      <c r="E227" s="2" t="s">
        <v>141</v>
      </c>
      <c r="F227" s="2"/>
      <c r="G227" s="2" t="s">
        <v>47</v>
      </c>
      <c r="H227" s="2" t="s">
        <v>31</v>
      </c>
      <c r="I227" s="2" t="b">
        <v>1</v>
      </c>
      <c r="J227" s="2">
        <v>3</v>
      </c>
      <c r="K227" s="2"/>
      <c r="L227" s="2"/>
      <c r="M227" s="2"/>
      <c r="N227" s="2"/>
      <c r="O227" s="2"/>
      <c r="P227" s="2" t="s">
        <v>142</v>
      </c>
      <c r="Q227" s="2">
        <v>11.7</v>
      </c>
      <c r="R227" s="2">
        <v>11</v>
      </c>
      <c r="S227" s="2" t="s">
        <v>41</v>
      </c>
      <c r="T227" s="2">
        <v>78.3</v>
      </c>
      <c r="U227" s="2">
        <v>0.14899999999999999</v>
      </c>
      <c r="V227" s="2">
        <v>10250</v>
      </c>
      <c r="W227" s="2">
        <v>4.7E-2</v>
      </c>
      <c r="X227" s="2">
        <v>6.8999999999999999E-3</v>
      </c>
      <c r="Y227" s="2">
        <v>0.64500000000000002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65"/>
  <sheetViews>
    <sheetView workbookViewId="0">
      <selection sqref="A1:XFD1048576"/>
    </sheetView>
  </sheetViews>
  <sheetFormatPr defaultRowHeight="14.4" x14ac:dyDescent="0.3"/>
  <sheetData>
    <row r="1" spans="1:5" x14ac:dyDescent="0.3">
      <c r="A1" s="1" t="s">
        <v>0</v>
      </c>
      <c r="B1" s="1" t="s">
        <v>428</v>
      </c>
      <c r="C1" s="1" t="s">
        <v>429</v>
      </c>
      <c r="D1" s="1" t="s">
        <v>430</v>
      </c>
      <c r="E1" s="1" t="s">
        <v>431</v>
      </c>
    </row>
    <row r="2" spans="1:5" x14ac:dyDescent="0.3">
      <c r="A2" t="s">
        <v>25</v>
      </c>
      <c r="B2">
        <v>1</v>
      </c>
      <c r="C2" t="s">
        <v>432</v>
      </c>
      <c r="D2" t="s">
        <v>433</v>
      </c>
      <c r="E2" t="s">
        <v>48</v>
      </c>
    </row>
    <row r="3" spans="1:5" x14ac:dyDescent="0.3">
      <c r="A3" t="s">
        <v>25</v>
      </c>
      <c r="B3">
        <v>2</v>
      </c>
      <c r="C3" t="s">
        <v>434</v>
      </c>
      <c r="D3" t="s">
        <v>433</v>
      </c>
      <c r="E3" t="s">
        <v>31</v>
      </c>
    </row>
    <row r="4" spans="1:5" x14ac:dyDescent="0.3">
      <c r="A4" t="s">
        <v>34</v>
      </c>
      <c r="B4">
        <v>1</v>
      </c>
      <c r="C4" t="s">
        <v>435</v>
      </c>
      <c r="D4" t="s">
        <v>436</v>
      </c>
      <c r="E4" t="s">
        <v>48</v>
      </c>
    </row>
    <row r="5" spans="1:5" x14ac:dyDescent="0.3">
      <c r="A5" t="s">
        <v>42</v>
      </c>
      <c r="B5">
        <v>1</v>
      </c>
      <c r="C5" t="s">
        <v>432</v>
      </c>
      <c r="D5" t="s">
        <v>433</v>
      </c>
      <c r="E5" t="s">
        <v>48</v>
      </c>
    </row>
    <row r="6" spans="1:5" x14ac:dyDescent="0.3">
      <c r="A6" t="s">
        <v>42</v>
      </c>
      <c r="B6">
        <v>2</v>
      </c>
      <c r="C6" t="s">
        <v>434</v>
      </c>
      <c r="D6" t="s">
        <v>433</v>
      </c>
      <c r="E6" t="s">
        <v>48</v>
      </c>
    </row>
    <row r="7" spans="1:5" x14ac:dyDescent="0.3">
      <c r="A7" t="s">
        <v>42</v>
      </c>
      <c r="B7">
        <v>3</v>
      </c>
      <c r="C7" t="s">
        <v>437</v>
      </c>
      <c r="D7" t="s">
        <v>433</v>
      </c>
      <c r="E7" t="s">
        <v>48</v>
      </c>
    </row>
    <row r="8" spans="1:5" x14ac:dyDescent="0.3">
      <c r="A8" t="s">
        <v>42</v>
      </c>
      <c r="B8">
        <v>4</v>
      </c>
      <c r="C8" t="s">
        <v>438</v>
      </c>
      <c r="D8" t="s">
        <v>433</v>
      </c>
      <c r="E8" t="s">
        <v>31</v>
      </c>
    </row>
    <row r="9" spans="1:5" x14ac:dyDescent="0.3">
      <c r="A9" t="s">
        <v>50</v>
      </c>
      <c r="B9">
        <v>1</v>
      </c>
      <c r="C9" t="s">
        <v>435</v>
      </c>
      <c r="D9" t="s">
        <v>436</v>
      </c>
      <c r="E9" t="s">
        <v>48</v>
      </c>
    </row>
    <row r="10" spans="1:5" x14ac:dyDescent="0.3">
      <c r="A10" t="s">
        <v>56</v>
      </c>
      <c r="B10">
        <v>1</v>
      </c>
      <c r="C10" t="s">
        <v>435</v>
      </c>
      <c r="D10" t="s">
        <v>436</v>
      </c>
      <c r="E10" t="s">
        <v>31</v>
      </c>
    </row>
    <row r="11" spans="1:5" x14ac:dyDescent="0.3">
      <c r="A11" t="s">
        <v>56</v>
      </c>
      <c r="B11">
        <v>2</v>
      </c>
      <c r="C11" t="s">
        <v>437</v>
      </c>
      <c r="D11" t="s">
        <v>433</v>
      </c>
      <c r="E11" t="s">
        <v>31</v>
      </c>
    </row>
    <row r="12" spans="1:5" x14ac:dyDescent="0.3">
      <c r="A12" t="s">
        <v>62</v>
      </c>
      <c r="B12">
        <v>1</v>
      </c>
      <c r="C12" t="s">
        <v>435</v>
      </c>
      <c r="D12" t="s">
        <v>436</v>
      </c>
      <c r="E12" t="s">
        <v>48</v>
      </c>
    </row>
    <row r="13" spans="1:5" x14ac:dyDescent="0.3">
      <c r="A13" t="s">
        <v>69</v>
      </c>
      <c r="B13">
        <v>1</v>
      </c>
      <c r="C13" t="s">
        <v>437</v>
      </c>
      <c r="D13" t="s">
        <v>433</v>
      </c>
      <c r="E13" t="s">
        <v>48</v>
      </c>
    </row>
    <row r="14" spans="1:5" x14ac:dyDescent="0.3">
      <c r="A14" t="s">
        <v>69</v>
      </c>
      <c r="B14">
        <v>2</v>
      </c>
      <c r="C14" t="s">
        <v>439</v>
      </c>
      <c r="D14" t="s">
        <v>433</v>
      </c>
      <c r="E14" t="s">
        <v>48</v>
      </c>
    </row>
    <row r="15" spans="1:5" x14ac:dyDescent="0.3">
      <c r="A15" t="s">
        <v>74</v>
      </c>
      <c r="B15">
        <v>1</v>
      </c>
      <c r="C15" t="s">
        <v>432</v>
      </c>
      <c r="D15" t="s">
        <v>433</v>
      </c>
      <c r="E15" t="s">
        <v>48</v>
      </c>
    </row>
    <row r="16" spans="1:5" x14ac:dyDescent="0.3">
      <c r="A16" t="s">
        <v>74</v>
      </c>
      <c r="B16">
        <v>2</v>
      </c>
      <c r="C16" t="s">
        <v>434</v>
      </c>
      <c r="D16" t="s">
        <v>433</v>
      </c>
      <c r="E16" t="s">
        <v>31</v>
      </c>
    </row>
    <row r="17" spans="1:5" x14ac:dyDescent="0.3">
      <c r="A17" t="s">
        <v>74</v>
      </c>
      <c r="B17">
        <v>3</v>
      </c>
      <c r="C17" t="s">
        <v>437</v>
      </c>
      <c r="D17" t="s">
        <v>433</v>
      </c>
      <c r="E17" t="s">
        <v>31</v>
      </c>
    </row>
    <row r="18" spans="1:5" x14ac:dyDescent="0.3">
      <c r="A18" t="s">
        <v>74</v>
      </c>
      <c r="B18">
        <v>4</v>
      </c>
      <c r="C18" t="s">
        <v>438</v>
      </c>
      <c r="D18" t="s">
        <v>433</v>
      </c>
      <c r="E18" t="s">
        <v>31</v>
      </c>
    </row>
    <row r="19" spans="1:5" x14ac:dyDescent="0.3">
      <c r="A19" t="s">
        <v>80</v>
      </c>
      <c r="B19">
        <v>1</v>
      </c>
      <c r="C19" t="s">
        <v>432</v>
      </c>
      <c r="D19" t="s">
        <v>433</v>
      </c>
      <c r="E19" t="s">
        <v>48</v>
      </c>
    </row>
    <row r="20" spans="1:5" x14ac:dyDescent="0.3">
      <c r="A20" t="s">
        <v>80</v>
      </c>
      <c r="B20">
        <v>2</v>
      </c>
      <c r="C20" t="s">
        <v>434</v>
      </c>
      <c r="D20" t="s">
        <v>433</v>
      </c>
      <c r="E20" t="s">
        <v>48</v>
      </c>
    </row>
    <row r="21" spans="1:5" x14ac:dyDescent="0.3">
      <c r="A21" t="s">
        <v>80</v>
      </c>
      <c r="B21">
        <v>3</v>
      </c>
      <c r="C21" t="s">
        <v>438</v>
      </c>
      <c r="D21" t="s">
        <v>433</v>
      </c>
      <c r="E21" t="s">
        <v>31</v>
      </c>
    </row>
    <row r="22" spans="1:5" x14ac:dyDescent="0.3">
      <c r="A22" t="s">
        <v>84</v>
      </c>
      <c r="B22">
        <v>1</v>
      </c>
      <c r="C22" t="s">
        <v>437</v>
      </c>
      <c r="D22" t="s">
        <v>433</v>
      </c>
      <c r="E22" t="s">
        <v>48</v>
      </c>
    </row>
    <row r="23" spans="1:5" x14ac:dyDescent="0.3">
      <c r="A23" t="s">
        <v>90</v>
      </c>
      <c r="B23">
        <v>1</v>
      </c>
      <c r="C23" t="s">
        <v>435</v>
      </c>
      <c r="D23" t="s">
        <v>436</v>
      </c>
      <c r="E23" t="s">
        <v>48</v>
      </c>
    </row>
    <row r="24" spans="1:5" x14ac:dyDescent="0.3">
      <c r="A24" t="s">
        <v>92</v>
      </c>
      <c r="B24">
        <v>1</v>
      </c>
      <c r="C24" t="s">
        <v>432</v>
      </c>
      <c r="D24" t="s">
        <v>433</v>
      </c>
      <c r="E24" t="s">
        <v>48</v>
      </c>
    </row>
    <row r="25" spans="1:5" x14ac:dyDescent="0.3">
      <c r="A25" t="s">
        <v>92</v>
      </c>
      <c r="B25">
        <v>2</v>
      </c>
      <c r="C25" t="s">
        <v>434</v>
      </c>
      <c r="D25" t="s">
        <v>433</v>
      </c>
      <c r="E25" t="s">
        <v>48</v>
      </c>
    </row>
    <row r="26" spans="1:5" x14ac:dyDescent="0.3">
      <c r="A26" t="s">
        <v>92</v>
      </c>
      <c r="B26">
        <v>3</v>
      </c>
      <c r="C26" t="s">
        <v>438</v>
      </c>
      <c r="D26" t="s">
        <v>433</v>
      </c>
      <c r="E26" t="s">
        <v>31</v>
      </c>
    </row>
    <row r="27" spans="1:5" x14ac:dyDescent="0.3">
      <c r="A27" t="s">
        <v>95</v>
      </c>
      <c r="B27">
        <v>1</v>
      </c>
      <c r="C27" t="s">
        <v>432</v>
      </c>
      <c r="D27" t="s">
        <v>433</v>
      </c>
      <c r="E27" t="s">
        <v>48</v>
      </c>
    </row>
    <row r="28" spans="1:5" x14ac:dyDescent="0.3">
      <c r="A28" t="s">
        <v>95</v>
      </c>
      <c r="B28">
        <v>2</v>
      </c>
      <c r="C28" t="s">
        <v>434</v>
      </c>
      <c r="D28" t="s">
        <v>433</v>
      </c>
      <c r="E28" t="s">
        <v>48</v>
      </c>
    </row>
    <row r="29" spans="1:5" x14ac:dyDescent="0.3">
      <c r="A29" t="s">
        <v>95</v>
      </c>
      <c r="B29">
        <v>3</v>
      </c>
      <c r="C29" t="s">
        <v>438</v>
      </c>
      <c r="D29" t="s">
        <v>433</v>
      </c>
      <c r="E29" t="s">
        <v>31</v>
      </c>
    </row>
    <row r="30" spans="1:5" x14ac:dyDescent="0.3">
      <c r="A30" t="s">
        <v>95</v>
      </c>
      <c r="B30">
        <v>4</v>
      </c>
      <c r="C30" t="s">
        <v>439</v>
      </c>
      <c r="D30" t="s">
        <v>433</v>
      </c>
      <c r="E30" t="s">
        <v>31</v>
      </c>
    </row>
    <row r="31" spans="1:5" x14ac:dyDescent="0.3">
      <c r="A31" t="s">
        <v>100</v>
      </c>
      <c r="B31">
        <v>1</v>
      </c>
      <c r="C31" t="s">
        <v>432</v>
      </c>
      <c r="D31" t="s">
        <v>433</v>
      </c>
      <c r="E31" t="s">
        <v>48</v>
      </c>
    </row>
    <row r="32" spans="1:5" x14ac:dyDescent="0.3">
      <c r="A32" t="s">
        <v>100</v>
      </c>
      <c r="B32">
        <v>2</v>
      </c>
      <c r="C32" t="s">
        <v>434</v>
      </c>
      <c r="D32" t="s">
        <v>433</v>
      </c>
      <c r="E32" t="s">
        <v>48</v>
      </c>
    </row>
    <row r="33" spans="1:5" x14ac:dyDescent="0.3">
      <c r="A33" t="s">
        <v>104</v>
      </c>
      <c r="B33">
        <v>1</v>
      </c>
      <c r="C33" t="s">
        <v>432</v>
      </c>
      <c r="D33" t="s">
        <v>433</v>
      </c>
      <c r="E33" t="s">
        <v>48</v>
      </c>
    </row>
    <row r="34" spans="1:5" x14ac:dyDescent="0.3">
      <c r="A34" t="s">
        <v>104</v>
      </c>
      <c r="B34">
        <v>2</v>
      </c>
      <c r="C34" t="s">
        <v>434</v>
      </c>
      <c r="D34" t="s">
        <v>433</v>
      </c>
      <c r="E34" t="s">
        <v>48</v>
      </c>
    </row>
    <row r="35" spans="1:5" x14ac:dyDescent="0.3">
      <c r="A35" t="s">
        <v>104</v>
      </c>
      <c r="B35">
        <v>3</v>
      </c>
      <c r="C35" t="s">
        <v>437</v>
      </c>
      <c r="D35" t="s">
        <v>433</v>
      </c>
      <c r="E35" t="s">
        <v>31</v>
      </c>
    </row>
    <row r="36" spans="1:5" x14ac:dyDescent="0.3">
      <c r="A36" t="s">
        <v>104</v>
      </c>
      <c r="B36">
        <v>4</v>
      </c>
      <c r="C36" t="s">
        <v>440</v>
      </c>
      <c r="D36" t="s">
        <v>441</v>
      </c>
      <c r="E36" t="s">
        <v>31</v>
      </c>
    </row>
    <row r="37" spans="1:5" x14ac:dyDescent="0.3">
      <c r="A37" t="s">
        <v>110</v>
      </c>
      <c r="B37">
        <v>1</v>
      </c>
      <c r="C37" t="s">
        <v>435</v>
      </c>
      <c r="D37" t="s">
        <v>436</v>
      </c>
      <c r="E37" t="s">
        <v>48</v>
      </c>
    </row>
    <row r="38" spans="1:5" x14ac:dyDescent="0.3">
      <c r="A38" t="s">
        <v>115</v>
      </c>
      <c r="B38">
        <v>1</v>
      </c>
      <c r="C38" t="s">
        <v>434</v>
      </c>
      <c r="D38" t="s">
        <v>433</v>
      </c>
      <c r="E38" t="s">
        <v>48</v>
      </c>
    </row>
    <row r="39" spans="1:5" x14ac:dyDescent="0.3">
      <c r="A39" t="s">
        <v>121</v>
      </c>
      <c r="B39">
        <v>1</v>
      </c>
      <c r="C39" t="s">
        <v>437</v>
      </c>
      <c r="D39" t="s">
        <v>433</v>
      </c>
      <c r="E39" t="s">
        <v>48</v>
      </c>
    </row>
    <row r="40" spans="1:5" x14ac:dyDescent="0.3">
      <c r="A40" t="s">
        <v>121</v>
      </c>
      <c r="B40">
        <v>2</v>
      </c>
      <c r="C40" t="s">
        <v>434</v>
      </c>
      <c r="D40" t="s">
        <v>433</v>
      </c>
      <c r="E40" t="s">
        <v>31</v>
      </c>
    </row>
    <row r="41" spans="1:5" x14ac:dyDescent="0.3">
      <c r="A41" t="s">
        <v>121</v>
      </c>
      <c r="B41">
        <v>3</v>
      </c>
      <c r="C41" t="s">
        <v>435</v>
      </c>
      <c r="D41" t="s">
        <v>433</v>
      </c>
      <c r="E41" t="s">
        <v>31</v>
      </c>
    </row>
    <row r="42" spans="1:5" x14ac:dyDescent="0.3">
      <c r="A42" t="s">
        <v>127</v>
      </c>
      <c r="B42">
        <v>1</v>
      </c>
      <c r="C42" t="s">
        <v>442</v>
      </c>
      <c r="D42" t="s">
        <v>441</v>
      </c>
      <c r="E42" t="s">
        <v>48</v>
      </c>
    </row>
    <row r="43" spans="1:5" x14ac:dyDescent="0.3">
      <c r="A43" t="s">
        <v>127</v>
      </c>
      <c r="B43">
        <v>2</v>
      </c>
      <c r="C43" t="s">
        <v>438</v>
      </c>
      <c r="D43" t="s">
        <v>433</v>
      </c>
      <c r="E43" t="s">
        <v>48</v>
      </c>
    </row>
    <row r="44" spans="1:5" x14ac:dyDescent="0.3">
      <c r="A44" t="s">
        <v>127</v>
      </c>
      <c r="B44">
        <v>3</v>
      </c>
      <c r="C44" t="s">
        <v>439</v>
      </c>
      <c r="D44" t="s">
        <v>433</v>
      </c>
      <c r="E44" t="s">
        <v>31</v>
      </c>
    </row>
    <row r="45" spans="1:5" x14ac:dyDescent="0.3">
      <c r="A45" t="s">
        <v>131</v>
      </c>
      <c r="B45">
        <v>1</v>
      </c>
      <c r="C45" t="s">
        <v>435</v>
      </c>
      <c r="D45" t="s">
        <v>436</v>
      </c>
      <c r="E45" t="s">
        <v>48</v>
      </c>
    </row>
    <row r="46" spans="1:5" x14ac:dyDescent="0.3">
      <c r="A46" t="s">
        <v>131</v>
      </c>
      <c r="B46">
        <v>2</v>
      </c>
      <c r="C46" t="s">
        <v>438</v>
      </c>
      <c r="D46" t="s">
        <v>433</v>
      </c>
      <c r="E46" t="s">
        <v>48</v>
      </c>
    </row>
    <row r="47" spans="1:5" x14ac:dyDescent="0.3">
      <c r="A47" t="s">
        <v>131</v>
      </c>
      <c r="B47">
        <v>3</v>
      </c>
      <c r="C47" t="s">
        <v>434</v>
      </c>
      <c r="D47" t="s">
        <v>433</v>
      </c>
      <c r="E47" t="s">
        <v>31</v>
      </c>
    </row>
    <row r="48" spans="1:5" x14ac:dyDescent="0.3">
      <c r="A48" t="s">
        <v>137</v>
      </c>
      <c r="B48">
        <v>1</v>
      </c>
      <c r="C48" t="s">
        <v>437</v>
      </c>
      <c r="D48" t="s">
        <v>433</v>
      </c>
      <c r="E48" t="s">
        <v>48</v>
      </c>
    </row>
    <row r="49" spans="1:5" x14ac:dyDescent="0.3">
      <c r="A49" t="s">
        <v>137</v>
      </c>
      <c r="B49">
        <v>2</v>
      </c>
      <c r="C49" t="s">
        <v>434</v>
      </c>
      <c r="D49" t="s">
        <v>433</v>
      </c>
      <c r="E49" t="s">
        <v>31</v>
      </c>
    </row>
    <row r="50" spans="1:5" x14ac:dyDescent="0.3">
      <c r="A50" t="s">
        <v>143</v>
      </c>
      <c r="B50">
        <v>1</v>
      </c>
      <c r="C50" t="s">
        <v>432</v>
      </c>
      <c r="D50" t="s">
        <v>433</v>
      </c>
      <c r="E50" t="s">
        <v>48</v>
      </c>
    </row>
    <row r="51" spans="1:5" x14ac:dyDescent="0.3">
      <c r="A51" t="s">
        <v>143</v>
      </c>
      <c r="B51">
        <v>2</v>
      </c>
      <c r="C51" t="s">
        <v>434</v>
      </c>
      <c r="D51" t="s">
        <v>433</v>
      </c>
      <c r="E51" t="s">
        <v>31</v>
      </c>
    </row>
    <row r="52" spans="1:5" x14ac:dyDescent="0.3">
      <c r="A52" t="s">
        <v>146</v>
      </c>
      <c r="B52">
        <v>1</v>
      </c>
      <c r="C52" t="s">
        <v>434</v>
      </c>
      <c r="D52" t="s">
        <v>433</v>
      </c>
      <c r="E52" t="s">
        <v>48</v>
      </c>
    </row>
    <row r="53" spans="1:5" x14ac:dyDescent="0.3">
      <c r="A53" t="s">
        <v>146</v>
      </c>
      <c r="B53">
        <v>2</v>
      </c>
      <c r="C53" t="s">
        <v>435</v>
      </c>
      <c r="D53" t="s">
        <v>436</v>
      </c>
      <c r="E53" t="s">
        <v>31</v>
      </c>
    </row>
    <row r="54" spans="1:5" x14ac:dyDescent="0.3">
      <c r="A54" t="s">
        <v>146</v>
      </c>
      <c r="B54">
        <v>3</v>
      </c>
      <c r="C54" t="s">
        <v>438</v>
      </c>
      <c r="D54" t="s">
        <v>433</v>
      </c>
      <c r="E54" t="s">
        <v>31</v>
      </c>
    </row>
    <row r="55" spans="1:5" x14ac:dyDescent="0.3">
      <c r="A55" t="s">
        <v>150</v>
      </c>
      <c r="B55">
        <v>1</v>
      </c>
      <c r="C55" t="s">
        <v>435</v>
      </c>
      <c r="D55" t="s">
        <v>436</v>
      </c>
      <c r="E55" t="s">
        <v>31</v>
      </c>
    </row>
    <row r="56" spans="1:5" x14ac:dyDescent="0.3">
      <c r="A56" t="s">
        <v>150</v>
      </c>
      <c r="B56">
        <v>2</v>
      </c>
      <c r="C56" t="s">
        <v>438</v>
      </c>
      <c r="D56" t="s">
        <v>433</v>
      </c>
      <c r="E56" t="s">
        <v>31</v>
      </c>
    </row>
    <row r="57" spans="1:5" x14ac:dyDescent="0.3">
      <c r="A57" t="s">
        <v>150</v>
      </c>
      <c r="B57">
        <v>3</v>
      </c>
      <c r="C57" t="s">
        <v>434</v>
      </c>
      <c r="D57" t="s">
        <v>433</v>
      </c>
      <c r="E57" t="s">
        <v>73</v>
      </c>
    </row>
    <row r="58" spans="1:5" x14ac:dyDescent="0.3">
      <c r="A58" t="s">
        <v>153</v>
      </c>
      <c r="B58">
        <v>1</v>
      </c>
      <c r="C58" t="s">
        <v>432</v>
      </c>
      <c r="D58" t="s">
        <v>433</v>
      </c>
      <c r="E58" t="s">
        <v>48</v>
      </c>
    </row>
    <row r="59" spans="1:5" x14ac:dyDescent="0.3">
      <c r="A59" t="s">
        <v>153</v>
      </c>
      <c r="B59">
        <v>2</v>
      </c>
      <c r="C59" t="s">
        <v>434</v>
      </c>
      <c r="D59" t="s">
        <v>433</v>
      </c>
      <c r="E59" t="s">
        <v>48</v>
      </c>
    </row>
    <row r="60" spans="1:5" x14ac:dyDescent="0.3">
      <c r="A60" t="s">
        <v>153</v>
      </c>
      <c r="B60">
        <v>3</v>
      </c>
      <c r="C60" t="s">
        <v>438</v>
      </c>
      <c r="D60" t="s">
        <v>433</v>
      </c>
      <c r="E60" t="s">
        <v>31</v>
      </c>
    </row>
    <row r="61" spans="1:5" x14ac:dyDescent="0.3">
      <c r="A61" t="s">
        <v>153</v>
      </c>
      <c r="B61">
        <v>4</v>
      </c>
      <c r="C61" t="s">
        <v>437</v>
      </c>
      <c r="D61" t="s">
        <v>433</v>
      </c>
      <c r="E61" t="s">
        <v>31</v>
      </c>
    </row>
    <row r="62" spans="1:5" x14ac:dyDescent="0.3">
      <c r="A62" t="s">
        <v>159</v>
      </c>
      <c r="B62">
        <v>1</v>
      </c>
      <c r="C62" t="s">
        <v>439</v>
      </c>
      <c r="D62" t="s">
        <v>433</v>
      </c>
      <c r="E62" t="s">
        <v>48</v>
      </c>
    </row>
    <row r="63" spans="1:5" x14ac:dyDescent="0.3">
      <c r="A63" t="s">
        <v>164</v>
      </c>
      <c r="B63">
        <v>1</v>
      </c>
      <c r="C63" t="s">
        <v>439</v>
      </c>
      <c r="D63" t="s">
        <v>433</v>
      </c>
      <c r="E63" t="s">
        <v>48</v>
      </c>
    </row>
    <row r="64" spans="1:5" x14ac:dyDescent="0.3">
      <c r="A64" t="s">
        <v>164</v>
      </c>
      <c r="B64">
        <v>2</v>
      </c>
      <c r="C64" t="s">
        <v>440</v>
      </c>
      <c r="D64" t="s">
        <v>441</v>
      </c>
      <c r="E64" t="s">
        <v>31</v>
      </c>
    </row>
    <row r="65" spans="1:5" x14ac:dyDescent="0.3">
      <c r="A65" t="s">
        <v>164</v>
      </c>
      <c r="B65">
        <v>3</v>
      </c>
      <c r="C65" t="s">
        <v>438</v>
      </c>
      <c r="D65" t="s">
        <v>433</v>
      </c>
      <c r="E65" t="s">
        <v>31</v>
      </c>
    </row>
    <row r="66" spans="1:5" x14ac:dyDescent="0.3">
      <c r="A66" t="s">
        <v>170</v>
      </c>
      <c r="B66">
        <v>1</v>
      </c>
      <c r="C66" t="s">
        <v>432</v>
      </c>
      <c r="D66" t="s">
        <v>433</v>
      </c>
      <c r="E66" t="s">
        <v>48</v>
      </c>
    </row>
    <row r="67" spans="1:5" x14ac:dyDescent="0.3">
      <c r="A67" t="s">
        <v>170</v>
      </c>
      <c r="B67">
        <v>2</v>
      </c>
      <c r="C67" t="s">
        <v>434</v>
      </c>
      <c r="D67" t="s">
        <v>433</v>
      </c>
      <c r="E67" t="s">
        <v>48</v>
      </c>
    </row>
    <row r="68" spans="1:5" x14ac:dyDescent="0.3">
      <c r="A68" t="s">
        <v>170</v>
      </c>
      <c r="B68">
        <v>3</v>
      </c>
      <c r="C68" t="s">
        <v>435</v>
      </c>
      <c r="D68" t="s">
        <v>436</v>
      </c>
      <c r="E68" t="s">
        <v>31</v>
      </c>
    </row>
    <row r="69" spans="1:5" x14ac:dyDescent="0.3">
      <c r="A69" t="s">
        <v>173</v>
      </c>
      <c r="B69">
        <v>1</v>
      </c>
      <c r="C69" t="s">
        <v>437</v>
      </c>
      <c r="D69" t="s">
        <v>433</v>
      </c>
      <c r="E69" t="s">
        <v>48</v>
      </c>
    </row>
    <row r="70" spans="1:5" x14ac:dyDescent="0.3">
      <c r="A70" t="s">
        <v>173</v>
      </c>
      <c r="B70">
        <v>2</v>
      </c>
      <c r="C70" t="s">
        <v>434</v>
      </c>
      <c r="D70" t="s">
        <v>433</v>
      </c>
      <c r="E70" t="s">
        <v>31</v>
      </c>
    </row>
    <row r="71" spans="1:5" x14ac:dyDescent="0.3">
      <c r="A71" t="s">
        <v>175</v>
      </c>
      <c r="B71">
        <v>1</v>
      </c>
      <c r="C71" t="s">
        <v>435</v>
      </c>
      <c r="D71" t="s">
        <v>436</v>
      </c>
      <c r="E71" t="s">
        <v>48</v>
      </c>
    </row>
    <row r="72" spans="1:5" x14ac:dyDescent="0.3">
      <c r="A72" t="s">
        <v>175</v>
      </c>
      <c r="B72">
        <v>2</v>
      </c>
      <c r="C72" t="s">
        <v>440</v>
      </c>
      <c r="D72" t="s">
        <v>441</v>
      </c>
      <c r="E72" t="s">
        <v>31</v>
      </c>
    </row>
    <row r="73" spans="1:5" x14ac:dyDescent="0.3">
      <c r="A73" t="s">
        <v>175</v>
      </c>
      <c r="B73">
        <v>3</v>
      </c>
      <c r="C73" t="s">
        <v>439</v>
      </c>
      <c r="D73" t="s">
        <v>433</v>
      </c>
      <c r="E73" t="s">
        <v>31</v>
      </c>
    </row>
    <row r="74" spans="1:5" x14ac:dyDescent="0.3">
      <c r="A74" t="s">
        <v>178</v>
      </c>
      <c r="B74">
        <v>1</v>
      </c>
      <c r="C74" t="s">
        <v>439</v>
      </c>
      <c r="D74" t="s">
        <v>433</v>
      </c>
      <c r="E74" t="s">
        <v>48</v>
      </c>
    </row>
    <row r="75" spans="1:5" x14ac:dyDescent="0.3">
      <c r="A75" t="s">
        <v>178</v>
      </c>
      <c r="B75">
        <v>2</v>
      </c>
      <c r="C75" t="s">
        <v>440</v>
      </c>
      <c r="D75" t="s">
        <v>441</v>
      </c>
      <c r="E75" t="s">
        <v>31</v>
      </c>
    </row>
    <row r="76" spans="1:5" x14ac:dyDescent="0.3">
      <c r="A76" t="s">
        <v>178</v>
      </c>
      <c r="B76">
        <v>3</v>
      </c>
      <c r="C76" t="s">
        <v>434</v>
      </c>
      <c r="D76" t="s">
        <v>433</v>
      </c>
      <c r="E76" t="s">
        <v>31</v>
      </c>
    </row>
    <row r="77" spans="1:5" x14ac:dyDescent="0.3">
      <c r="A77" t="s">
        <v>182</v>
      </c>
      <c r="B77">
        <v>1</v>
      </c>
      <c r="C77" t="s">
        <v>435</v>
      </c>
      <c r="D77" t="s">
        <v>433</v>
      </c>
      <c r="E77" t="s">
        <v>48</v>
      </c>
    </row>
    <row r="78" spans="1:5" x14ac:dyDescent="0.3">
      <c r="A78" t="s">
        <v>182</v>
      </c>
      <c r="B78">
        <v>2</v>
      </c>
      <c r="C78" t="s">
        <v>437</v>
      </c>
      <c r="D78" t="s">
        <v>433</v>
      </c>
      <c r="E78" t="s">
        <v>31</v>
      </c>
    </row>
    <row r="79" spans="1:5" x14ac:dyDescent="0.3">
      <c r="A79" t="s">
        <v>182</v>
      </c>
      <c r="B79">
        <v>3</v>
      </c>
      <c r="C79" t="s">
        <v>439</v>
      </c>
      <c r="D79" t="s">
        <v>433</v>
      </c>
      <c r="E79" t="s">
        <v>31</v>
      </c>
    </row>
    <row r="80" spans="1:5" x14ac:dyDescent="0.3">
      <c r="A80" t="s">
        <v>188</v>
      </c>
      <c r="B80">
        <v>1</v>
      </c>
      <c r="C80" t="s">
        <v>432</v>
      </c>
      <c r="D80" t="s">
        <v>433</v>
      </c>
      <c r="E80" t="s">
        <v>48</v>
      </c>
    </row>
    <row r="81" spans="1:5" x14ac:dyDescent="0.3">
      <c r="A81" t="s">
        <v>188</v>
      </c>
      <c r="B81">
        <v>2</v>
      </c>
      <c r="C81" t="s">
        <v>434</v>
      </c>
      <c r="D81" t="s">
        <v>433</v>
      </c>
      <c r="E81" t="s">
        <v>48</v>
      </c>
    </row>
    <row r="82" spans="1:5" x14ac:dyDescent="0.3">
      <c r="A82" t="s">
        <v>192</v>
      </c>
      <c r="B82">
        <v>1</v>
      </c>
      <c r="C82" t="s">
        <v>438</v>
      </c>
      <c r="D82" t="s">
        <v>433</v>
      </c>
      <c r="E82" t="s">
        <v>48</v>
      </c>
    </row>
    <row r="83" spans="1:5" x14ac:dyDescent="0.3">
      <c r="A83" t="s">
        <v>192</v>
      </c>
      <c r="B83">
        <v>2</v>
      </c>
      <c r="C83" t="s">
        <v>439</v>
      </c>
      <c r="D83" t="s">
        <v>433</v>
      </c>
      <c r="E83" t="s">
        <v>31</v>
      </c>
    </row>
    <row r="84" spans="1:5" x14ac:dyDescent="0.3">
      <c r="A84" t="s">
        <v>192</v>
      </c>
      <c r="B84">
        <v>3</v>
      </c>
      <c r="C84" t="s">
        <v>442</v>
      </c>
      <c r="D84" t="s">
        <v>441</v>
      </c>
      <c r="E84" t="s">
        <v>31</v>
      </c>
    </row>
    <row r="85" spans="1:5" x14ac:dyDescent="0.3">
      <c r="A85" t="s">
        <v>195</v>
      </c>
      <c r="B85">
        <v>1</v>
      </c>
      <c r="C85" t="s">
        <v>435</v>
      </c>
      <c r="D85" t="s">
        <v>436</v>
      </c>
      <c r="E85" t="s">
        <v>48</v>
      </c>
    </row>
    <row r="86" spans="1:5" x14ac:dyDescent="0.3">
      <c r="A86" t="s">
        <v>195</v>
      </c>
      <c r="B86">
        <v>2</v>
      </c>
      <c r="C86" t="s">
        <v>440</v>
      </c>
      <c r="D86" t="s">
        <v>441</v>
      </c>
      <c r="E86" t="s">
        <v>31</v>
      </c>
    </row>
    <row r="87" spans="1:5" x14ac:dyDescent="0.3">
      <c r="A87" t="s">
        <v>195</v>
      </c>
      <c r="B87">
        <v>3</v>
      </c>
      <c r="C87" t="s">
        <v>437</v>
      </c>
      <c r="D87" t="s">
        <v>433</v>
      </c>
      <c r="E87" t="s">
        <v>31</v>
      </c>
    </row>
    <row r="88" spans="1:5" x14ac:dyDescent="0.3">
      <c r="A88" t="s">
        <v>200</v>
      </c>
      <c r="B88">
        <v>1</v>
      </c>
      <c r="C88" t="s">
        <v>435</v>
      </c>
      <c r="D88" t="s">
        <v>436</v>
      </c>
      <c r="E88" t="s">
        <v>48</v>
      </c>
    </row>
    <row r="89" spans="1:5" x14ac:dyDescent="0.3">
      <c r="A89" t="s">
        <v>200</v>
      </c>
      <c r="B89">
        <v>2</v>
      </c>
      <c r="C89" t="s">
        <v>439</v>
      </c>
      <c r="D89" t="s">
        <v>433</v>
      </c>
      <c r="E89" t="s">
        <v>48</v>
      </c>
    </row>
    <row r="90" spans="1:5" x14ac:dyDescent="0.3">
      <c r="A90" t="s">
        <v>204</v>
      </c>
      <c r="B90">
        <v>1</v>
      </c>
      <c r="C90" t="s">
        <v>439</v>
      </c>
      <c r="D90" t="s">
        <v>433</v>
      </c>
      <c r="E90" t="s">
        <v>48</v>
      </c>
    </row>
    <row r="91" spans="1:5" x14ac:dyDescent="0.3">
      <c r="A91" t="s">
        <v>204</v>
      </c>
      <c r="B91">
        <v>2</v>
      </c>
      <c r="C91" t="s">
        <v>440</v>
      </c>
      <c r="D91" t="s">
        <v>441</v>
      </c>
      <c r="E91" t="s">
        <v>48</v>
      </c>
    </row>
    <row r="92" spans="1:5" x14ac:dyDescent="0.3">
      <c r="A92" t="s">
        <v>207</v>
      </c>
      <c r="B92">
        <v>1</v>
      </c>
      <c r="C92" t="s">
        <v>435</v>
      </c>
      <c r="D92" t="s">
        <v>436</v>
      </c>
      <c r="E92" t="s">
        <v>48</v>
      </c>
    </row>
    <row r="93" spans="1:5" x14ac:dyDescent="0.3">
      <c r="A93" t="s">
        <v>207</v>
      </c>
      <c r="B93">
        <v>2</v>
      </c>
      <c r="C93" t="s">
        <v>437</v>
      </c>
      <c r="D93" t="s">
        <v>433</v>
      </c>
      <c r="E93" t="s">
        <v>31</v>
      </c>
    </row>
    <row r="94" spans="1:5" x14ac:dyDescent="0.3">
      <c r="A94" t="s">
        <v>207</v>
      </c>
      <c r="B94">
        <v>3</v>
      </c>
      <c r="C94" t="s">
        <v>439</v>
      </c>
      <c r="D94" t="s">
        <v>433</v>
      </c>
      <c r="E94" t="s">
        <v>31</v>
      </c>
    </row>
    <row r="95" spans="1:5" x14ac:dyDescent="0.3">
      <c r="A95" t="s">
        <v>211</v>
      </c>
      <c r="B95">
        <v>1</v>
      </c>
      <c r="C95" t="s">
        <v>432</v>
      </c>
      <c r="D95" t="s">
        <v>433</v>
      </c>
      <c r="E95" t="s">
        <v>48</v>
      </c>
    </row>
    <row r="96" spans="1:5" x14ac:dyDescent="0.3">
      <c r="A96" t="s">
        <v>211</v>
      </c>
      <c r="B96">
        <v>2</v>
      </c>
      <c r="C96" t="s">
        <v>434</v>
      </c>
      <c r="D96" t="s">
        <v>433</v>
      </c>
      <c r="E96" t="s">
        <v>48</v>
      </c>
    </row>
    <row r="97" spans="1:5" x14ac:dyDescent="0.3">
      <c r="A97" t="s">
        <v>214</v>
      </c>
      <c r="B97">
        <v>1</v>
      </c>
      <c r="C97" t="s">
        <v>437</v>
      </c>
      <c r="D97" t="s">
        <v>433</v>
      </c>
      <c r="E97" t="s">
        <v>48</v>
      </c>
    </row>
    <row r="98" spans="1:5" x14ac:dyDescent="0.3">
      <c r="A98" t="s">
        <v>214</v>
      </c>
      <c r="B98">
        <v>2</v>
      </c>
      <c r="C98" t="s">
        <v>434</v>
      </c>
      <c r="D98" t="s">
        <v>433</v>
      </c>
      <c r="E98" t="s">
        <v>31</v>
      </c>
    </row>
    <row r="99" spans="1:5" x14ac:dyDescent="0.3">
      <c r="A99" t="s">
        <v>217</v>
      </c>
      <c r="B99">
        <v>1</v>
      </c>
      <c r="C99" t="s">
        <v>439</v>
      </c>
      <c r="D99" t="s">
        <v>433</v>
      </c>
      <c r="E99" t="s">
        <v>48</v>
      </c>
    </row>
    <row r="100" spans="1:5" x14ac:dyDescent="0.3">
      <c r="A100" t="s">
        <v>219</v>
      </c>
      <c r="B100">
        <v>1</v>
      </c>
      <c r="C100" t="s">
        <v>438</v>
      </c>
      <c r="D100" t="s">
        <v>433</v>
      </c>
      <c r="E100" t="s">
        <v>48</v>
      </c>
    </row>
    <row r="101" spans="1:5" x14ac:dyDescent="0.3">
      <c r="A101" t="s">
        <v>219</v>
      </c>
      <c r="B101">
        <v>2</v>
      </c>
      <c r="C101" t="s">
        <v>439</v>
      </c>
      <c r="D101" t="s">
        <v>433</v>
      </c>
      <c r="E101" t="s">
        <v>48</v>
      </c>
    </row>
    <row r="102" spans="1:5" x14ac:dyDescent="0.3">
      <c r="A102" t="s">
        <v>221</v>
      </c>
      <c r="B102">
        <v>1</v>
      </c>
      <c r="C102" t="s">
        <v>432</v>
      </c>
      <c r="D102" t="s">
        <v>433</v>
      </c>
      <c r="E102" t="s">
        <v>48</v>
      </c>
    </row>
    <row r="103" spans="1:5" x14ac:dyDescent="0.3">
      <c r="A103" t="s">
        <v>223</v>
      </c>
      <c r="B103">
        <v>1</v>
      </c>
      <c r="C103" t="s">
        <v>432</v>
      </c>
      <c r="D103" t="s">
        <v>433</v>
      </c>
      <c r="E103" t="s">
        <v>48</v>
      </c>
    </row>
    <row r="104" spans="1:5" x14ac:dyDescent="0.3">
      <c r="A104" t="s">
        <v>225</v>
      </c>
      <c r="B104">
        <v>1</v>
      </c>
      <c r="C104" t="s">
        <v>434</v>
      </c>
      <c r="D104" t="s">
        <v>433</v>
      </c>
      <c r="E104" t="s">
        <v>48</v>
      </c>
    </row>
    <row r="105" spans="1:5" x14ac:dyDescent="0.3">
      <c r="A105" t="s">
        <v>225</v>
      </c>
      <c r="B105">
        <v>2</v>
      </c>
      <c r="C105" t="s">
        <v>437</v>
      </c>
      <c r="D105" t="s">
        <v>433</v>
      </c>
      <c r="E105" t="s">
        <v>31</v>
      </c>
    </row>
    <row r="106" spans="1:5" x14ac:dyDescent="0.3">
      <c r="A106" t="s">
        <v>227</v>
      </c>
      <c r="B106">
        <v>1</v>
      </c>
      <c r="C106" t="s">
        <v>435</v>
      </c>
      <c r="D106" t="s">
        <v>436</v>
      </c>
      <c r="E106" t="s">
        <v>48</v>
      </c>
    </row>
    <row r="107" spans="1:5" x14ac:dyDescent="0.3">
      <c r="A107" t="s">
        <v>227</v>
      </c>
      <c r="B107">
        <v>2</v>
      </c>
      <c r="C107" t="s">
        <v>434</v>
      </c>
      <c r="D107" t="s">
        <v>433</v>
      </c>
      <c r="E107" t="s">
        <v>31</v>
      </c>
    </row>
    <row r="108" spans="1:5" x14ac:dyDescent="0.3">
      <c r="A108" t="s">
        <v>231</v>
      </c>
      <c r="B108">
        <v>1</v>
      </c>
      <c r="C108" t="s">
        <v>438</v>
      </c>
      <c r="D108" t="s">
        <v>433</v>
      </c>
      <c r="E108" t="s">
        <v>48</v>
      </c>
    </row>
    <row r="109" spans="1:5" x14ac:dyDescent="0.3">
      <c r="A109" t="s">
        <v>231</v>
      </c>
      <c r="B109">
        <v>2</v>
      </c>
      <c r="C109" t="s">
        <v>439</v>
      </c>
      <c r="D109" t="s">
        <v>433</v>
      </c>
      <c r="E109" t="s">
        <v>48</v>
      </c>
    </row>
    <row r="110" spans="1:5" x14ac:dyDescent="0.3">
      <c r="A110" t="s">
        <v>231</v>
      </c>
      <c r="B110">
        <v>3</v>
      </c>
      <c r="C110" t="s">
        <v>434</v>
      </c>
      <c r="D110" t="s">
        <v>433</v>
      </c>
      <c r="E110" t="s">
        <v>31</v>
      </c>
    </row>
    <row r="111" spans="1:5" x14ac:dyDescent="0.3">
      <c r="A111" t="s">
        <v>231</v>
      </c>
      <c r="B111">
        <v>4</v>
      </c>
      <c r="C111" t="s">
        <v>440</v>
      </c>
      <c r="D111" t="s">
        <v>441</v>
      </c>
      <c r="E111" t="s">
        <v>31</v>
      </c>
    </row>
    <row r="112" spans="1:5" x14ac:dyDescent="0.3">
      <c r="A112" t="s">
        <v>237</v>
      </c>
      <c r="B112">
        <v>1</v>
      </c>
      <c r="C112" t="s">
        <v>439</v>
      </c>
      <c r="D112" t="s">
        <v>433</v>
      </c>
      <c r="E112" t="s">
        <v>48</v>
      </c>
    </row>
    <row r="113" spans="1:5" x14ac:dyDescent="0.3">
      <c r="A113" t="s">
        <v>237</v>
      </c>
      <c r="B113">
        <v>2</v>
      </c>
      <c r="C113" t="s">
        <v>438</v>
      </c>
      <c r="D113" t="s">
        <v>433</v>
      </c>
      <c r="E113" t="s">
        <v>48</v>
      </c>
    </row>
    <row r="114" spans="1:5" x14ac:dyDescent="0.3">
      <c r="A114" t="s">
        <v>237</v>
      </c>
      <c r="B114">
        <v>3</v>
      </c>
      <c r="C114" t="s">
        <v>440</v>
      </c>
      <c r="D114" t="s">
        <v>441</v>
      </c>
      <c r="E114" t="s">
        <v>31</v>
      </c>
    </row>
    <row r="115" spans="1:5" x14ac:dyDescent="0.3">
      <c r="A115" t="s">
        <v>241</v>
      </c>
      <c r="B115">
        <v>1</v>
      </c>
      <c r="C115" t="s">
        <v>438</v>
      </c>
      <c r="D115" t="s">
        <v>433</v>
      </c>
      <c r="E115" t="s">
        <v>48</v>
      </c>
    </row>
    <row r="116" spans="1:5" x14ac:dyDescent="0.3">
      <c r="A116" t="s">
        <v>241</v>
      </c>
      <c r="B116">
        <v>2</v>
      </c>
      <c r="C116" t="s">
        <v>440</v>
      </c>
      <c r="D116" t="s">
        <v>441</v>
      </c>
      <c r="E116" t="s">
        <v>31</v>
      </c>
    </row>
    <row r="117" spans="1:5" x14ac:dyDescent="0.3">
      <c r="A117" t="s">
        <v>241</v>
      </c>
      <c r="B117">
        <v>3</v>
      </c>
      <c r="C117" t="s">
        <v>439</v>
      </c>
      <c r="D117" t="s">
        <v>433</v>
      </c>
      <c r="E117" t="s">
        <v>31</v>
      </c>
    </row>
    <row r="118" spans="1:5" x14ac:dyDescent="0.3">
      <c r="A118" t="s">
        <v>244</v>
      </c>
      <c r="B118">
        <v>1</v>
      </c>
      <c r="C118" t="s">
        <v>432</v>
      </c>
      <c r="D118" t="s">
        <v>433</v>
      </c>
      <c r="E118" t="s">
        <v>48</v>
      </c>
    </row>
    <row r="119" spans="1:5" x14ac:dyDescent="0.3">
      <c r="A119" t="s">
        <v>244</v>
      </c>
      <c r="B119">
        <v>2</v>
      </c>
      <c r="C119" t="s">
        <v>435</v>
      </c>
      <c r="D119" t="s">
        <v>433</v>
      </c>
      <c r="E119" t="s">
        <v>31</v>
      </c>
    </row>
    <row r="120" spans="1:5" x14ac:dyDescent="0.3">
      <c r="A120" t="s">
        <v>244</v>
      </c>
      <c r="B120">
        <v>3</v>
      </c>
      <c r="C120" t="s">
        <v>437</v>
      </c>
      <c r="D120" t="s">
        <v>433</v>
      </c>
      <c r="E120" t="s">
        <v>31</v>
      </c>
    </row>
    <row r="121" spans="1:5" x14ac:dyDescent="0.3">
      <c r="A121" t="s">
        <v>244</v>
      </c>
      <c r="B121">
        <v>4</v>
      </c>
      <c r="C121" t="s">
        <v>434</v>
      </c>
      <c r="D121" t="s">
        <v>433</v>
      </c>
      <c r="E121" t="s">
        <v>31</v>
      </c>
    </row>
    <row r="122" spans="1:5" x14ac:dyDescent="0.3">
      <c r="A122" t="s">
        <v>247</v>
      </c>
      <c r="B122">
        <v>1</v>
      </c>
      <c r="C122" t="s">
        <v>439</v>
      </c>
      <c r="D122" t="s">
        <v>433</v>
      </c>
      <c r="E122" t="s">
        <v>48</v>
      </c>
    </row>
    <row r="123" spans="1:5" x14ac:dyDescent="0.3">
      <c r="A123" t="s">
        <v>247</v>
      </c>
      <c r="B123">
        <v>2</v>
      </c>
      <c r="C123" t="s">
        <v>440</v>
      </c>
      <c r="D123" t="s">
        <v>441</v>
      </c>
      <c r="E123" t="s">
        <v>31</v>
      </c>
    </row>
    <row r="124" spans="1:5" x14ac:dyDescent="0.3">
      <c r="A124" t="s">
        <v>247</v>
      </c>
      <c r="B124">
        <v>3</v>
      </c>
      <c r="C124" t="s">
        <v>438</v>
      </c>
      <c r="D124" t="s">
        <v>433</v>
      </c>
      <c r="E124" t="s">
        <v>31</v>
      </c>
    </row>
    <row r="125" spans="1:5" x14ac:dyDescent="0.3">
      <c r="A125" t="s">
        <v>250</v>
      </c>
      <c r="B125">
        <v>1</v>
      </c>
      <c r="C125" t="s">
        <v>432</v>
      </c>
      <c r="D125" t="s">
        <v>433</v>
      </c>
      <c r="E125" t="s">
        <v>48</v>
      </c>
    </row>
    <row r="126" spans="1:5" x14ac:dyDescent="0.3">
      <c r="A126" t="s">
        <v>250</v>
      </c>
      <c r="B126">
        <v>2</v>
      </c>
      <c r="C126" t="s">
        <v>434</v>
      </c>
      <c r="D126" t="s">
        <v>433</v>
      </c>
      <c r="E126" t="s">
        <v>48</v>
      </c>
    </row>
    <row r="127" spans="1:5" x14ac:dyDescent="0.3">
      <c r="A127" t="s">
        <v>250</v>
      </c>
      <c r="B127">
        <v>3</v>
      </c>
      <c r="C127" t="s">
        <v>438</v>
      </c>
      <c r="D127" t="s">
        <v>433</v>
      </c>
      <c r="E127" t="s">
        <v>31</v>
      </c>
    </row>
    <row r="128" spans="1:5" x14ac:dyDescent="0.3">
      <c r="A128" t="s">
        <v>252</v>
      </c>
      <c r="B128">
        <v>1</v>
      </c>
      <c r="C128" t="s">
        <v>435</v>
      </c>
      <c r="D128" t="s">
        <v>436</v>
      </c>
      <c r="E128" t="s">
        <v>48</v>
      </c>
    </row>
    <row r="129" spans="1:5" x14ac:dyDescent="0.3">
      <c r="A129" t="s">
        <v>252</v>
      </c>
      <c r="B129">
        <v>2</v>
      </c>
      <c r="C129" t="s">
        <v>440</v>
      </c>
      <c r="D129" t="s">
        <v>441</v>
      </c>
      <c r="E129" t="s">
        <v>31</v>
      </c>
    </row>
    <row r="130" spans="1:5" x14ac:dyDescent="0.3">
      <c r="A130" t="s">
        <v>252</v>
      </c>
      <c r="B130">
        <v>3</v>
      </c>
      <c r="C130" t="s">
        <v>439</v>
      </c>
      <c r="D130" t="s">
        <v>433</v>
      </c>
      <c r="E130" t="s">
        <v>31</v>
      </c>
    </row>
    <row r="131" spans="1:5" x14ac:dyDescent="0.3">
      <c r="A131" t="s">
        <v>255</v>
      </c>
      <c r="B131">
        <v>1</v>
      </c>
      <c r="C131" t="s">
        <v>434</v>
      </c>
      <c r="D131" t="s">
        <v>433</v>
      </c>
      <c r="E131" t="s">
        <v>48</v>
      </c>
    </row>
    <row r="132" spans="1:5" x14ac:dyDescent="0.3">
      <c r="A132" t="s">
        <v>255</v>
      </c>
      <c r="B132">
        <v>2</v>
      </c>
      <c r="C132" t="s">
        <v>437</v>
      </c>
      <c r="D132" t="s">
        <v>433</v>
      </c>
      <c r="E132" t="s">
        <v>31</v>
      </c>
    </row>
    <row r="133" spans="1:5" x14ac:dyDescent="0.3">
      <c r="A133" t="s">
        <v>258</v>
      </c>
      <c r="B133">
        <v>1</v>
      </c>
      <c r="C133" t="s">
        <v>439</v>
      </c>
      <c r="D133" t="s">
        <v>433</v>
      </c>
      <c r="E133" t="s">
        <v>48</v>
      </c>
    </row>
    <row r="134" spans="1:5" x14ac:dyDescent="0.3">
      <c r="A134" t="s">
        <v>258</v>
      </c>
      <c r="B134">
        <v>2</v>
      </c>
      <c r="C134" t="s">
        <v>437</v>
      </c>
      <c r="D134" t="s">
        <v>433</v>
      </c>
      <c r="E134" t="s">
        <v>31</v>
      </c>
    </row>
    <row r="135" spans="1:5" x14ac:dyDescent="0.3">
      <c r="A135" t="s">
        <v>258</v>
      </c>
      <c r="B135">
        <v>3</v>
      </c>
      <c r="C135" t="s">
        <v>438</v>
      </c>
      <c r="D135" t="s">
        <v>433</v>
      </c>
      <c r="E135" t="s">
        <v>31</v>
      </c>
    </row>
    <row r="136" spans="1:5" x14ac:dyDescent="0.3">
      <c r="A136" t="s">
        <v>261</v>
      </c>
      <c r="B136">
        <v>1</v>
      </c>
      <c r="C136" t="s">
        <v>432</v>
      </c>
      <c r="D136" t="s">
        <v>433</v>
      </c>
      <c r="E136" t="s">
        <v>48</v>
      </c>
    </row>
    <row r="137" spans="1:5" x14ac:dyDescent="0.3">
      <c r="A137" t="s">
        <v>261</v>
      </c>
      <c r="B137">
        <v>2</v>
      </c>
      <c r="C137" t="s">
        <v>434</v>
      </c>
      <c r="D137" t="s">
        <v>433</v>
      </c>
      <c r="E137" t="s">
        <v>48</v>
      </c>
    </row>
    <row r="138" spans="1:5" x14ac:dyDescent="0.3">
      <c r="A138" t="s">
        <v>261</v>
      </c>
      <c r="B138">
        <v>3</v>
      </c>
      <c r="C138" t="s">
        <v>437</v>
      </c>
      <c r="D138" t="s">
        <v>433</v>
      </c>
      <c r="E138" t="s">
        <v>31</v>
      </c>
    </row>
    <row r="139" spans="1:5" x14ac:dyDescent="0.3">
      <c r="A139" t="s">
        <v>264</v>
      </c>
      <c r="B139">
        <v>1</v>
      </c>
      <c r="C139" t="s">
        <v>432</v>
      </c>
      <c r="D139" t="s">
        <v>433</v>
      </c>
      <c r="E139" t="s">
        <v>48</v>
      </c>
    </row>
    <row r="140" spans="1:5" x14ac:dyDescent="0.3">
      <c r="A140" t="s">
        <v>264</v>
      </c>
      <c r="B140">
        <v>2</v>
      </c>
      <c r="C140" t="s">
        <v>434</v>
      </c>
      <c r="D140" t="s">
        <v>433</v>
      </c>
      <c r="E140" t="s">
        <v>48</v>
      </c>
    </row>
    <row r="141" spans="1:5" x14ac:dyDescent="0.3">
      <c r="A141" t="s">
        <v>264</v>
      </c>
      <c r="B141">
        <v>3</v>
      </c>
      <c r="C141" t="s">
        <v>438</v>
      </c>
      <c r="D141" t="s">
        <v>433</v>
      </c>
      <c r="E141" t="s">
        <v>31</v>
      </c>
    </row>
    <row r="142" spans="1:5" x14ac:dyDescent="0.3">
      <c r="A142" t="s">
        <v>266</v>
      </c>
      <c r="B142">
        <v>1</v>
      </c>
      <c r="C142" t="s">
        <v>435</v>
      </c>
      <c r="D142" t="s">
        <v>436</v>
      </c>
      <c r="E142" t="s">
        <v>48</v>
      </c>
    </row>
    <row r="143" spans="1:5" x14ac:dyDescent="0.3">
      <c r="A143" t="s">
        <v>266</v>
      </c>
      <c r="B143">
        <v>2</v>
      </c>
      <c r="C143" t="s">
        <v>439</v>
      </c>
      <c r="D143" t="s">
        <v>433</v>
      </c>
      <c r="E143" t="s">
        <v>31</v>
      </c>
    </row>
    <row r="144" spans="1:5" x14ac:dyDescent="0.3">
      <c r="A144" t="s">
        <v>270</v>
      </c>
      <c r="B144">
        <v>1</v>
      </c>
      <c r="C144" t="s">
        <v>439</v>
      </c>
      <c r="D144" t="s">
        <v>433</v>
      </c>
      <c r="E144" t="s">
        <v>48</v>
      </c>
    </row>
    <row r="145" spans="1:5" x14ac:dyDescent="0.3">
      <c r="A145" t="s">
        <v>270</v>
      </c>
      <c r="B145">
        <v>2</v>
      </c>
      <c r="C145" t="s">
        <v>437</v>
      </c>
      <c r="D145" t="s">
        <v>433</v>
      </c>
      <c r="E145" t="s">
        <v>31</v>
      </c>
    </row>
    <row r="146" spans="1:5" x14ac:dyDescent="0.3">
      <c r="A146" t="s">
        <v>270</v>
      </c>
      <c r="B146">
        <v>3</v>
      </c>
      <c r="C146" t="s">
        <v>435</v>
      </c>
      <c r="D146" t="s">
        <v>433</v>
      </c>
      <c r="E146" t="s">
        <v>73</v>
      </c>
    </row>
    <row r="147" spans="1:5" x14ac:dyDescent="0.3">
      <c r="A147" t="s">
        <v>274</v>
      </c>
      <c r="B147">
        <v>1</v>
      </c>
      <c r="C147" t="s">
        <v>435</v>
      </c>
      <c r="D147" t="s">
        <v>436</v>
      </c>
      <c r="E147" t="s">
        <v>48</v>
      </c>
    </row>
    <row r="148" spans="1:5" x14ac:dyDescent="0.3">
      <c r="A148" t="s">
        <v>274</v>
      </c>
      <c r="B148">
        <v>2</v>
      </c>
      <c r="C148" t="s">
        <v>434</v>
      </c>
      <c r="D148" t="s">
        <v>433</v>
      </c>
      <c r="E148" t="s">
        <v>31</v>
      </c>
    </row>
    <row r="149" spans="1:5" x14ac:dyDescent="0.3">
      <c r="A149" t="s">
        <v>274</v>
      </c>
      <c r="B149">
        <v>3</v>
      </c>
      <c r="C149" t="s">
        <v>438</v>
      </c>
      <c r="D149" t="s">
        <v>433</v>
      </c>
      <c r="E149" t="s">
        <v>31</v>
      </c>
    </row>
    <row r="150" spans="1:5" x14ac:dyDescent="0.3">
      <c r="A150" t="s">
        <v>277</v>
      </c>
      <c r="B150">
        <v>1</v>
      </c>
      <c r="C150" t="s">
        <v>432</v>
      </c>
      <c r="D150" t="s">
        <v>433</v>
      </c>
      <c r="E150" t="s">
        <v>48</v>
      </c>
    </row>
    <row r="151" spans="1:5" x14ac:dyDescent="0.3">
      <c r="A151" t="s">
        <v>277</v>
      </c>
      <c r="B151">
        <v>2</v>
      </c>
      <c r="C151" t="s">
        <v>434</v>
      </c>
      <c r="D151" t="s">
        <v>433</v>
      </c>
      <c r="E151" t="s">
        <v>48</v>
      </c>
    </row>
    <row r="152" spans="1:5" x14ac:dyDescent="0.3">
      <c r="A152" t="s">
        <v>277</v>
      </c>
      <c r="B152">
        <v>3</v>
      </c>
      <c r="C152" t="s">
        <v>437</v>
      </c>
      <c r="D152" t="s">
        <v>433</v>
      </c>
      <c r="E152" t="s">
        <v>31</v>
      </c>
    </row>
    <row r="153" spans="1:5" x14ac:dyDescent="0.3">
      <c r="A153" t="s">
        <v>279</v>
      </c>
      <c r="B153">
        <v>1</v>
      </c>
      <c r="C153" t="s">
        <v>434</v>
      </c>
      <c r="D153" t="s">
        <v>433</v>
      </c>
      <c r="E153" t="s">
        <v>48</v>
      </c>
    </row>
    <row r="154" spans="1:5" x14ac:dyDescent="0.3">
      <c r="A154" t="s">
        <v>279</v>
      </c>
      <c r="B154">
        <v>2</v>
      </c>
      <c r="C154" t="s">
        <v>438</v>
      </c>
      <c r="D154" t="s">
        <v>433</v>
      </c>
      <c r="E154" t="s">
        <v>31</v>
      </c>
    </row>
    <row r="155" spans="1:5" x14ac:dyDescent="0.3">
      <c r="A155" t="s">
        <v>279</v>
      </c>
      <c r="B155">
        <v>3</v>
      </c>
      <c r="C155" t="s">
        <v>439</v>
      </c>
      <c r="D155" t="s">
        <v>433</v>
      </c>
      <c r="E155" t="s">
        <v>31</v>
      </c>
    </row>
    <row r="156" spans="1:5" x14ac:dyDescent="0.3">
      <c r="A156" t="s">
        <v>283</v>
      </c>
      <c r="B156">
        <v>1</v>
      </c>
      <c r="C156" t="s">
        <v>437</v>
      </c>
      <c r="D156" t="s">
        <v>433</v>
      </c>
      <c r="E156" t="s">
        <v>48</v>
      </c>
    </row>
    <row r="157" spans="1:5" x14ac:dyDescent="0.3">
      <c r="A157" t="s">
        <v>283</v>
      </c>
      <c r="B157">
        <v>2</v>
      </c>
      <c r="C157" t="s">
        <v>439</v>
      </c>
      <c r="D157" t="s">
        <v>433</v>
      </c>
      <c r="E157" t="s">
        <v>48</v>
      </c>
    </row>
    <row r="158" spans="1:5" x14ac:dyDescent="0.3">
      <c r="A158" t="s">
        <v>286</v>
      </c>
      <c r="B158">
        <v>1</v>
      </c>
      <c r="C158" t="s">
        <v>437</v>
      </c>
      <c r="D158" t="s">
        <v>433</v>
      </c>
      <c r="E158" t="s">
        <v>31</v>
      </c>
    </row>
    <row r="159" spans="1:5" x14ac:dyDescent="0.3">
      <c r="A159" t="s">
        <v>286</v>
      </c>
      <c r="B159">
        <v>2</v>
      </c>
      <c r="C159" t="s">
        <v>435</v>
      </c>
      <c r="D159" t="s">
        <v>433</v>
      </c>
      <c r="E159" t="s">
        <v>31</v>
      </c>
    </row>
    <row r="160" spans="1:5" x14ac:dyDescent="0.3">
      <c r="A160" t="s">
        <v>286</v>
      </c>
      <c r="B160">
        <v>3</v>
      </c>
      <c r="C160" t="s">
        <v>434</v>
      </c>
      <c r="D160" t="s">
        <v>433</v>
      </c>
      <c r="E160" t="s">
        <v>31</v>
      </c>
    </row>
    <row r="161" spans="1:5" x14ac:dyDescent="0.3">
      <c r="A161" t="s">
        <v>288</v>
      </c>
      <c r="B161">
        <v>1</v>
      </c>
      <c r="C161" t="s">
        <v>432</v>
      </c>
      <c r="D161" t="s">
        <v>433</v>
      </c>
      <c r="E161" t="s">
        <v>48</v>
      </c>
    </row>
    <row r="162" spans="1:5" x14ac:dyDescent="0.3">
      <c r="A162" t="s">
        <v>288</v>
      </c>
      <c r="B162">
        <v>2</v>
      </c>
      <c r="C162" t="s">
        <v>434</v>
      </c>
      <c r="D162" t="s">
        <v>433</v>
      </c>
      <c r="E162" t="s">
        <v>48</v>
      </c>
    </row>
    <row r="163" spans="1:5" x14ac:dyDescent="0.3">
      <c r="A163" t="s">
        <v>288</v>
      </c>
      <c r="B163">
        <v>3</v>
      </c>
      <c r="C163" t="s">
        <v>435</v>
      </c>
      <c r="D163" t="s">
        <v>436</v>
      </c>
      <c r="E163" t="s">
        <v>31</v>
      </c>
    </row>
    <row r="164" spans="1:5" x14ac:dyDescent="0.3">
      <c r="A164" t="s">
        <v>288</v>
      </c>
      <c r="B164">
        <v>4</v>
      </c>
      <c r="C164" t="s">
        <v>440</v>
      </c>
      <c r="D164" t="s">
        <v>441</v>
      </c>
      <c r="E164" t="s">
        <v>31</v>
      </c>
    </row>
    <row r="165" spans="1:5" x14ac:dyDescent="0.3">
      <c r="A165" t="s">
        <v>292</v>
      </c>
      <c r="B165">
        <v>1</v>
      </c>
      <c r="C165" t="s">
        <v>435</v>
      </c>
      <c r="D165" t="s">
        <v>436</v>
      </c>
      <c r="E165" t="s">
        <v>48</v>
      </c>
    </row>
    <row r="166" spans="1:5" x14ac:dyDescent="0.3">
      <c r="A166" t="s">
        <v>292</v>
      </c>
      <c r="B166">
        <v>2</v>
      </c>
      <c r="C166" t="s">
        <v>438</v>
      </c>
      <c r="D166" t="s">
        <v>433</v>
      </c>
      <c r="E166" t="s">
        <v>48</v>
      </c>
    </row>
    <row r="167" spans="1:5" x14ac:dyDescent="0.3">
      <c r="A167" t="s">
        <v>295</v>
      </c>
      <c r="B167">
        <v>1</v>
      </c>
      <c r="C167" t="s">
        <v>435</v>
      </c>
      <c r="D167" t="s">
        <v>436</v>
      </c>
      <c r="E167" t="s">
        <v>31</v>
      </c>
    </row>
    <row r="168" spans="1:5" x14ac:dyDescent="0.3">
      <c r="A168" t="s">
        <v>295</v>
      </c>
      <c r="B168">
        <v>2</v>
      </c>
      <c r="C168" t="s">
        <v>438</v>
      </c>
      <c r="D168" t="s">
        <v>433</v>
      </c>
      <c r="E168" t="s">
        <v>48</v>
      </c>
    </row>
    <row r="169" spans="1:5" x14ac:dyDescent="0.3">
      <c r="A169" t="s">
        <v>295</v>
      </c>
      <c r="B169">
        <v>3</v>
      </c>
      <c r="C169" t="s">
        <v>434</v>
      </c>
      <c r="D169" t="s">
        <v>433</v>
      </c>
      <c r="E169" t="s">
        <v>31</v>
      </c>
    </row>
    <row r="170" spans="1:5" x14ac:dyDescent="0.3">
      <c r="A170" t="s">
        <v>297</v>
      </c>
      <c r="B170">
        <v>1</v>
      </c>
      <c r="C170" t="s">
        <v>434</v>
      </c>
      <c r="D170" t="s">
        <v>433</v>
      </c>
      <c r="E170" t="s">
        <v>48</v>
      </c>
    </row>
    <row r="171" spans="1:5" x14ac:dyDescent="0.3">
      <c r="A171" t="s">
        <v>297</v>
      </c>
      <c r="B171">
        <v>2</v>
      </c>
      <c r="C171" t="s">
        <v>437</v>
      </c>
      <c r="D171" t="s">
        <v>433</v>
      </c>
      <c r="E171" t="s">
        <v>48</v>
      </c>
    </row>
    <row r="172" spans="1:5" x14ac:dyDescent="0.3">
      <c r="A172" t="s">
        <v>297</v>
      </c>
      <c r="B172">
        <v>3</v>
      </c>
      <c r="C172" t="s">
        <v>432</v>
      </c>
      <c r="D172" t="s">
        <v>433</v>
      </c>
      <c r="E172" t="s">
        <v>31</v>
      </c>
    </row>
    <row r="173" spans="1:5" x14ac:dyDescent="0.3">
      <c r="A173" t="s">
        <v>301</v>
      </c>
      <c r="B173">
        <v>1</v>
      </c>
      <c r="C173" t="s">
        <v>438</v>
      </c>
      <c r="D173" t="s">
        <v>433</v>
      </c>
      <c r="E173" t="s">
        <v>48</v>
      </c>
    </row>
    <row r="174" spans="1:5" x14ac:dyDescent="0.3">
      <c r="A174" t="s">
        <v>301</v>
      </c>
      <c r="B174">
        <v>2</v>
      </c>
      <c r="C174" t="s">
        <v>439</v>
      </c>
      <c r="D174" t="s">
        <v>433</v>
      </c>
      <c r="E174" t="s">
        <v>48</v>
      </c>
    </row>
    <row r="175" spans="1:5" x14ac:dyDescent="0.3">
      <c r="A175" t="s">
        <v>301</v>
      </c>
      <c r="B175">
        <v>3</v>
      </c>
      <c r="C175" t="s">
        <v>442</v>
      </c>
      <c r="D175" t="s">
        <v>441</v>
      </c>
      <c r="E175" t="s">
        <v>31</v>
      </c>
    </row>
    <row r="176" spans="1:5" x14ac:dyDescent="0.3">
      <c r="A176" t="s">
        <v>303</v>
      </c>
      <c r="B176">
        <v>1</v>
      </c>
      <c r="C176" t="s">
        <v>439</v>
      </c>
      <c r="D176" t="s">
        <v>433</v>
      </c>
      <c r="E176" t="s">
        <v>48</v>
      </c>
    </row>
    <row r="177" spans="1:5" x14ac:dyDescent="0.3">
      <c r="A177" t="s">
        <v>303</v>
      </c>
      <c r="B177">
        <v>2</v>
      </c>
      <c r="C177" t="s">
        <v>440</v>
      </c>
      <c r="D177" t="s">
        <v>441</v>
      </c>
      <c r="E177" t="s">
        <v>31</v>
      </c>
    </row>
    <row r="178" spans="1:5" x14ac:dyDescent="0.3">
      <c r="A178" t="s">
        <v>306</v>
      </c>
      <c r="B178">
        <v>1</v>
      </c>
      <c r="C178" t="s">
        <v>439</v>
      </c>
      <c r="D178" t="s">
        <v>433</v>
      </c>
      <c r="E178" t="s">
        <v>48</v>
      </c>
    </row>
    <row r="179" spans="1:5" x14ac:dyDescent="0.3">
      <c r="A179" t="s">
        <v>306</v>
      </c>
      <c r="B179">
        <v>2</v>
      </c>
      <c r="C179" t="s">
        <v>440</v>
      </c>
      <c r="D179" t="s">
        <v>441</v>
      </c>
      <c r="E179" t="s">
        <v>31</v>
      </c>
    </row>
    <row r="180" spans="1:5" x14ac:dyDescent="0.3">
      <c r="A180" t="s">
        <v>310</v>
      </c>
      <c r="B180">
        <v>1</v>
      </c>
      <c r="C180" t="s">
        <v>432</v>
      </c>
      <c r="D180" t="s">
        <v>433</v>
      </c>
      <c r="E180" t="s">
        <v>48</v>
      </c>
    </row>
    <row r="181" spans="1:5" x14ac:dyDescent="0.3">
      <c r="A181" t="s">
        <v>310</v>
      </c>
      <c r="B181">
        <v>2</v>
      </c>
      <c r="C181" t="s">
        <v>434</v>
      </c>
      <c r="D181" t="s">
        <v>433</v>
      </c>
      <c r="E181" t="s">
        <v>48</v>
      </c>
    </row>
    <row r="182" spans="1:5" x14ac:dyDescent="0.3">
      <c r="A182" t="s">
        <v>310</v>
      </c>
      <c r="B182">
        <v>3</v>
      </c>
      <c r="C182" t="s">
        <v>438</v>
      </c>
      <c r="D182" t="s">
        <v>433</v>
      </c>
      <c r="E182" t="s">
        <v>31</v>
      </c>
    </row>
    <row r="183" spans="1:5" x14ac:dyDescent="0.3">
      <c r="A183" t="s">
        <v>312</v>
      </c>
      <c r="B183">
        <v>1</v>
      </c>
      <c r="C183" t="s">
        <v>435</v>
      </c>
      <c r="D183" t="s">
        <v>436</v>
      </c>
      <c r="E183" t="s">
        <v>48</v>
      </c>
    </row>
    <row r="184" spans="1:5" x14ac:dyDescent="0.3">
      <c r="A184" t="s">
        <v>315</v>
      </c>
      <c r="B184">
        <v>1</v>
      </c>
      <c r="C184" t="s">
        <v>432</v>
      </c>
      <c r="D184" t="s">
        <v>433</v>
      </c>
      <c r="E184" t="s">
        <v>48</v>
      </c>
    </row>
    <row r="185" spans="1:5" x14ac:dyDescent="0.3">
      <c r="A185" t="s">
        <v>315</v>
      </c>
      <c r="B185">
        <v>2</v>
      </c>
      <c r="C185" t="s">
        <v>434</v>
      </c>
      <c r="D185" t="s">
        <v>433</v>
      </c>
      <c r="E185" t="s">
        <v>48</v>
      </c>
    </row>
    <row r="186" spans="1:5" x14ac:dyDescent="0.3">
      <c r="A186" t="s">
        <v>315</v>
      </c>
      <c r="B186">
        <v>3</v>
      </c>
      <c r="C186" t="s">
        <v>442</v>
      </c>
      <c r="D186" t="s">
        <v>441</v>
      </c>
      <c r="E186" t="s">
        <v>31</v>
      </c>
    </row>
    <row r="187" spans="1:5" x14ac:dyDescent="0.3">
      <c r="A187" t="s">
        <v>315</v>
      </c>
      <c r="B187">
        <v>4</v>
      </c>
      <c r="C187" t="s">
        <v>440</v>
      </c>
      <c r="D187" t="s">
        <v>441</v>
      </c>
      <c r="E187" t="s">
        <v>31</v>
      </c>
    </row>
    <row r="188" spans="1:5" x14ac:dyDescent="0.3">
      <c r="A188" t="s">
        <v>321</v>
      </c>
      <c r="B188">
        <v>1</v>
      </c>
      <c r="C188" t="s">
        <v>434</v>
      </c>
      <c r="D188" t="s">
        <v>433</v>
      </c>
      <c r="E188" t="s">
        <v>48</v>
      </c>
    </row>
    <row r="189" spans="1:5" x14ac:dyDescent="0.3">
      <c r="A189" t="s">
        <v>321</v>
      </c>
      <c r="B189">
        <v>2</v>
      </c>
      <c r="C189" t="s">
        <v>437</v>
      </c>
      <c r="D189" t="s">
        <v>433</v>
      </c>
      <c r="E189" t="s">
        <v>48</v>
      </c>
    </row>
    <row r="190" spans="1:5" x14ac:dyDescent="0.3">
      <c r="A190" t="s">
        <v>324</v>
      </c>
      <c r="B190">
        <v>1</v>
      </c>
      <c r="C190" t="s">
        <v>434</v>
      </c>
      <c r="D190" t="s">
        <v>433</v>
      </c>
      <c r="E190" t="s">
        <v>48</v>
      </c>
    </row>
    <row r="191" spans="1:5" x14ac:dyDescent="0.3">
      <c r="A191" t="s">
        <v>324</v>
      </c>
      <c r="B191">
        <v>2</v>
      </c>
      <c r="C191" t="s">
        <v>438</v>
      </c>
      <c r="D191" t="s">
        <v>433</v>
      </c>
      <c r="E191" t="s">
        <v>31</v>
      </c>
    </row>
    <row r="192" spans="1:5" x14ac:dyDescent="0.3">
      <c r="A192" t="s">
        <v>324</v>
      </c>
      <c r="B192">
        <v>3</v>
      </c>
      <c r="C192" t="s">
        <v>439</v>
      </c>
      <c r="D192" t="s">
        <v>433</v>
      </c>
      <c r="E192" t="s">
        <v>31</v>
      </c>
    </row>
    <row r="193" spans="1:5" x14ac:dyDescent="0.3">
      <c r="A193" t="s">
        <v>327</v>
      </c>
      <c r="B193">
        <v>1</v>
      </c>
      <c r="C193" t="s">
        <v>435</v>
      </c>
      <c r="D193" t="s">
        <v>436</v>
      </c>
      <c r="E193" t="s">
        <v>48</v>
      </c>
    </row>
    <row r="194" spans="1:5" x14ac:dyDescent="0.3">
      <c r="A194" t="s">
        <v>329</v>
      </c>
      <c r="B194">
        <v>1</v>
      </c>
      <c r="C194" t="s">
        <v>432</v>
      </c>
      <c r="D194" t="s">
        <v>433</v>
      </c>
      <c r="E194" t="s">
        <v>48</v>
      </c>
    </row>
    <row r="195" spans="1:5" x14ac:dyDescent="0.3">
      <c r="A195" t="s">
        <v>329</v>
      </c>
      <c r="B195">
        <v>2</v>
      </c>
      <c r="C195" t="s">
        <v>434</v>
      </c>
      <c r="D195" t="s">
        <v>433</v>
      </c>
      <c r="E195" t="s">
        <v>48</v>
      </c>
    </row>
    <row r="196" spans="1:5" x14ac:dyDescent="0.3">
      <c r="A196" t="s">
        <v>329</v>
      </c>
      <c r="B196">
        <v>3</v>
      </c>
      <c r="C196" t="s">
        <v>438</v>
      </c>
      <c r="D196" t="s">
        <v>433</v>
      </c>
      <c r="E196" t="s">
        <v>31</v>
      </c>
    </row>
    <row r="197" spans="1:5" x14ac:dyDescent="0.3">
      <c r="A197" t="s">
        <v>329</v>
      </c>
      <c r="B197">
        <v>4</v>
      </c>
      <c r="C197" t="s">
        <v>439</v>
      </c>
      <c r="D197" t="s">
        <v>433</v>
      </c>
      <c r="E197" t="s">
        <v>31</v>
      </c>
    </row>
    <row r="198" spans="1:5" x14ac:dyDescent="0.3">
      <c r="A198" t="s">
        <v>331</v>
      </c>
      <c r="B198">
        <v>1</v>
      </c>
      <c r="C198" t="s">
        <v>434</v>
      </c>
      <c r="D198" t="s">
        <v>433</v>
      </c>
      <c r="E198" t="s">
        <v>48</v>
      </c>
    </row>
    <row r="199" spans="1:5" x14ac:dyDescent="0.3">
      <c r="A199" t="s">
        <v>333</v>
      </c>
      <c r="B199">
        <v>1</v>
      </c>
      <c r="C199" t="s">
        <v>432</v>
      </c>
      <c r="D199" t="s">
        <v>433</v>
      </c>
      <c r="E199" t="s">
        <v>48</v>
      </c>
    </row>
    <row r="200" spans="1:5" x14ac:dyDescent="0.3">
      <c r="A200" t="s">
        <v>333</v>
      </c>
      <c r="B200">
        <v>2</v>
      </c>
      <c r="C200" t="s">
        <v>434</v>
      </c>
      <c r="D200" t="s">
        <v>433</v>
      </c>
      <c r="E200" t="s">
        <v>31</v>
      </c>
    </row>
    <row r="201" spans="1:5" x14ac:dyDescent="0.3">
      <c r="A201" t="s">
        <v>335</v>
      </c>
      <c r="B201">
        <v>1</v>
      </c>
      <c r="C201" t="s">
        <v>439</v>
      </c>
      <c r="D201" t="s">
        <v>433</v>
      </c>
      <c r="E201" t="s">
        <v>48</v>
      </c>
    </row>
    <row r="202" spans="1:5" x14ac:dyDescent="0.3">
      <c r="A202" t="s">
        <v>335</v>
      </c>
      <c r="B202">
        <v>2</v>
      </c>
      <c r="C202" t="s">
        <v>434</v>
      </c>
      <c r="D202" t="s">
        <v>433</v>
      </c>
      <c r="E202" t="s">
        <v>31</v>
      </c>
    </row>
    <row r="203" spans="1:5" x14ac:dyDescent="0.3">
      <c r="A203" t="s">
        <v>335</v>
      </c>
      <c r="B203">
        <v>3</v>
      </c>
      <c r="C203" t="s">
        <v>438</v>
      </c>
      <c r="D203" t="s">
        <v>433</v>
      </c>
      <c r="E203" t="s">
        <v>31</v>
      </c>
    </row>
    <row r="204" spans="1:5" x14ac:dyDescent="0.3">
      <c r="A204" t="s">
        <v>339</v>
      </c>
      <c r="B204">
        <v>1</v>
      </c>
      <c r="C204" t="s">
        <v>437</v>
      </c>
      <c r="D204" t="s">
        <v>433</v>
      </c>
      <c r="E204" t="s">
        <v>48</v>
      </c>
    </row>
    <row r="205" spans="1:5" x14ac:dyDescent="0.3">
      <c r="A205" t="s">
        <v>339</v>
      </c>
      <c r="B205">
        <v>2</v>
      </c>
      <c r="C205" t="s">
        <v>434</v>
      </c>
      <c r="D205" t="s">
        <v>433</v>
      </c>
      <c r="E205" t="s">
        <v>31</v>
      </c>
    </row>
    <row r="206" spans="1:5" x14ac:dyDescent="0.3">
      <c r="A206" t="s">
        <v>342</v>
      </c>
      <c r="B206">
        <v>1</v>
      </c>
      <c r="C206" t="s">
        <v>432</v>
      </c>
      <c r="D206" t="s">
        <v>433</v>
      </c>
      <c r="E206" t="s">
        <v>48</v>
      </c>
    </row>
    <row r="207" spans="1:5" x14ac:dyDescent="0.3">
      <c r="A207" t="s">
        <v>342</v>
      </c>
      <c r="B207">
        <v>2</v>
      </c>
      <c r="C207" t="s">
        <v>434</v>
      </c>
      <c r="D207" t="s">
        <v>433</v>
      </c>
      <c r="E207" t="s">
        <v>31</v>
      </c>
    </row>
    <row r="208" spans="1:5" x14ac:dyDescent="0.3">
      <c r="A208" t="s">
        <v>342</v>
      </c>
      <c r="B208">
        <v>3</v>
      </c>
      <c r="C208" t="s">
        <v>438</v>
      </c>
      <c r="D208" t="s">
        <v>433</v>
      </c>
      <c r="E208" t="s">
        <v>31</v>
      </c>
    </row>
    <row r="209" spans="1:5" x14ac:dyDescent="0.3">
      <c r="A209" t="s">
        <v>342</v>
      </c>
      <c r="B209">
        <v>4</v>
      </c>
      <c r="C209" t="s">
        <v>437</v>
      </c>
      <c r="D209" t="s">
        <v>433</v>
      </c>
      <c r="E209" t="s">
        <v>73</v>
      </c>
    </row>
    <row r="210" spans="1:5" x14ac:dyDescent="0.3">
      <c r="A210" t="s">
        <v>344</v>
      </c>
      <c r="B210">
        <v>1</v>
      </c>
      <c r="C210" t="s">
        <v>432</v>
      </c>
      <c r="D210" t="s">
        <v>433</v>
      </c>
      <c r="E210" t="s">
        <v>48</v>
      </c>
    </row>
    <row r="211" spans="1:5" x14ac:dyDescent="0.3">
      <c r="A211" t="s">
        <v>344</v>
      </c>
      <c r="B211">
        <v>2</v>
      </c>
      <c r="C211" t="s">
        <v>434</v>
      </c>
      <c r="D211" t="s">
        <v>433</v>
      </c>
      <c r="E211" t="s">
        <v>48</v>
      </c>
    </row>
    <row r="212" spans="1:5" x14ac:dyDescent="0.3">
      <c r="A212" t="s">
        <v>344</v>
      </c>
      <c r="B212">
        <v>3</v>
      </c>
      <c r="C212" t="s">
        <v>438</v>
      </c>
      <c r="D212" t="s">
        <v>433</v>
      </c>
      <c r="E212" t="s">
        <v>31</v>
      </c>
    </row>
    <row r="213" spans="1:5" x14ac:dyDescent="0.3">
      <c r="A213" t="s">
        <v>345</v>
      </c>
      <c r="B213">
        <v>1</v>
      </c>
      <c r="C213" t="s">
        <v>434</v>
      </c>
      <c r="D213" t="s">
        <v>433</v>
      </c>
      <c r="E213" t="s">
        <v>31</v>
      </c>
    </row>
    <row r="214" spans="1:5" x14ac:dyDescent="0.3">
      <c r="A214" t="s">
        <v>347</v>
      </c>
      <c r="B214">
        <v>1</v>
      </c>
      <c r="C214" t="s">
        <v>435</v>
      </c>
      <c r="D214" t="s">
        <v>436</v>
      </c>
      <c r="E214" t="s">
        <v>48</v>
      </c>
    </row>
    <row r="215" spans="1:5" x14ac:dyDescent="0.3">
      <c r="A215" t="s">
        <v>350</v>
      </c>
      <c r="B215">
        <v>1</v>
      </c>
      <c r="C215" t="s">
        <v>439</v>
      </c>
      <c r="D215" t="s">
        <v>433</v>
      </c>
      <c r="E215" t="s">
        <v>48</v>
      </c>
    </row>
    <row r="216" spans="1:5" x14ac:dyDescent="0.3">
      <c r="A216" t="s">
        <v>350</v>
      </c>
      <c r="B216">
        <v>2</v>
      </c>
      <c r="C216" t="s">
        <v>438</v>
      </c>
      <c r="D216" t="s">
        <v>433</v>
      </c>
      <c r="E216" t="s">
        <v>31</v>
      </c>
    </row>
    <row r="217" spans="1:5" x14ac:dyDescent="0.3">
      <c r="A217" t="s">
        <v>350</v>
      </c>
      <c r="B217">
        <v>3</v>
      </c>
      <c r="C217" t="s">
        <v>440</v>
      </c>
      <c r="D217" t="s">
        <v>441</v>
      </c>
      <c r="E217" t="s">
        <v>73</v>
      </c>
    </row>
    <row r="218" spans="1:5" x14ac:dyDescent="0.3">
      <c r="A218" t="s">
        <v>352</v>
      </c>
      <c r="B218">
        <v>1</v>
      </c>
      <c r="C218" t="s">
        <v>439</v>
      </c>
      <c r="D218" t="s">
        <v>433</v>
      </c>
      <c r="E218" t="s">
        <v>48</v>
      </c>
    </row>
    <row r="219" spans="1:5" x14ac:dyDescent="0.3">
      <c r="A219" t="s">
        <v>352</v>
      </c>
      <c r="B219">
        <v>2</v>
      </c>
      <c r="C219" t="s">
        <v>440</v>
      </c>
      <c r="D219" t="s">
        <v>441</v>
      </c>
      <c r="E219" t="s">
        <v>31</v>
      </c>
    </row>
    <row r="220" spans="1:5" x14ac:dyDescent="0.3">
      <c r="A220" t="s">
        <v>355</v>
      </c>
      <c r="B220">
        <v>1</v>
      </c>
      <c r="C220" t="s">
        <v>434</v>
      </c>
      <c r="D220" t="s">
        <v>433</v>
      </c>
      <c r="E220" t="s">
        <v>48</v>
      </c>
    </row>
    <row r="221" spans="1:5" x14ac:dyDescent="0.3">
      <c r="A221" t="s">
        <v>357</v>
      </c>
      <c r="B221">
        <v>1</v>
      </c>
      <c r="C221" t="s">
        <v>432</v>
      </c>
      <c r="D221" t="s">
        <v>433</v>
      </c>
      <c r="E221" t="s">
        <v>48</v>
      </c>
    </row>
    <row r="222" spans="1:5" x14ac:dyDescent="0.3">
      <c r="A222" t="s">
        <v>357</v>
      </c>
      <c r="B222">
        <v>2</v>
      </c>
      <c r="C222" t="s">
        <v>434</v>
      </c>
      <c r="D222" t="s">
        <v>433</v>
      </c>
      <c r="E222" t="s">
        <v>31</v>
      </c>
    </row>
    <row r="223" spans="1:5" x14ac:dyDescent="0.3">
      <c r="A223" t="s">
        <v>357</v>
      </c>
      <c r="B223">
        <v>3</v>
      </c>
      <c r="C223" t="s">
        <v>438</v>
      </c>
      <c r="D223" t="s">
        <v>433</v>
      </c>
      <c r="E223" t="s">
        <v>31</v>
      </c>
    </row>
    <row r="224" spans="1:5" x14ac:dyDescent="0.3">
      <c r="A224" t="s">
        <v>363</v>
      </c>
      <c r="B224">
        <v>1</v>
      </c>
      <c r="C224" t="s">
        <v>439</v>
      </c>
      <c r="D224" t="s">
        <v>433</v>
      </c>
      <c r="E224" t="s">
        <v>48</v>
      </c>
    </row>
    <row r="225" spans="1:5" x14ac:dyDescent="0.3">
      <c r="A225" t="s">
        <v>363</v>
      </c>
      <c r="B225">
        <v>2</v>
      </c>
      <c r="C225" t="s">
        <v>440</v>
      </c>
      <c r="D225" t="s">
        <v>441</v>
      </c>
      <c r="E225" t="s">
        <v>31</v>
      </c>
    </row>
    <row r="226" spans="1:5" x14ac:dyDescent="0.3">
      <c r="A226" t="s">
        <v>363</v>
      </c>
      <c r="B226">
        <v>3</v>
      </c>
      <c r="C226" t="s">
        <v>435</v>
      </c>
      <c r="D226" t="s">
        <v>436</v>
      </c>
      <c r="E226" t="s">
        <v>31</v>
      </c>
    </row>
    <row r="227" spans="1:5" x14ac:dyDescent="0.3">
      <c r="A227" t="s">
        <v>367</v>
      </c>
      <c r="B227">
        <v>1</v>
      </c>
      <c r="C227" t="s">
        <v>432</v>
      </c>
      <c r="D227" t="s">
        <v>433</v>
      </c>
      <c r="E227" t="s">
        <v>48</v>
      </c>
    </row>
    <row r="228" spans="1:5" x14ac:dyDescent="0.3">
      <c r="A228" t="s">
        <v>369</v>
      </c>
      <c r="B228">
        <v>1</v>
      </c>
      <c r="C228" t="s">
        <v>435</v>
      </c>
      <c r="D228" t="s">
        <v>433</v>
      </c>
      <c r="E228" t="s">
        <v>31</v>
      </c>
    </row>
    <row r="229" spans="1:5" x14ac:dyDescent="0.3">
      <c r="A229" t="s">
        <v>369</v>
      </c>
      <c r="B229">
        <v>2</v>
      </c>
      <c r="C229" t="s">
        <v>439</v>
      </c>
      <c r="D229" t="s">
        <v>433</v>
      </c>
      <c r="E229" t="s">
        <v>48</v>
      </c>
    </row>
    <row r="230" spans="1:5" x14ac:dyDescent="0.3">
      <c r="A230" t="s">
        <v>369</v>
      </c>
      <c r="B230">
        <v>3</v>
      </c>
      <c r="C230" t="s">
        <v>437</v>
      </c>
      <c r="D230" t="s">
        <v>433</v>
      </c>
      <c r="E230" t="s">
        <v>31</v>
      </c>
    </row>
    <row r="231" spans="1:5" x14ac:dyDescent="0.3">
      <c r="A231" t="s">
        <v>372</v>
      </c>
      <c r="B231">
        <v>1</v>
      </c>
      <c r="C231" t="s">
        <v>439</v>
      </c>
      <c r="D231" t="s">
        <v>433</v>
      </c>
      <c r="E231" t="s">
        <v>48</v>
      </c>
    </row>
    <row r="232" spans="1:5" x14ac:dyDescent="0.3">
      <c r="A232" t="s">
        <v>372</v>
      </c>
      <c r="B232">
        <v>2</v>
      </c>
      <c r="C232" t="s">
        <v>440</v>
      </c>
      <c r="D232" t="s">
        <v>441</v>
      </c>
      <c r="E232" t="s">
        <v>31</v>
      </c>
    </row>
    <row r="233" spans="1:5" x14ac:dyDescent="0.3">
      <c r="A233" t="s">
        <v>372</v>
      </c>
      <c r="B233">
        <v>3</v>
      </c>
      <c r="C233" t="s">
        <v>438</v>
      </c>
      <c r="D233" t="s">
        <v>433</v>
      </c>
      <c r="E233" t="s">
        <v>31</v>
      </c>
    </row>
    <row r="234" spans="1:5" x14ac:dyDescent="0.3">
      <c r="A234" t="s">
        <v>374</v>
      </c>
      <c r="B234">
        <v>1</v>
      </c>
      <c r="C234" t="s">
        <v>434</v>
      </c>
      <c r="D234" t="s">
        <v>433</v>
      </c>
      <c r="E234" t="s">
        <v>48</v>
      </c>
    </row>
    <row r="235" spans="1:5" x14ac:dyDescent="0.3">
      <c r="A235" t="s">
        <v>374</v>
      </c>
      <c r="B235">
        <v>2</v>
      </c>
      <c r="C235" t="s">
        <v>437</v>
      </c>
      <c r="D235" t="s">
        <v>433</v>
      </c>
      <c r="E235" t="s">
        <v>31</v>
      </c>
    </row>
    <row r="236" spans="1:5" x14ac:dyDescent="0.3">
      <c r="A236" t="s">
        <v>374</v>
      </c>
      <c r="B236">
        <v>3</v>
      </c>
      <c r="C236" t="s">
        <v>435</v>
      </c>
      <c r="D236" t="s">
        <v>433</v>
      </c>
      <c r="E236" t="s">
        <v>31</v>
      </c>
    </row>
    <row r="237" spans="1:5" x14ac:dyDescent="0.3">
      <c r="A237" t="s">
        <v>377</v>
      </c>
      <c r="B237">
        <v>1</v>
      </c>
      <c r="C237" t="s">
        <v>432</v>
      </c>
      <c r="D237" t="s">
        <v>433</v>
      </c>
      <c r="E237" t="s">
        <v>48</v>
      </c>
    </row>
    <row r="238" spans="1:5" x14ac:dyDescent="0.3">
      <c r="A238" t="s">
        <v>377</v>
      </c>
      <c r="B238">
        <v>2</v>
      </c>
      <c r="C238" t="s">
        <v>434</v>
      </c>
      <c r="D238" t="s">
        <v>433</v>
      </c>
      <c r="E238" t="s">
        <v>31</v>
      </c>
    </row>
    <row r="239" spans="1:5" x14ac:dyDescent="0.3">
      <c r="A239" t="s">
        <v>379</v>
      </c>
      <c r="B239">
        <v>1</v>
      </c>
      <c r="C239" t="s">
        <v>432</v>
      </c>
      <c r="D239" t="s">
        <v>433</v>
      </c>
      <c r="E239" t="s">
        <v>48</v>
      </c>
    </row>
    <row r="240" spans="1:5" x14ac:dyDescent="0.3">
      <c r="A240" t="s">
        <v>379</v>
      </c>
      <c r="B240">
        <v>2</v>
      </c>
      <c r="C240" t="s">
        <v>434</v>
      </c>
      <c r="D240" t="s">
        <v>433</v>
      </c>
      <c r="E240" t="s">
        <v>31</v>
      </c>
    </row>
    <row r="241" spans="1:5" x14ac:dyDescent="0.3">
      <c r="A241" t="s">
        <v>379</v>
      </c>
      <c r="B241">
        <v>3</v>
      </c>
      <c r="C241" t="s">
        <v>437</v>
      </c>
      <c r="D241" t="s">
        <v>433</v>
      </c>
      <c r="E241" t="s">
        <v>31</v>
      </c>
    </row>
    <row r="242" spans="1:5" x14ac:dyDescent="0.3">
      <c r="A242" t="s">
        <v>379</v>
      </c>
      <c r="B242">
        <v>4</v>
      </c>
      <c r="C242" t="s">
        <v>438</v>
      </c>
      <c r="D242" t="s">
        <v>433</v>
      </c>
      <c r="E242" t="s">
        <v>31</v>
      </c>
    </row>
    <row r="243" spans="1:5" x14ac:dyDescent="0.3">
      <c r="A243" t="s">
        <v>381</v>
      </c>
      <c r="B243">
        <v>1</v>
      </c>
      <c r="C243" t="s">
        <v>440</v>
      </c>
      <c r="D243" t="s">
        <v>441</v>
      </c>
      <c r="E243" t="s">
        <v>48</v>
      </c>
    </row>
    <row r="244" spans="1:5" x14ac:dyDescent="0.3">
      <c r="A244" t="s">
        <v>381</v>
      </c>
      <c r="B244">
        <v>2</v>
      </c>
      <c r="C244" t="s">
        <v>434</v>
      </c>
      <c r="D244" t="s">
        <v>433</v>
      </c>
      <c r="E244" t="s">
        <v>48</v>
      </c>
    </row>
    <row r="245" spans="1:5" x14ac:dyDescent="0.3">
      <c r="A245" t="s">
        <v>381</v>
      </c>
      <c r="B245">
        <v>3</v>
      </c>
      <c r="C245" t="s">
        <v>438</v>
      </c>
      <c r="D245" t="s">
        <v>433</v>
      </c>
      <c r="E245" t="s">
        <v>48</v>
      </c>
    </row>
    <row r="246" spans="1:5" x14ac:dyDescent="0.3">
      <c r="A246" t="s">
        <v>381</v>
      </c>
      <c r="B246">
        <v>4</v>
      </c>
      <c r="C246" t="s">
        <v>439</v>
      </c>
      <c r="D246" t="s">
        <v>433</v>
      </c>
      <c r="E246" t="s">
        <v>31</v>
      </c>
    </row>
    <row r="247" spans="1:5" x14ac:dyDescent="0.3">
      <c r="A247" t="s">
        <v>384</v>
      </c>
      <c r="B247">
        <v>1</v>
      </c>
      <c r="C247" t="s">
        <v>435</v>
      </c>
      <c r="D247" t="s">
        <v>436</v>
      </c>
      <c r="E247" t="s">
        <v>48</v>
      </c>
    </row>
    <row r="248" spans="1:5" x14ac:dyDescent="0.3">
      <c r="A248" t="s">
        <v>384</v>
      </c>
      <c r="B248">
        <v>2</v>
      </c>
      <c r="C248" t="s">
        <v>437</v>
      </c>
      <c r="D248" t="s">
        <v>433</v>
      </c>
      <c r="E248" t="s">
        <v>31</v>
      </c>
    </row>
    <row r="249" spans="1:5" x14ac:dyDescent="0.3">
      <c r="A249" t="s">
        <v>384</v>
      </c>
      <c r="B249">
        <v>3</v>
      </c>
      <c r="C249" t="s">
        <v>434</v>
      </c>
      <c r="D249" t="s">
        <v>433</v>
      </c>
      <c r="E249" t="s">
        <v>31</v>
      </c>
    </row>
    <row r="250" spans="1:5" x14ac:dyDescent="0.3">
      <c r="A250" t="s">
        <v>388</v>
      </c>
      <c r="B250">
        <v>1</v>
      </c>
      <c r="C250" t="s">
        <v>432</v>
      </c>
      <c r="D250" t="s">
        <v>433</v>
      </c>
      <c r="E250" t="s">
        <v>48</v>
      </c>
    </row>
    <row r="251" spans="1:5" x14ac:dyDescent="0.3">
      <c r="A251" t="s">
        <v>388</v>
      </c>
      <c r="B251">
        <v>2</v>
      </c>
      <c r="C251" t="s">
        <v>434</v>
      </c>
      <c r="D251" t="s">
        <v>433</v>
      </c>
      <c r="E251" t="s">
        <v>48</v>
      </c>
    </row>
    <row r="252" spans="1:5" x14ac:dyDescent="0.3">
      <c r="A252" t="s">
        <v>388</v>
      </c>
      <c r="B252">
        <v>3</v>
      </c>
      <c r="C252" t="s">
        <v>438</v>
      </c>
      <c r="D252" t="s">
        <v>433</v>
      </c>
      <c r="E252" t="s">
        <v>48</v>
      </c>
    </row>
    <row r="253" spans="1:5" x14ac:dyDescent="0.3">
      <c r="A253" t="s">
        <v>391</v>
      </c>
      <c r="B253">
        <v>1</v>
      </c>
      <c r="C253" t="s">
        <v>435</v>
      </c>
      <c r="D253" t="s">
        <v>436</v>
      </c>
      <c r="E253" t="s">
        <v>48</v>
      </c>
    </row>
    <row r="254" spans="1:5" x14ac:dyDescent="0.3">
      <c r="A254" t="s">
        <v>393</v>
      </c>
      <c r="B254">
        <v>1</v>
      </c>
      <c r="C254" t="s">
        <v>432</v>
      </c>
      <c r="D254" t="s">
        <v>433</v>
      </c>
      <c r="E254" t="s">
        <v>48</v>
      </c>
    </row>
    <row r="255" spans="1:5" x14ac:dyDescent="0.3">
      <c r="A255" t="s">
        <v>393</v>
      </c>
      <c r="B255">
        <v>2</v>
      </c>
      <c r="C255" t="s">
        <v>434</v>
      </c>
      <c r="D255" t="s">
        <v>433</v>
      </c>
      <c r="E255" t="s">
        <v>48</v>
      </c>
    </row>
    <row r="256" spans="1:5" x14ac:dyDescent="0.3">
      <c r="A256" t="s">
        <v>395</v>
      </c>
      <c r="B256">
        <v>1</v>
      </c>
      <c r="C256" t="s">
        <v>439</v>
      </c>
      <c r="D256" t="s">
        <v>433</v>
      </c>
      <c r="E256" t="s">
        <v>48</v>
      </c>
    </row>
    <row r="257" spans="1:5" x14ac:dyDescent="0.3">
      <c r="A257" t="s">
        <v>395</v>
      </c>
      <c r="B257">
        <v>2</v>
      </c>
      <c r="C257" t="s">
        <v>435</v>
      </c>
      <c r="D257" t="s">
        <v>436</v>
      </c>
      <c r="E257" t="s">
        <v>31</v>
      </c>
    </row>
    <row r="258" spans="1:5" x14ac:dyDescent="0.3">
      <c r="A258" t="s">
        <v>395</v>
      </c>
      <c r="B258">
        <v>3</v>
      </c>
      <c r="C258" t="s">
        <v>440</v>
      </c>
      <c r="D258" t="s">
        <v>441</v>
      </c>
      <c r="E258" t="s">
        <v>73</v>
      </c>
    </row>
    <row r="259" spans="1:5" x14ac:dyDescent="0.3">
      <c r="A259" t="s">
        <v>397</v>
      </c>
      <c r="B259">
        <v>1</v>
      </c>
      <c r="C259" t="s">
        <v>435</v>
      </c>
      <c r="D259" t="s">
        <v>436</v>
      </c>
      <c r="E259" t="s">
        <v>48</v>
      </c>
    </row>
    <row r="260" spans="1:5" x14ac:dyDescent="0.3">
      <c r="A260" t="s">
        <v>397</v>
      </c>
      <c r="B260">
        <v>2</v>
      </c>
      <c r="C260" t="s">
        <v>438</v>
      </c>
      <c r="D260" t="s">
        <v>433</v>
      </c>
      <c r="E260" t="s">
        <v>48</v>
      </c>
    </row>
    <row r="261" spans="1:5" x14ac:dyDescent="0.3">
      <c r="A261" t="s">
        <v>397</v>
      </c>
      <c r="B261">
        <v>3</v>
      </c>
      <c r="C261" t="s">
        <v>434</v>
      </c>
      <c r="D261" t="s">
        <v>433</v>
      </c>
      <c r="E261" t="s">
        <v>31</v>
      </c>
    </row>
    <row r="262" spans="1:5" x14ac:dyDescent="0.3">
      <c r="A262" t="s">
        <v>399</v>
      </c>
      <c r="B262">
        <v>1</v>
      </c>
      <c r="C262" t="s">
        <v>432</v>
      </c>
      <c r="D262" t="s">
        <v>433</v>
      </c>
      <c r="E262" t="s">
        <v>48</v>
      </c>
    </row>
    <row r="263" spans="1:5" x14ac:dyDescent="0.3">
      <c r="A263" t="s">
        <v>403</v>
      </c>
      <c r="B263">
        <v>1</v>
      </c>
      <c r="C263" t="s">
        <v>434</v>
      </c>
      <c r="D263" t="s">
        <v>433</v>
      </c>
      <c r="E263" t="s">
        <v>48</v>
      </c>
    </row>
    <row r="264" spans="1:5" x14ac:dyDescent="0.3">
      <c r="A264" t="s">
        <v>403</v>
      </c>
      <c r="B264">
        <v>2</v>
      </c>
      <c r="C264" t="s">
        <v>438</v>
      </c>
      <c r="D264" t="s">
        <v>433</v>
      </c>
      <c r="E264" t="s">
        <v>31</v>
      </c>
    </row>
    <row r="265" spans="1:5" x14ac:dyDescent="0.3">
      <c r="A265" t="s">
        <v>403</v>
      </c>
      <c r="B265">
        <v>3</v>
      </c>
      <c r="C265" t="s">
        <v>439</v>
      </c>
      <c r="D265" t="s">
        <v>433</v>
      </c>
      <c r="E265" t="s">
        <v>31</v>
      </c>
    </row>
    <row r="266" spans="1:5" x14ac:dyDescent="0.3">
      <c r="A266" t="s">
        <v>406</v>
      </c>
      <c r="B266">
        <v>1</v>
      </c>
      <c r="C266" t="s">
        <v>435</v>
      </c>
      <c r="D266" t="s">
        <v>433</v>
      </c>
      <c r="E266" t="s">
        <v>48</v>
      </c>
    </row>
    <row r="267" spans="1:5" x14ac:dyDescent="0.3">
      <c r="A267" t="s">
        <v>406</v>
      </c>
      <c r="B267">
        <v>2</v>
      </c>
      <c r="C267" t="s">
        <v>437</v>
      </c>
      <c r="D267" t="s">
        <v>433</v>
      </c>
      <c r="E267" t="s">
        <v>31</v>
      </c>
    </row>
    <row r="268" spans="1:5" x14ac:dyDescent="0.3">
      <c r="A268" t="s">
        <v>411</v>
      </c>
      <c r="B268">
        <v>1</v>
      </c>
      <c r="C268" t="s">
        <v>439</v>
      </c>
      <c r="D268" t="s">
        <v>433</v>
      </c>
      <c r="E268" t="s">
        <v>48</v>
      </c>
    </row>
    <row r="269" spans="1:5" x14ac:dyDescent="0.3">
      <c r="A269" t="s">
        <v>413</v>
      </c>
      <c r="B269">
        <v>1</v>
      </c>
      <c r="C269" t="s">
        <v>432</v>
      </c>
      <c r="D269" t="s">
        <v>433</v>
      </c>
      <c r="E269" t="s">
        <v>48</v>
      </c>
    </row>
    <row r="270" spans="1:5" x14ac:dyDescent="0.3">
      <c r="A270" t="s">
        <v>413</v>
      </c>
      <c r="B270">
        <v>2</v>
      </c>
      <c r="C270" t="s">
        <v>434</v>
      </c>
      <c r="D270" t="s">
        <v>433</v>
      </c>
      <c r="E270" t="s">
        <v>48</v>
      </c>
    </row>
    <row r="271" spans="1:5" x14ac:dyDescent="0.3">
      <c r="A271" t="s">
        <v>413</v>
      </c>
      <c r="B271">
        <v>3</v>
      </c>
      <c r="C271" t="s">
        <v>437</v>
      </c>
      <c r="D271" t="s">
        <v>433</v>
      </c>
      <c r="E271" t="s">
        <v>48</v>
      </c>
    </row>
    <row r="272" spans="1:5" x14ac:dyDescent="0.3">
      <c r="A272" t="s">
        <v>417</v>
      </c>
      <c r="B272">
        <v>1</v>
      </c>
      <c r="C272" t="s">
        <v>432</v>
      </c>
      <c r="D272" t="s">
        <v>433</v>
      </c>
      <c r="E272" t="s">
        <v>48</v>
      </c>
    </row>
    <row r="273" spans="1:5" x14ac:dyDescent="0.3">
      <c r="A273" t="s">
        <v>417</v>
      </c>
      <c r="B273">
        <v>2</v>
      </c>
      <c r="C273" t="s">
        <v>434</v>
      </c>
      <c r="D273" t="s">
        <v>433</v>
      </c>
      <c r="E273" t="s">
        <v>48</v>
      </c>
    </row>
    <row r="274" spans="1:5" x14ac:dyDescent="0.3">
      <c r="A274" t="s">
        <v>419</v>
      </c>
      <c r="B274">
        <v>1</v>
      </c>
      <c r="C274" t="s">
        <v>434</v>
      </c>
      <c r="D274" t="s">
        <v>433</v>
      </c>
      <c r="E274" t="s">
        <v>48</v>
      </c>
    </row>
    <row r="275" spans="1:5" x14ac:dyDescent="0.3">
      <c r="A275" t="s">
        <v>419</v>
      </c>
      <c r="B275">
        <v>2</v>
      </c>
      <c r="C275" t="s">
        <v>438</v>
      </c>
      <c r="D275" t="s">
        <v>433</v>
      </c>
      <c r="E275" t="s">
        <v>48</v>
      </c>
    </row>
    <row r="276" spans="1:5" x14ac:dyDescent="0.3">
      <c r="A276" t="s">
        <v>419</v>
      </c>
      <c r="B276">
        <v>3</v>
      </c>
      <c r="C276" t="s">
        <v>439</v>
      </c>
      <c r="D276" t="s">
        <v>433</v>
      </c>
      <c r="E276" t="s">
        <v>31</v>
      </c>
    </row>
    <row r="277" spans="1:5" x14ac:dyDescent="0.3">
      <c r="A277" t="s">
        <v>419</v>
      </c>
      <c r="B277">
        <v>4</v>
      </c>
      <c r="C277" t="s">
        <v>440</v>
      </c>
      <c r="D277" t="s">
        <v>441</v>
      </c>
      <c r="E277" t="s">
        <v>31</v>
      </c>
    </row>
    <row r="278" spans="1:5" x14ac:dyDescent="0.3">
      <c r="A278" t="s">
        <v>422</v>
      </c>
      <c r="B278">
        <v>1</v>
      </c>
      <c r="C278" t="s">
        <v>434</v>
      </c>
      <c r="D278" t="s">
        <v>433</v>
      </c>
      <c r="E278" t="s">
        <v>48</v>
      </c>
    </row>
    <row r="279" spans="1:5" x14ac:dyDescent="0.3">
      <c r="A279" t="s">
        <v>422</v>
      </c>
      <c r="B279">
        <v>2</v>
      </c>
      <c r="C279" t="s">
        <v>439</v>
      </c>
      <c r="D279" t="s">
        <v>433</v>
      </c>
      <c r="E279" t="s">
        <v>31</v>
      </c>
    </row>
    <row r="280" spans="1:5" x14ac:dyDescent="0.3">
      <c r="A280" t="s">
        <v>422</v>
      </c>
      <c r="B280">
        <v>3</v>
      </c>
      <c r="C280" t="s">
        <v>438</v>
      </c>
      <c r="D280" t="s">
        <v>433</v>
      </c>
      <c r="E280" t="s">
        <v>31</v>
      </c>
    </row>
    <row r="281" spans="1:5" x14ac:dyDescent="0.3">
      <c r="A281" t="s">
        <v>426</v>
      </c>
      <c r="B281">
        <v>1</v>
      </c>
      <c r="C281" t="s">
        <v>439</v>
      </c>
      <c r="D281" t="s">
        <v>433</v>
      </c>
      <c r="E281" t="s">
        <v>48</v>
      </c>
    </row>
    <row r="282" spans="1:5" x14ac:dyDescent="0.3">
      <c r="A282" t="s">
        <v>426</v>
      </c>
      <c r="B282">
        <v>2</v>
      </c>
      <c r="C282" t="s">
        <v>434</v>
      </c>
      <c r="D282" t="s">
        <v>433</v>
      </c>
      <c r="E282" t="s">
        <v>48</v>
      </c>
    </row>
    <row r="283" spans="1:5" x14ac:dyDescent="0.3">
      <c r="A283" t="s">
        <v>426</v>
      </c>
      <c r="B283">
        <v>3</v>
      </c>
      <c r="C283" t="s">
        <v>438</v>
      </c>
      <c r="D283" t="s">
        <v>433</v>
      </c>
      <c r="E283" t="s">
        <v>31</v>
      </c>
    </row>
    <row r="284" spans="1:5" x14ac:dyDescent="0.3">
      <c r="A284" s="3" t="s">
        <v>25</v>
      </c>
      <c r="B284" s="3">
        <v>1</v>
      </c>
      <c r="C284" s="3" t="s">
        <v>432</v>
      </c>
      <c r="D284" s="3" t="s">
        <v>433</v>
      </c>
      <c r="E284" s="3" t="s">
        <v>48</v>
      </c>
    </row>
    <row r="285" spans="1:5" x14ac:dyDescent="0.3">
      <c r="A285" s="3" t="s">
        <v>25</v>
      </c>
      <c r="B285" s="3">
        <v>2</v>
      </c>
      <c r="C285" s="3" t="s">
        <v>434</v>
      </c>
      <c r="D285" s="3" t="s">
        <v>433</v>
      </c>
      <c r="E285" s="3" t="s">
        <v>31</v>
      </c>
    </row>
    <row r="286" spans="1:5" x14ac:dyDescent="0.3">
      <c r="A286" s="3" t="s">
        <v>34</v>
      </c>
      <c r="B286" s="3">
        <v>1</v>
      </c>
      <c r="C286" s="3" t="s">
        <v>435</v>
      </c>
      <c r="D286" s="3" t="s">
        <v>436</v>
      </c>
      <c r="E286" s="3" t="s">
        <v>48</v>
      </c>
    </row>
    <row r="287" spans="1:5" x14ac:dyDescent="0.3">
      <c r="A287" s="3" t="s">
        <v>42</v>
      </c>
      <c r="B287" s="3">
        <v>1</v>
      </c>
      <c r="C287" s="3" t="s">
        <v>432</v>
      </c>
      <c r="D287" s="3" t="s">
        <v>433</v>
      </c>
      <c r="E287" s="3" t="s">
        <v>48</v>
      </c>
    </row>
    <row r="288" spans="1:5" x14ac:dyDescent="0.3">
      <c r="A288" s="3" t="s">
        <v>42</v>
      </c>
      <c r="B288" s="3">
        <v>2</v>
      </c>
      <c r="C288" s="3" t="s">
        <v>434</v>
      </c>
      <c r="D288" s="3" t="s">
        <v>433</v>
      </c>
      <c r="E288" s="3" t="s">
        <v>48</v>
      </c>
    </row>
    <row r="289" spans="1:5" x14ac:dyDescent="0.3">
      <c r="A289" s="3" t="s">
        <v>42</v>
      </c>
      <c r="B289" s="3">
        <v>3</v>
      </c>
      <c r="C289" s="3" t="s">
        <v>437</v>
      </c>
      <c r="D289" s="3" t="s">
        <v>433</v>
      </c>
      <c r="E289" s="3" t="s">
        <v>48</v>
      </c>
    </row>
    <row r="290" spans="1:5" x14ac:dyDescent="0.3">
      <c r="A290" s="3" t="s">
        <v>42</v>
      </c>
      <c r="B290" s="3">
        <v>4</v>
      </c>
      <c r="C290" s="3" t="s">
        <v>438</v>
      </c>
      <c r="D290" s="3" t="s">
        <v>433</v>
      </c>
      <c r="E290" s="3" t="s">
        <v>31</v>
      </c>
    </row>
    <row r="291" spans="1:5" x14ac:dyDescent="0.3">
      <c r="A291" s="3" t="s">
        <v>50</v>
      </c>
      <c r="B291" s="3">
        <v>1</v>
      </c>
      <c r="C291" s="3" t="s">
        <v>435</v>
      </c>
      <c r="D291" s="3" t="s">
        <v>436</v>
      </c>
      <c r="E291" s="3" t="s">
        <v>48</v>
      </c>
    </row>
    <row r="292" spans="1:5" x14ac:dyDescent="0.3">
      <c r="A292" s="3" t="s">
        <v>56</v>
      </c>
      <c r="B292" s="3">
        <v>1</v>
      </c>
      <c r="C292" s="3" t="s">
        <v>435</v>
      </c>
      <c r="D292" s="3" t="s">
        <v>436</v>
      </c>
      <c r="E292" s="3" t="s">
        <v>31</v>
      </c>
    </row>
    <row r="293" spans="1:5" x14ac:dyDescent="0.3">
      <c r="A293" s="3" t="s">
        <v>56</v>
      </c>
      <c r="B293" s="3">
        <v>2</v>
      </c>
      <c r="C293" s="3" t="s">
        <v>437</v>
      </c>
      <c r="D293" s="3" t="s">
        <v>433</v>
      </c>
      <c r="E293" s="3" t="s">
        <v>31</v>
      </c>
    </row>
    <row r="294" spans="1:5" x14ac:dyDescent="0.3">
      <c r="A294" s="3" t="s">
        <v>62</v>
      </c>
      <c r="B294" s="3">
        <v>1</v>
      </c>
      <c r="C294" s="3" t="s">
        <v>435</v>
      </c>
      <c r="D294" s="3" t="s">
        <v>436</v>
      </c>
      <c r="E294" s="3" t="s">
        <v>48</v>
      </c>
    </row>
    <row r="295" spans="1:5" x14ac:dyDescent="0.3">
      <c r="A295" s="3" t="s">
        <v>69</v>
      </c>
      <c r="B295" s="3">
        <v>1</v>
      </c>
      <c r="C295" s="3" t="s">
        <v>437</v>
      </c>
      <c r="D295" s="3" t="s">
        <v>433</v>
      </c>
      <c r="E295" s="3" t="s">
        <v>48</v>
      </c>
    </row>
    <row r="296" spans="1:5" x14ac:dyDescent="0.3">
      <c r="A296" s="3" t="s">
        <v>69</v>
      </c>
      <c r="B296" s="3">
        <v>2</v>
      </c>
      <c r="C296" s="3" t="s">
        <v>439</v>
      </c>
      <c r="D296" s="3" t="s">
        <v>433</v>
      </c>
      <c r="E296" s="3" t="s">
        <v>48</v>
      </c>
    </row>
    <row r="297" spans="1:5" x14ac:dyDescent="0.3">
      <c r="A297" s="3" t="s">
        <v>74</v>
      </c>
      <c r="B297" s="3">
        <v>1</v>
      </c>
      <c r="C297" s="3" t="s">
        <v>432</v>
      </c>
      <c r="D297" s="3" t="s">
        <v>433</v>
      </c>
      <c r="E297" s="3" t="s">
        <v>48</v>
      </c>
    </row>
    <row r="298" spans="1:5" x14ac:dyDescent="0.3">
      <c r="A298" s="3" t="s">
        <v>74</v>
      </c>
      <c r="B298" s="3">
        <v>2</v>
      </c>
      <c r="C298" s="3" t="s">
        <v>434</v>
      </c>
      <c r="D298" s="3" t="s">
        <v>433</v>
      </c>
      <c r="E298" s="3" t="s">
        <v>31</v>
      </c>
    </row>
    <row r="299" spans="1:5" x14ac:dyDescent="0.3">
      <c r="A299" s="3" t="s">
        <v>74</v>
      </c>
      <c r="B299" s="3">
        <v>3</v>
      </c>
      <c r="C299" s="3" t="s">
        <v>437</v>
      </c>
      <c r="D299" s="3" t="s">
        <v>433</v>
      </c>
      <c r="E299" s="3" t="s">
        <v>31</v>
      </c>
    </row>
    <row r="300" spans="1:5" x14ac:dyDescent="0.3">
      <c r="A300" s="3" t="s">
        <v>74</v>
      </c>
      <c r="B300" s="3">
        <v>4</v>
      </c>
      <c r="C300" s="3" t="s">
        <v>438</v>
      </c>
      <c r="D300" s="3" t="s">
        <v>433</v>
      </c>
      <c r="E300" s="3" t="s">
        <v>31</v>
      </c>
    </row>
    <row r="301" spans="1:5" x14ac:dyDescent="0.3">
      <c r="A301" s="3" t="s">
        <v>80</v>
      </c>
      <c r="B301" s="3">
        <v>1</v>
      </c>
      <c r="C301" s="3" t="s">
        <v>432</v>
      </c>
      <c r="D301" s="3" t="s">
        <v>433</v>
      </c>
      <c r="E301" s="3" t="s">
        <v>48</v>
      </c>
    </row>
    <row r="302" spans="1:5" x14ac:dyDescent="0.3">
      <c r="A302" s="3" t="s">
        <v>80</v>
      </c>
      <c r="B302" s="3">
        <v>2</v>
      </c>
      <c r="C302" s="3" t="s">
        <v>434</v>
      </c>
      <c r="D302" s="3" t="s">
        <v>433</v>
      </c>
      <c r="E302" s="3" t="s">
        <v>48</v>
      </c>
    </row>
    <row r="303" spans="1:5" x14ac:dyDescent="0.3">
      <c r="A303" s="3" t="s">
        <v>80</v>
      </c>
      <c r="B303" s="3">
        <v>3</v>
      </c>
      <c r="C303" s="3" t="s">
        <v>438</v>
      </c>
      <c r="D303" s="3" t="s">
        <v>433</v>
      </c>
      <c r="E303" s="3" t="s">
        <v>31</v>
      </c>
    </row>
    <row r="304" spans="1:5" x14ac:dyDescent="0.3">
      <c r="A304" s="3" t="s">
        <v>84</v>
      </c>
      <c r="B304" s="3">
        <v>1</v>
      </c>
      <c r="C304" s="3" t="s">
        <v>437</v>
      </c>
      <c r="D304" s="3" t="s">
        <v>433</v>
      </c>
      <c r="E304" s="3" t="s">
        <v>48</v>
      </c>
    </row>
    <row r="305" spans="1:5" x14ac:dyDescent="0.3">
      <c r="A305" s="3" t="s">
        <v>90</v>
      </c>
      <c r="B305" s="3">
        <v>1</v>
      </c>
      <c r="C305" s="3" t="s">
        <v>435</v>
      </c>
      <c r="D305" s="3" t="s">
        <v>436</v>
      </c>
      <c r="E305" s="3" t="s">
        <v>48</v>
      </c>
    </row>
    <row r="306" spans="1:5" x14ac:dyDescent="0.3">
      <c r="A306" s="3" t="s">
        <v>92</v>
      </c>
      <c r="B306" s="3">
        <v>1</v>
      </c>
      <c r="C306" s="3" t="s">
        <v>432</v>
      </c>
      <c r="D306" s="3" t="s">
        <v>433</v>
      </c>
      <c r="E306" s="3" t="s">
        <v>48</v>
      </c>
    </row>
    <row r="307" spans="1:5" x14ac:dyDescent="0.3">
      <c r="A307" s="3" t="s">
        <v>92</v>
      </c>
      <c r="B307" s="3">
        <v>2</v>
      </c>
      <c r="C307" s="3" t="s">
        <v>434</v>
      </c>
      <c r="D307" s="3" t="s">
        <v>433</v>
      </c>
      <c r="E307" s="3" t="s">
        <v>48</v>
      </c>
    </row>
    <row r="308" spans="1:5" x14ac:dyDescent="0.3">
      <c r="A308" s="3" t="s">
        <v>92</v>
      </c>
      <c r="B308" s="3">
        <v>3</v>
      </c>
      <c r="C308" s="3" t="s">
        <v>438</v>
      </c>
      <c r="D308" s="3" t="s">
        <v>433</v>
      </c>
      <c r="E308" s="3" t="s">
        <v>31</v>
      </c>
    </row>
    <row r="309" spans="1:5" x14ac:dyDescent="0.3">
      <c r="A309" s="3" t="s">
        <v>95</v>
      </c>
      <c r="B309" s="3">
        <v>1</v>
      </c>
      <c r="C309" s="3" t="s">
        <v>432</v>
      </c>
      <c r="D309" s="3" t="s">
        <v>433</v>
      </c>
      <c r="E309" s="3" t="s">
        <v>48</v>
      </c>
    </row>
    <row r="310" spans="1:5" x14ac:dyDescent="0.3">
      <c r="A310" s="3" t="s">
        <v>95</v>
      </c>
      <c r="B310" s="3">
        <v>2</v>
      </c>
      <c r="C310" s="3" t="s">
        <v>434</v>
      </c>
      <c r="D310" s="3" t="s">
        <v>433</v>
      </c>
      <c r="E310" s="3" t="s">
        <v>48</v>
      </c>
    </row>
    <row r="311" spans="1:5" x14ac:dyDescent="0.3">
      <c r="A311" s="3" t="s">
        <v>95</v>
      </c>
      <c r="B311" s="3">
        <v>3</v>
      </c>
      <c r="C311" s="3" t="s">
        <v>438</v>
      </c>
      <c r="D311" s="3" t="s">
        <v>433</v>
      </c>
      <c r="E311" s="3" t="s">
        <v>31</v>
      </c>
    </row>
    <row r="312" spans="1:5" x14ac:dyDescent="0.3">
      <c r="A312" s="3" t="s">
        <v>95</v>
      </c>
      <c r="B312" s="3">
        <v>4</v>
      </c>
      <c r="C312" s="3" t="s">
        <v>439</v>
      </c>
      <c r="D312" s="3" t="s">
        <v>433</v>
      </c>
      <c r="E312" s="3" t="s">
        <v>31</v>
      </c>
    </row>
    <row r="313" spans="1:5" x14ac:dyDescent="0.3">
      <c r="A313" s="3" t="s">
        <v>100</v>
      </c>
      <c r="B313" s="3">
        <v>1</v>
      </c>
      <c r="C313" s="3" t="s">
        <v>432</v>
      </c>
      <c r="D313" s="3" t="s">
        <v>433</v>
      </c>
      <c r="E313" s="3" t="s">
        <v>48</v>
      </c>
    </row>
    <row r="314" spans="1:5" x14ac:dyDescent="0.3">
      <c r="A314" s="3" t="s">
        <v>100</v>
      </c>
      <c r="B314" s="3">
        <v>2</v>
      </c>
      <c r="C314" s="3" t="s">
        <v>434</v>
      </c>
      <c r="D314" s="3" t="s">
        <v>433</v>
      </c>
      <c r="E314" s="3" t="s">
        <v>48</v>
      </c>
    </row>
    <row r="315" spans="1:5" x14ac:dyDescent="0.3">
      <c r="A315" s="3" t="s">
        <v>104</v>
      </c>
      <c r="B315" s="3">
        <v>1</v>
      </c>
      <c r="C315" s="3" t="s">
        <v>432</v>
      </c>
      <c r="D315" s="3" t="s">
        <v>433</v>
      </c>
      <c r="E315" s="3" t="s">
        <v>48</v>
      </c>
    </row>
    <row r="316" spans="1:5" x14ac:dyDescent="0.3">
      <c r="A316" s="3" t="s">
        <v>104</v>
      </c>
      <c r="B316" s="3">
        <v>2</v>
      </c>
      <c r="C316" s="3" t="s">
        <v>434</v>
      </c>
      <c r="D316" s="3" t="s">
        <v>433</v>
      </c>
      <c r="E316" s="3" t="s">
        <v>48</v>
      </c>
    </row>
    <row r="317" spans="1:5" x14ac:dyDescent="0.3">
      <c r="A317" s="3" t="s">
        <v>104</v>
      </c>
      <c r="B317" s="3">
        <v>3</v>
      </c>
      <c r="C317" s="3" t="s">
        <v>437</v>
      </c>
      <c r="D317" s="3" t="s">
        <v>433</v>
      </c>
      <c r="E317" s="3" t="s">
        <v>31</v>
      </c>
    </row>
    <row r="318" spans="1:5" x14ac:dyDescent="0.3">
      <c r="A318" s="3" t="s">
        <v>104</v>
      </c>
      <c r="B318" s="3">
        <v>4</v>
      </c>
      <c r="C318" s="3" t="s">
        <v>440</v>
      </c>
      <c r="D318" s="3" t="s">
        <v>441</v>
      </c>
      <c r="E318" s="3" t="s">
        <v>31</v>
      </c>
    </row>
    <row r="319" spans="1:5" x14ac:dyDescent="0.3">
      <c r="A319" s="3" t="s">
        <v>110</v>
      </c>
      <c r="B319" s="3">
        <v>1</v>
      </c>
      <c r="C319" s="3" t="s">
        <v>435</v>
      </c>
      <c r="D319" s="3" t="s">
        <v>436</v>
      </c>
      <c r="E319" s="3" t="s">
        <v>48</v>
      </c>
    </row>
    <row r="320" spans="1:5" x14ac:dyDescent="0.3">
      <c r="A320" s="3" t="s">
        <v>115</v>
      </c>
      <c r="B320" s="3">
        <v>1</v>
      </c>
      <c r="C320" s="3" t="s">
        <v>434</v>
      </c>
      <c r="D320" s="3" t="s">
        <v>433</v>
      </c>
      <c r="E320" s="3" t="s">
        <v>48</v>
      </c>
    </row>
    <row r="321" spans="1:5" x14ac:dyDescent="0.3">
      <c r="A321" s="3" t="s">
        <v>121</v>
      </c>
      <c r="B321" s="3">
        <v>1</v>
      </c>
      <c r="C321" s="3" t="s">
        <v>437</v>
      </c>
      <c r="D321" s="3" t="s">
        <v>433</v>
      </c>
      <c r="E321" s="3" t="s">
        <v>48</v>
      </c>
    </row>
    <row r="322" spans="1:5" x14ac:dyDescent="0.3">
      <c r="A322" s="3" t="s">
        <v>121</v>
      </c>
      <c r="B322" s="3">
        <v>2</v>
      </c>
      <c r="C322" s="3" t="s">
        <v>434</v>
      </c>
      <c r="D322" s="3" t="s">
        <v>433</v>
      </c>
      <c r="E322" s="3" t="s">
        <v>31</v>
      </c>
    </row>
    <row r="323" spans="1:5" x14ac:dyDescent="0.3">
      <c r="A323" s="3" t="s">
        <v>121</v>
      </c>
      <c r="B323" s="3">
        <v>3</v>
      </c>
      <c r="C323" s="3" t="s">
        <v>435</v>
      </c>
      <c r="D323" s="3" t="s">
        <v>433</v>
      </c>
      <c r="E323" s="3" t="s">
        <v>31</v>
      </c>
    </row>
    <row r="324" spans="1:5" x14ac:dyDescent="0.3">
      <c r="A324" s="3" t="s">
        <v>127</v>
      </c>
      <c r="B324" s="3">
        <v>1</v>
      </c>
      <c r="C324" s="3" t="s">
        <v>442</v>
      </c>
      <c r="D324" s="3" t="s">
        <v>441</v>
      </c>
      <c r="E324" s="3" t="s">
        <v>48</v>
      </c>
    </row>
    <row r="325" spans="1:5" x14ac:dyDescent="0.3">
      <c r="A325" s="3" t="s">
        <v>127</v>
      </c>
      <c r="B325" s="3">
        <v>2</v>
      </c>
      <c r="C325" s="3" t="s">
        <v>438</v>
      </c>
      <c r="D325" s="3" t="s">
        <v>433</v>
      </c>
      <c r="E325" s="3" t="s">
        <v>48</v>
      </c>
    </row>
    <row r="326" spans="1:5" x14ac:dyDescent="0.3">
      <c r="A326" s="3" t="s">
        <v>127</v>
      </c>
      <c r="B326" s="3">
        <v>3</v>
      </c>
      <c r="C326" s="3" t="s">
        <v>439</v>
      </c>
      <c r="D326" s="3" t="s">
        <v>433</v>
      </c>
      <c r="E326" s="3" t="s">
        <v>31</v>
      </c>
    </row>
    <row r="327" spans="1:5" x14ac:dyDescent="0.3">
      <c r="A327" s="3" t="s">
        <v>131</v>
      </c>
      <c r="B327" s="3">
        <v>1</v>
      </c>
      <c r="C327" s="3" t="s">
        <v>435</v>
      </c>
      <c r="D327" s="3" t="s">
        <v>436</v>
      </c>
      <c r="E327" s="3" t="s">
        <v>48</v>
      </c>
    </row>
    <row r="328" spans="1:5" x14ac:dyDescent="0.3">
      <c r="A328" s="3" t="s">
        <v>131</v>
      </c>
      <c r="B328" s="3">
        <v>2</v>
      </c>
      <c r="C328" s="3" t="s">
        <v>438</v>
      </c>
      <c r="D328" s="3" t="s">
        <v>433</v>
      </c>
      <c r="E328" s="3" t="s">
        <v>48</v>
      </c>
    </row>
    <row r="329" spans="1:5" x14ac:dyDescent="0.3">
      <c r="A329" s="3" t="s">
        <v>131</v>
      </c>
      <c r="B329" s="3">
        <v>3</v>
      </c>
      <c r="C329" s="3" t="s">
        <v>434</v>
      </c>
      <c r="D329" s="3" t="s">
        <v>433</v>
      </c>
      <c r="E329" s="3" t="s">
        <v>31</v>
      </c>
    </row>
    <row r="330" spans="1:5" x14ac:dyDescent="0.3">
      <c r="A330" s="3" t="s">
        <v>137</v>
      </c>
      <c r="B330" s="3">
        <v>1</v>
      </c>
      <c r="C330" s="3" t="s">
        <v>437</v>
      </c>
      <c r="D330" s="3" t="s">
        <v>433</v>
      </c>
      <c r="E330" s="3" t="s">
        <v>48</v>
      </c>
    </row>
    <row r="331" spans="1:5" x14ac:dyDescent="0.3">
      <c r="A331" s="3" t="s">
        <v>137</v>
      </c>
      <c r="B331" s="3">
        <v>2</v>
      </c>
      <c r="C331" s="3" t="s">
        <v>434</v>
      </c>
      <c r="D331" s="3" t="s">
        <v>433</v>
      </c>
      <c r="E331" s="3" t="s">
        <v>31</v>
      </c>
    </row>
    <row r="332" spans="1:5" x14ac:dyDescent="0.3">
      <c r="A332" s="3" t="s">
        <v>143</v>
      </c>
      <c r="B332" s="3">
        <v>1</v>
      </c>
      <c r="C332" s="3" t="s">
        <v>432</v>
      </c>
      <c r="D332" s="3" t="s">
        <v>433</v>
      </c>
      <c r="E332" s="3" t="s">
        <v>48</v>
      </c>
    </row>
    <row r="333" spans="1:5" x14ac:dyDescent="0.3">
      <c r="A333" s="3" t="s">
        <v>143</v>
      </c>
      <c r="B333" s="3">
        <v>2</v>
      </c>
      <c r="C333" s="3" t="s">
        <v>434</v>
      </c>
      <c r="D333" s="3" t="s">
        <v>433</v>
      </c>
      <c r="E333" s="3" t="s">
        <v>31</v>
      </c>
    </row>
    <row r="334" spans="1:5" x14ac:dyDescent="0.3">
      <c r="A334" s="3" t="s">
        <v>146</v>
      </c>
      <c r="B334" s="3">
        <v>1</v>
      </c>
      <c r="C334" s="3" t="s">
        <v>434</v>
      </c>
      <c r="D334" s="3" t="s">
        <v>433</v>
      </c>
      <c r="E334" s="3" t="s">
        <v>48</v>
      </c>
    </row>
    <row r="335" spans="1:5" x14ac:dyDescent="0.3">
      <c r="A335" s="3" t="s">
        <v>146</v>
      </c>
      <c r="B335" s="3">
        <v>2</v>
      </c>
      <c r="C335" s="3" t="s">
        <v>435</v>
      </c>
      <c r="D335" s="3" t="s">
        <v>436</v>
      </c>
      <c r="E335" s="3" t="s">
        <v>31</v>
      </c>
    </row>
    <row r="336" spans="1:5" x14ac:dyDescent="0.3">
      <c r="A336" s="3" t="s">
        <v>146</v>
      </c>
      <c r="B336" s="3">
        <v>3</v>
      </c>
      <c r="C336" s="3" t="s">
        <v>438</v>
      </c>
      <c r="D336" s="3" t="s">
        <v>433</v>
      </c>
      <c r="E336" s="3" t="s">
        <v>31</v>
      </c>
    </row>
    <row r="337" spans="1:5" x14ac:dyDescent="0.3">
      <c r="A337" s="3" t="s">
        <v>150</v>
      </c>
      <c r="B337" s="3">
        <v>1</v>
      </c>
      <c r="C337" s="3" t="s">
        <v>435</v>
      </c>
      <c r="D337" s="3" t="s">
        <v>436</v>
      </c>
      <c r="E337" s="3" t="s">
        <v>31</v>
      </c>
    </row>
    <row r="338" spans="1:5" x14ac:dyDescent="0.3">
      <c r="A338" s="3" t="s">
        <v>150</v>
      </c>
      <c r="B338" s="3">
        <v>2</v>
      </c>
      <c r="C338" s="3" t="s">
        <v>438</v>
      </c>
      <c r="D338" s="3" t="s">
        <v>433</v>
      </c>
      <c r="E338" s="3" t="s">
        <v>31</v>
      </c>
    </row>
    <row r="339" spans="1:5" x14ac:dyDescent="0.3">
      <c r="A339" s="3" t="s">
        <v>150</v>
      </c>
      <c r="B339" s="3">
        <v>3</v>
      </c>
      <c r="C339" s="3" t="s">
        <v>434</v>
      </c>
      <c r="D339" s="3" t="s">
        <v>433</v>
      </c>
      <c r="E339" s="3" t="s">
        <v>73</v>
      </c>
    </row>
    <row r="340" spans="1:5" x14ac:dyDescent="0.3">
      <c r="A340" s="3" t="s">
        <v>153</v>
      </c>
      <c r="B340" s="3">
        <v>1</v>
      </c>
      <c r="C340" s="3" t="s">
        <v>432</v>
      </c>
      <c r="D340" s="3" t="s">
        <v>433</v>
      </c>
      <c r="E340" s="3" t="s">
        <v>48</v>
      </c>
    </row>
    <row r="341" spans="1:5" x14ac:dyDescent="0.3">
      <c r="A341" s="3" t="s">
        <v>153</v>
      </c>
      <c r="B341" s="3">
        <v>2</v>
      </c>
      <c r="C341" s="3" t="s">
        <v>434</v>
      </c>
      <c r="D341" s="3" t="s">
        <v>433</v>
      </c>
      <c r="E341" s="3" t="s">
        <v>48</v>
      </c>
    </row>
    <row r="342" spans="1:5" x14ac:dyDescent="0.3">
      <c r="A342" s="3" t="s">
        <v>153</v>
      </c>
      <c r="B342" s="3">
        <v>3</v>
      </c>
      <c r="C342" s="3" t="s">
        <v>438</v>
      </c>
      <c r="D342" s="3" t="s">
        <v>433</v>
      </c>
      <c r="E342" s="3" t="s">
        <v>31</v>
      </c>
    </row>
    <row r="343" spans="1:5" x14ac:dyDescent="0.3">
      <c r="A343" s="3" t="s">
        <v>153</v>
      </c>
      <c r="B343" s="3">
        <v>4</v>
      </c>
      <c r="C343" s="3" t="s">
        <v>437</v>
      </c>
      <c r="D343" s="3" t="s">
        <v>433</v>
      </c>
      <c r="E343" s="3" t="s">
        <v>31</v>
      </c>
    </row>
    <row r="344" spans="1:5" x14ac:dyDescent="0.3">
      <c r="A344" s="3" t="s">
        <v>159</v>
      </c>
      <c r="B344" s="3">
        <v>1</v>
      </c>
      <c r="C344" s="3" t="s">
        <v>439</v>
      </c>
      <c r="D344" s="3" t="s">
        <v>433</v>
      </c>
      <c r="E344" s="3" t="s">
        <v>48</v>
      </c>
    </row>
    <row r="345" spans="1:5" x14ac:dyDescent="0.3">
      <c r="A345" s="3" t="s">
        <v>164</v>
      </c>
      <c r="B345" s="3">
        <v>1</v>
      </c>
      <c r="C345" s="3" t="s">
        <v>439</v>
      </c>
      <c r="D345" s="3" t="s">
        <v>433</v>
      </c>
      <c r="E345" s="3" t="s">
        <v>48</v>
      </c>
    </row>
    <row r="346" spans="1:5" x14ac:dyDescent="0.3">
      <c r="A346" s="3" t="s">
        <v>164</v>
      </c>
      <c r="B346" s="3">
        <v>2</v>
      </c>
      <c r="C346" s="3" t="s">
        <v>440</v>
      </c>
      <c r="D346" s="3" t="s">
        <v>441</v>
      </c>
      <c r="E346" s="3" t="s">
        <v>31</v>
      </c>
    </row>
    <row r="347" spans="1:5" x14ac:dyDescent="0.3">
      <c r="A347" s="3" t="s">
        <v>164</v>
      </c>
      <c r="B347" s="3">
        <v>3</v>
      </c>
      <c r="C347" s="3" t="s">
        <v>438</v>
      </c>
      <c r="D347" s="3" t="s">
        <v>433</v>
      </c>
      <c r="E347" s="3" t="s">
        <v>31</v>
      </c>
    </row>
    <row r="348" spans="1:5" x14ac:dyDescent="0.3">
      <c r="A348" s="3" t="s">
        <v>170</v>
      </c>
      <c r="B348" s="3">
        <v>1</v>
      </c>
      <c r="C348" s="3" t="s">
        <v>432</v>
      </c>
      <c r="D348" s="3" t="s">
        <v>433</v>
      </c>
      <c r="E348" s="3" t="s">
        <v>48</v>
      </c>
    </row>
    <row r="349" spans="1:5" x14ac:dyDescent="0.3">
      <c r="A349" s="3" t="s">
        <v>170</v>
      </c>
      <c r="B349" s="3">
        <v>2</v>
      </c>
      <c r="C349" s="3" t="s">
        <v>434</v>
      </c>
      <c r="D349" s="3" t="s">
        <v>433</v>
      </c>
      <c r="E349" s="3" t="s">
        <v>48</v>
      </c>
    </row>
    <row r="350" spans="1:5" x14ac:dyDescent="0.3">
      <c r="A350" s="3" t="s">
        <v>170</v>
      </c>
      <c r="B350" s="3">
        <v>3</v>
      </c>
      <c r="C350" s="3" t="s">
        <v>435</v>
      </c>
      <c r="D350" s="3" t="s">
        <v>436</v>
      </c>
      <c r="E350" s="3" t="s">
        <v>31</v>
      </c>
    </row>
    <row r="351" spans="1:5" x14ac:dyDescent="0.3">
      <c r="A351" s="3" t="s">
        <v>173</v>
      </c>
      <c r="B351" s="3">
        <v>1</v>
      </c>
      <c r="C351" s="3" t="s">
        <v>437</v>
      </c>
      <c r="D351" s="3" t="s">
        <v>433</v>
      </c>
      <c r="E351" s="3" t="s">
        <v>48</v>
      </c>
    </row>
    <row r="352" spans="1:5" x14ac:dyDescent="0.3">
      <c r="A352" s="3" t="s">
        <v>173</v>
      </c>
      <c r="B352" s="3">
        <v>2</v>
      </c>
      <c r="C352" s="3" t="s">
        <v>434</v>
      </c>
      <c r="D352" s="3" t="s">
        <v>433</v>
      </c>
      <c r="E352" s="3" t="s">
        <v>31</v>
      </c>
    </row>
    <row r="353" spans="1:5" x14ac:dyDescent="0.3">
      <c r="A353" s="3" t="s">
        <v>175</v>
      </c>
      <c r="B353" s="3">
        <v>1</v>
      </c>
      <c r="C353" s="3" t="s">
        <v>435</v>
      </c>
      <c r="D353" s="3" t="s">
        <v>436</v>
      </c>
      <c r="E353" s="3" t="s">
        <v>48</v>
      </c>
    </row>
    <row r="354" spans="1:5" x14ac:dyDescent="0.3">
      <c r="A354" s="3" t="s">
        <v>175</v>
      </c>
      <c r="B354" s="3">
        <v>2</v>
      </c>
      <c r="C354" s="3" t="s">
        <v>440</v>
      </c>
      <c r="D354" s="3" t="s">
        <v>441</v>
      </c>
      <c r="E354" s="3" t="s">
        <v>31</v>
      </c>
    </row>
    <row r="355" spans="1:5" x14ac:dyDescent="0.3">
      <c r="A355" s="3" t="s">
        <v>175</v>
      </c>
      <c r="B355" s="3">
        <v>3</v>
      </c>
      <c r="C355" s="3" t="s">
        <v>439</v>
      </c>
      <c r="D355" s="3" t="s">
        <v>433</v>
      </c>
      <c r="E355" s="3" t="s">
        <v>31</v>
      </c>
    </row>
    <row r="356" spans="1:5" x14ac:dyDescent="0.3">
      <c r="A356" s="3" t="s">
        <v>178</v>
      </c>
      <c r="B356" s="3">
        <v>1</v>
      </c>
      <c r="C356" s="3" t="s">
        <v>439</v>
      </c>
      <c r="D356" s="3" t="s">
        <v>433</v>
      </c>
      <c r="E356" s="3" t="s">
        <v>48</v>
      </c>
    </row>
    <row r="357" spans="1:5" x14ac:dyDescent="0.3">
      <c r="A357" s="3" t="s">
        <v>178</v>
      </c>
      <c r="B357" s="3">
        <v>2</v>
      </c>
      <c r="C357" s="3" t="s">
        <v>440</v>
      </c>
      <c r="D357" s="3" t="s">
        <v>441</v>
      </c>
      <c r="E357" s="3" t="s">
        <v>31</v>
      </c>
    </row>
    <row r="358" spans="1:5" x14ac:dyDescent="0.3">
      <c r="A358" s="3" t="s">
        <v>178</v>
      </c>
      <c r="B358" s="3">
        <v>3</v>
      </c>
      <c r="C358" s="3" t="s">
        <v>434</v>
      </c>
      <c r="D358" s="3" t="s">
        <v>433</v>
      </c>
      <c r="E358" s="3" t="s">
        <v>31</v>
      </c>
    </row>
    <row r="359" spans="1:5" x14ac:dyDescent="0.3">
      <c r="A359" s="3" t="s">
        <v>182</v>
      </c>
      <c r="B359" s="3">
        <v>1</v>
      </c>
      <c r="C359" s="3" t="s">
        <v>435</v>
      </c>
      <c r="D359" s="3" t="s">
        <v>433</v>
      </c>
      <c r="E359" s="3" t="s">
        <v>48</v>
      </c>
    </row>
    <row r="360" spans="1:5" x14ac:dyDescent="0.3">
      <c r="A360" s="3" t="s">
        <v>182</v>
      </c>
      <c r="B360" s="3">
        <v>2</v>
      </c>
      <c r="C360" s="3" t="s">
        <v>437</v>
      </c>
      <c r="D360" s="3" t="s">
        <v>433</v>
      </c>
      <c r="E360" s="3" t="s">
        <v>31</v>
      </c>
    </row>
    <row r="361" spans="1:5" x14ac:dyDescent="0.3">
      <c r="A361" s="3" t="s">
        <v>182</v>
      </c>
      <c r="B361" s="3">
        <v>3</v>
      </c>
      <c r="C361" s="3" t="s">
        <v>439</v>
      </c>
      <c r="D361" s="3" t="s">
        <v>433</v>
      </c>
      <c r="E361" s="3" t="s">
        <v>31</v>
      </c>
    </row>
    <row r="362" spans="1:5" x14ac:dyDescent="0.3">
      <c r="A362" s="3" t="s">
        <v>188</v>
      </c>
      <c r="B362" s="3">
        <v>1</v>
      </c>
      <c r="C362" s="3" t="s">
        <v>432</v>
      </c>
      <c r="D362" s="3" t="s">
        <v>433</v>
      </c>
      <c r="E362" s="3" t="s">
        <v>48</v>
      </c>
    </row>
    <row r="363" spans="1:5" x14ac:dyDescent="0.3">
      <c r="A363" s="3" t="s">
        <v>188</v>
      </c>
      <c r="B363" s="3">
        <v>2</v>
      </c>
      <c r="C363" s="3" t="s">
        <v>434</v>
      </c>
      <c r="D363" s="3" t="s">
        <v>433</v>
      </c>
      <c r="E363" s="3" t="s">
        <v>48</v>
      </c>
    </row>
    <row r="364" spans="1:5" x14ac:dyDescent="0.3">
      <c r="A364" s="3" t="s">
        <v>192</v>
      </c>
      <c r="B364" s="3">
        <v>1</v>
      </c>
      <c r="C364" s="3" t="s">
        <v>438</v>
      </c>
      <c r="D364" s="3" t="s">
        <v>433</v>
      </c>
      <c r="E364" s="3" t="s">
        <v>48</v>
      </c>
    </row>
    <row r="365" spans="1:5" x14ac:dyDescent="0.3">
      <c r="A365" s="3" t="s">
        <v>192</v>
      </c>
      <c r="B365" s="3">
        <v>2</v>
      </c>
      <c r="C365" s="3" t="s">
        <v>439</v>
      </c>
      <c r="D365" s="3" t="s">
        <v>433</v>
      </c>
      <c r="E365" s="3" t="s">
        <v>31</v>
      </c>
    </row>
    <row r="366" spans="1:5" x14ac:dyDescent="0.3">
      <c r="A366" s="3" t="s">
        <v>192</v>
      </c>
      <c r="B366" s="3">
        <v>3</v>
      </c>
      <c r="C366" s="3" t="s">
        <v>442</v>
      </c>
      <c r="D366" s="3" t="s">
        <v>441</v>
      </c>
      <c r="E366" s="3" t="s">
        <v>31</v>
      </c>
    </row>
    <row r="367" spans="1:5" x14ac:dyDescent="0.3">
      <c r="A367" s="3" t="s">
        <v>195</v>
      </c>
      <c r="B367" s="3">
        <v>1</v>
      </c>
      <c r="C367" s="3" t="s">
        <v>435</v>
      </c>
      <c r="D367" s="3" t="s">
        <v>436</v>
      </c>
      <c r="E367" s="3" t="s">
        <v>48</v>
      </c>
    </row>
    <row r="368" spans="1:5" x14ac:dyDescent="0.3">
      <c r="A368" s="3" t="s">
        <v>195</v>
      </c>
      <c r="B368" s="3">
        <v>2</v>
      </c>
      <c r="C368" s="3" t="s">
        <v>440</v>
      </c>
      <c r="D368" s="3" t="s">
        <v>441</v>
      </c>
      <c r="E368" s="3" t="s">
        <v>31</v>
      </c>
    </row>
    <row r="369" spans="1:5" x14ac:dyDescent="0.3">
      <c r="A369" s="3" t="s">
        <v>195</v>
      </c>
      <c r="B369" s="3">
        <v>3</v>
      </c>
      <c r="C369" s="3" t="s">
        <v>437</v>
      </c>
      <c r="D369" s="3" t="s">
        <v>433</v>
      </c>
      <c r="E369" s="3" t="s">
        <v>31</v>
      </c>
    </row>
    <row r="370" spans="1:5" x14ac:dyDescent="0.3">
      <c r="A370" s="3" t="s">
        <v>200</v>
      </c>
      <c r="B370" s="3">
        <v>1</v>
      </c>
      <c r="C370" s="3" t="s">
        <v>435</v>
      </c>
      <c r="D370" s="3" t="s">
        <v>436</v>
      </c>
      <c r="E370" s="3" t="s">
        <v>48</v>
      </c>
    </row>
    <row r="371" spans="1:5" x14ac:dyDescent="0.3">
      <c r="A371" s="3" t="s">
        <v>200</v>
      </c>
      <c r="B371" s="3">
        <v>2</v>
      </c>
      <c r="C371" s="3" t="s">
        <v>439</v>
      </c>
      <c r="D371" s="3" t="s">
        <v>433</v>
      </c>
      <c r="E371" s="3" t="s">
        <v>48</v>
      </c>
    </row>
    <row r="372" spans="1:5" x14ac:dyDescent="0.3">
      <c r="A372" s="3" t="s">
        <v>204</v>
      </c>
      <c r="B372" s="3">
        <v>1</v>
      </c>
      <c r="C372" s="3" t="s">
        <v>439</v>
      </c>
      <c r="D372" s="3" t="s">
        <v>433</v>
      </c>
      <c r="E372" s="3" t="s">
        <v>48</v>
      </c>
    </row>
    <row r="373" spans="1:5" x14ac:dyDescent="0.3">
      <c r="A373" s="3" t="s">
        <v>204</v>
      </c>
      <c r="B373" s="3">
        <v>2</v>
      </c>
      <c r="C373" s="3" t="s">
        <v>440</v>
      </c>
      <c r="D373" s="3" t="s">
        <v>441</v>
      </c>
      <c r="E373" s="3" t="s">
        <v>48</v>
      </c>
    </row>
    <row r="374" spans="1:5" x14ac:dyDescent="0.3">
      <c r="A374" s="3" t="s">
        <v>207</v>
      </c>
      <c r="B374" s="3">
        <v>1</v>
      </c>
      <c r="C374" s="3" t="s">
        <v>435</v>
      </c>
      <c r="D374" s="3" t="s">
        <v>436</v>
      </c>
      <c r="E374" s="3" t="s">
        <v>48</v>
      </c>
    </row>
    <row r="375" spans="1:5" x14ac:dyDescent="0.3">
      <c r="A375" s="3" t="s">
        <v>207</v>
      </c>
      <c r="B375" s="3">
        <v>2</v>
      </c>
      <c r="C375" s="3" t="s">
        <v>437</v>
      </c>
      <c r="D375" s="3" t="s">
        <v>433</v>
      </c>
      <c r="E375" s="3" t="s">
        <v>31</v>
      </c>
    </row>
    <row r="376" spans="1:5" x14ac:dyDescent="0.3">
      <c r="A376" s="3" t="s">
        <v>207</v>
      </c>
      <c r="B376" s="3">
        <v>3</v>
      </c>
      <c r="C376" s="3" t="s">
        <v>439</v>
      </c>
      <c r="D376" s="3" t="s">
        <v>433</v>
      </c>
      <c r="E376" s="3" t="s">
        <v>31</v>
      </c>
    </row>
    <row r="377" spans="1:5" x14ac:dyDescent="0.3">
      <c r="A377" s="3" t="s">
        <v>211</v>
      </c>
      <c r="B377" s="3">
        <v>1</v>
      </c>
      <c r="C377" s="3" t="s">
        <v>432</v>
      </c>
      <c r="D377" s="3" t="s">
        <v>433</v>
      </c>
      <c r="E377" s="3" t="s">
        <v>48</v>
      </c>
    </row>
    <row r="378" spans="1:5" x14ac:dyDescent="0.3">
      <c r="A378" s="3" t="s">
        <v>211</v>
      </c>
      <c r="B378" s="3">
        <v>2</v>
      </c>
      <c r="C378" s="3" t="s">
        <v>434</v>
      </c>
      <c r="D378" s="3" t="s">
        <v>433</v>
      </c>
      <c r="E378" s="3" t="s">
        <v>48</v>
      </c>
    </row>
    <row r="379" spans="1:5" x14ac:dyDescent="0.3">
      <c r="A379" s="3" t="s">
        <v>214</v>
      </c>
      <c r="B379" s="3">
        <v>1</v>
      </c>
      <c r="C379" s="3" t="s">
        <v>437</v>
      </c>
      <c r="D379" s="3" t="s">
        <v>433</v>
      </c>
      <c r="E379" s="3" t="s">
        <v>48</v>
      </c>
    </row>
    <row r="380" spans="1:5" x14ac:dyDescent="0.3">
      <c r="A380" s="3" t="s">
        <v>214</v>
      </c>
      <c r="B380" s="3">
        <v>2</v>
      </c>
      <c r="C380" s="3" t="s">
        <v>434</v>
      </c>
      <c r="D380" s="3" t="s">
        <v>433</v>
      </c>
      <c r="E380" s="3" t="s">
        <v>31</v>
      </c>
    </row>
    <row r="381" spans="1:5" x14ac:dyDescent="0.3">
      <c r="A381" s="3" t="s">
        <v>217</v>
      </c>
      <c r="B381" s="3">
        <v>1</v>
      </c>
      <c r="C381" s="3" t="s">
        <v>439</v>
      </c>
      <c r="D381" s="3" t="s">
        <v>433</v>
      </c>
      <c r="E381" s="3" t="s">
        <v>48</v>
      </c>
    </row>
    <row r="382" spans="1:5" x14ac:dyDescent="0.3">
      <c r="A382" s="3" t="s">
        <v>219</v>
      </c>
      <c r="B382" s="3">
        <v>1</v>
      </c>
      <c r="C382" s="3" t="s">
        <v>438</v>
      </c>
      <c r="D382" s="3" t="s">
        <v>433</v>
      </c>
      <c r="E382" s="3" t="s">
        <v>48</v>
      </c>
    </row>
    <row r="383" spans="1:5" x14ac:dyDescent="0.3">
      <c r="A383" s="3" t="s">
        <v>219</v>
      </c>
      <c r="B383" s="3">
        <v>2</v>
      </c>
      <c r="C383" s="3" t="s">
        <v>439</v>
      </c>
      <c r="D383" s="3" t="s">
        <v>433</v>
      </c>
      <c r="E383" s="3" t="s">
        <v>48</v>
      </c>
    </row>
    <row r="384" spans="1:5" x14ac:dyDescent="0.3">
      <c r="A384" s="3" t="s">
        <v>221</v>
      </c>
      <c r="B384" s="3">
        <v>1</v>
      </c>
      <c r="C384" s="3" t="s">
        <v>432</v>
      </c>
      <c r="D384" s="3" t="s">
        <v>433</v>
      </c>
      <c r="E384" s="3" t="s">
        <v>48</v>
      </c>
    </row>
    <row r="385" spans="1:5" x14ac:dyDescent="0.3">
      <c r="A385" s="3" t="s">
        <v>223</v>
      </c>
      <c r="B385" s="3">
        <v>1</v>
      </c>
      <c r="C385" s="3" t="s">
        <v>432</v>
      </c>
      <c r="D385" s="3" t="s">
        <v>433</v>
      </c>
      <c r="E385" s="3" t="s">
        <v>48</v>
      </c>
    </row>
    <row r="386" spans="1:5" x14ac:dyDescent="0.3">
      <c r="A386" s="3" t="s">
        <v>225</v>
      </c>
      <c r="B386" s="3">
        <v>1</v>
      </c>
      <c r="C386" s="3" t="s">
        <v>434</v>
      </c>
      <c r="D386" s="3" t="s">
        <v>433</v>
      </c>
      <c r="E386" s="3" t="s">
        <v>48</v>
      </c>
    </row>
    <row r="387" spans="1:5" x14ac:dyDescent="0.3">
      <c r="A387" s="3" t="s">
        <v>225</v>
      </c>
      <c r="B387" s="3">
        <v>2</v>
      </c>
      <c r="C387" s="3" t="s">
        <v>437</v>
      </c>
      <c r="D387" s="3" t="s">
        <v>433</v>
      </c>
      <c r="E387" s="3" t="s">
        <v>31</v>
      </c>
    </row>
    <row r="388" spans="1:5" x14ac:dyDescent="0.3">
      <c r="A388" s="3" t="s">
        <v>227</v>
      </c>
      <c r="B388" s="3">
        <v>1</v>
      </c>
      <c r="C388" s="3" t="s">
        <v>435</v>
      </c>
      <c r="D388" s="3" t="s">
        <v>436</v>
      </c>
      <c r="E388" s="3" t="s">
        <v>48</v>
      </c>
    </row>
    <row r="389" spans="1:5" x14ac:dyDescent="0.3">
      <c r="A389" s="3" t="s">
        <v>227</v>
      </c>
      <c r="B389" s="3">
        <v>2</v>
      </c>
      <c r="C389" s="3" t="s">
        <v>434</v>
      </c>
      <c r="D389" s="3" t="s">
        <v>433</v>
      </c>
      <c r="E389" s="3" t="s">
        <v>31</v>
      </c>
    </row>
    <row r="390" spans="1:5" x14ac:dyDescent="0.3">
      <c r="A390" s="3" t="s">
        <v>231</v>
      </c>
      <c r="B390" s="3">
        <v>1</v>
      </c>
      <c r="C390" s="3" t="s">
        <v>438</v>
      </c>
      <c r="D390" s="3" t="s">
        <v>433</v>
      </c>
      <c r="E390" s="3" t="s">
        <v>48</v>
      </c>
    </row>
    <row r="391" spans="1:5" x14ac:dyDescent="0.3">
      <c r="A391" s="3" t="s">
        <v>231</v>
      </c>
      <c r="B391" s="3">
        <v>2</v>
      </c>
      <c r="C391" s="3" t="s">
        <v>439</v>
      </c>
      <c r="D391" s="3" t="s">
        <v>433</v>
      </c>
      <c r="E391" s="3" t="s">
        <v>48</v>
      </c>
    </row>
    <row r="392" spans="1:5" x14ac:dyDescent="0.3">
      <c r="A392" s="3" t="s">
        <v>231</v>
      </c>
      <c r="B392" s="3">
        <v>3</v>
      </c>
      <c r="C392" s="3" t="s">
        <v>434</v>
      </c>
      <c r="D392" s="3" t="s">
        <v>433</v>
      </c>
      <c r="E392" s="3" t="s">
        <v>31</v>
      </c>
    </row>
    <row r="393" spans="1:5" x14ac:dyDescent="0.3">
      <c r="A393" s="3" t="s">
        <v>231</v>
      </c>
      <c r="B393" s="3">
        <v>4</v>
      </c>
      <c r="C393" s="3" t="s">
        <v>440</v>
      </c>
      <c r="D393" s="3" t="s">
        <v>441</v>
      </c>
      <c r="E393" s="3" t="s">
        <v>31</v>
      </c>
    </row>
    <row r="394" spans="1:5" x14ac:dyDescent="0.3">
      <c r="A394" s="3" t="s">
        <v>237</v>
      </c>
      <c r="B394" s="3">
        <v>1</v>
      </c>
      <c r="C394" s="3" t="s">
        <v>439</v>
      </c>
      <c r="D394" s="3" t="s">
        <v>433</v>
      </c>
      <c r="E394" s="3" t="s">
        <v>48</v>
      </c>
    </row>
    <row r="395" spans="1:5" x14ac:dyDescent="0.3">
      <c r="A395" s="3" t="s">
        <v>237</v>
      </c>
      <c r="B395" s="3">
        <v>2</v>
      </c>
      <c r="C395" s="3" t="s">
        <v>438</v>
      </c>
      <c r="D395" s="3" t="s">
        <v>433</v>
      </c>
      <c r="E395" s="3" t="s">
        <v>48</v>
      </c>
    </row>
    <row r="396" spans="1:5" x14ac:dyDescent="0.3">
      <c r="A396" s="3" t="s">
        <v>237</v>
      </c>
      <c r="B396" s="3">
        <v>3</v>
      </c>
      <c r="C396" s="3" t="s">
        <v>440</v>
      </c>
      <c r="D396" s="3" t="s">
        <v>441</v>
      </c>
      <c r="E396" s="3" t="s">
        <v>31</v>
      </c>
    </row>
    <row r="397" spans="1:5" x14ac:dyDescent="0.3">
      <c r="A397" s="3" t="s">
        <v>241</v>
      </c>
      <c r="B397" s="3">
        <v>1</v>
      </c>
      <c r="C397" s="3" t="s">
        <v>438</v>
      </c>
      <c r="D397" s="3" t="s">
        <v>433</v>
      </c>
      <c r="E397" s="3" t="s">
        <v>48</v>
      </c>
    </row>
    <row r="398" spans="1:5" x14ac:dyDescent="0.3">
      <c r="A398" s="3" t="s">
        <v>241</v>
      </c>
      <c r="B398" s="3">
        <v>2</v>
      </c>
      <c r="C398" s="3" t="s">
        <v>440</v>
      </c>
      <c r="D398" s="3" t="s">
        <v>441</v>
      </c>
      <c r="E398" s="3" t="s">
        <v>31</v>
      </c>
    </row>
    <row r="399" spans="1:5" x14ac:dyDescent="0.3">
      <c r="A399" s="3" t="s">
        <v>241</v>
      </c>
      <c r="B399" s="3">
        <v>3</v>
      </c>
      <c r="C399" s="3" t="s">
        <v>439</v>
      </c>
      <c r="D399" s="3" t="s">
        <v>433</v>
      </c>
      <c r="E399" s="3" t="s">
        <v>31</v>
      </c>
    </row>
    <row r="400" spans="1:5" x14ac:dyDescent="0.3">
      <c r="A400" s="3" t="s">
        <v>244</v>
      </c>
      <c r="B400" s="3">
        <v>1</v>
      </c>
      <c r="C400" s="3" t="s">
        <v>432</v>
      </c>
      <c r="D400" s="3" t="s">
        <v>433</v>
      </c>
      <c r="E400" s="3" t="s">
        <v>48</v>
      </c>
    </row>
    <row r="401" spans="1:5" x14ac:dyDescent="0.3">
      <c r="A401" s="3" t="s">
        <v>244</v>
      </c>
      <c r="B401" s="3">
        <v>2</v>
      </c>
      <c r="C401" s="3" t="s">
        <v>435</v>
      </c>
      <c r="D401" s="3" t="s">
        <v>433</v>
      </c>
      <c r="E401" s="3" t="s">
        <v>31</v>
      </c>
    </row>
    <row r="402" spans="1:5" x14ac:dyDescent="0.3">
      <c r="A402" s="3" t="s">
        <v>244</v>
      </c>
      <c r="B402" s="3">
        <v>3</v>
      </c>
      <c r="C402" s="3" t="s">
        <v>437</v>
      </c>
      <c r="D402" s="3" t="s">
        <v>433</v>
      </c>
      <c r="E402" s="3" t="s">
        <v>31</v>
      </c>
    </row>
    <row r="403" spans="1:5" x14ac:dyDescent="0.3">
      <c r="A403" s="3" t="s">
        <v>244</v>
      </c>
      <c r="B403" s="3">
        <v>4</v>
      </c>
      <c r="C403" s="3" t="s">
        <v>434</v>
      </c>
      <c r="D403" s="3" t="s">
        <v>433</v>
      </c>
      <c r="E403" s="3" t="s">
        <v>31</v>
      </c>
    </row>
    <row r="404" spans="1:5" x14ac:dyDescent="0.3">
      <c r="A404" s="3" t="s">
        <v>247</v>
      </c>
      <c r="B404" s="3">
        <v>1</v>
      </c>
      <c r="C404" s="3" t="s">
        <v>439</v>
      </c>
      <c r="D404" s="3" t="s">
        <v>433</v>
      </c>
      <c r="E404" s="3" t="s">
        <v>48</v>
      </c>
    </row>
    <row r="405" spans="1:5" x14ac:dyDescent="0.3">
      <c r="A405" s="3" t="s">
        <v>247</v>
      </c>
      <c r="B405" s="3">
        <v>2</v>
      </c>
      <c r="C405" s="3" t="s">
        <v>440</v>
      </c>
      <c r="D405" s="3" t="s">
        <v>441</v>
      </c>
      <c r="E405" s="3" t="s">
        <v>31</v>
      </c>
    </row>
    <row r="406" spans="1:5" x14ac:dyDescent="0.3">
      <c r="A406" s="3" t="s">
        <v>247</v>
      </c>
      <c r="B406" s="3">
        <v>3</v>
      </c>
      <c r="C406" s="3" t="s">
        <v>438</v>
      </c>
      <c r="D406" s="3" t="s">
        <v>433</v>
      </c>
      <c r="E406" s="3" t="s">
        <v>31</v>
      </c>
    </row>
    <row r="407" spans="1:5" x14ac:dyDescent="0.3">
      <c r="A407" s="3" t="s">
        <v>250</v>
      </c>
      <c r="B407" s="3">
        <v>1</v>
      </c>
      <c r="C407" s="3" t="s">
        <v>432</v>
      </c>
      <c r="D407" s="3" t="s">
        <v>433</v>
      </c>
      <c r="E407" s="3" t="s">
        <v>48</v>
      </c>
    </row>
    <row r="408" spans="1:5" x14ac:dyDescent="0.3">
      <c r="A408" s="3" t="s">
        <v>250</v>
      </c>
      <c r="B408" s="3">
        <v>2</v>
      </c>
      <c r="C408" s="3" t="s">
        <v>434</v>
      </c>
      <c r="D408" s="3" t="s">
        <v>433</v>
      </c>
      <c r="E408" s="3" t="s">
        <v>48</v>
      </c>
    </row>
    <row r="409" spans="1:5" x14ac:dyDescent="0.3">
      <c r="A409" s="3" t="s">
        <v>250</v>
      </c>
      <c r="B409" s="3">
        <v>3</v>
      </c>
      <c r="C409" s="3" t="s">
        <v>438</v>
      </c>
      <c r="D409" s="3" t="s">
        <v>433</v>
      </c>
      <c r="E409" s="3" t="s">
        <v>31</v>
      </c>
    </row>
    <row r="410" spans="1:5" x14ac:dyDescent="0.3">
      <c r="A410" s="3" t="s">
        <v>252</v>
      </c>
      <c r="B410" s="3">
        <v>1</v>
      </c>
      <c r="C410" s="3" t="s">
        <v>435</v>
      </c>
      <c r="D410" s="3" t="s">
        <v>436</v>
      </c>
      <c r="E410" s="3" t="s">
        <v>48</v>
      </c>
    </row>
    <row r="411" spans="1:5" x14ac:dyDescent="0.3">
      <c r="A411" s="3" t="s">
        <v>252</v>
      </c>
      <c r="B411" s="3">
        <v>2</v>
      </c>
      <c r="C411" s="3" t="s">
        <v>440</v>
      </c>
      <c r="D411" s="3" t="s">
        <v>441</v>
      </c>
      <c r="E411" s="3" t="s">
        <v>31</v>
      </c>
    </row>
    <row r="412" spans="1:5" x14ac:dyDescent="0.3">
      <c r="A412" s="3" t="s">
        <v>252</v>
      </c>
      <c r="B412" s="3">
        <v>3</v>
      </c>
      <c r="C412" s="3" t="s">
        <v>439</v>
      </c>
      <c r="D412" s="3" t="s">
        <v>433</v>
      </c>
      <c r="E412" s="3" t="s">
        <v>31</v>
      </c>
    </row>
    <row r="413" spans="1:5" x14ac:dyDescent="0.3">
      <c r="A413" s="3" t="s">
        <v>255</v>
      </c>
      <c r="B413" s="3">
        <v>1</v>
      </c>
      <c r="C413" s="3" t="s">
        <v>434</v>
      </c>
      <c r="D413" s="3" t="s">
        <v>433</v>
      </c>
      <c r="E413" s="3" t="s">
        <v>48</v>
      </c>
    </row>
    <row r="414" spans="1:5" x14ac:dyDescent="0.3">
      <c r="A414" s="3" t="s">
        <v>255</v>
      </c>
      <c r="B414" s="3">
        <v>2</v>
      </c>
      <c r="C414" s="3" t="s">
        <v>437</v>
      </c>
      <c r="D414" s="3" t="s">
        <v>433</v>
      </c>
      <c r="E414" s="3" t="s">
        <v>31</v>
      </c>
    </row>
    <row r="415" spans="1:5" x14ac:dyDescent="0.3">
      <c r="A415" s="3" t="s">
        <v>258</v>
      </c>
      <c r="B415" s="3">
        <v>1</v>
      </c>
      <c r="C415" s="3" t="s">
        <v>439</v>
      </c>
      <c r="D415" s="3" t="s">
        <v>433</v>
      </c>
      <c r="E415" s="3" t="s">
        <v>48</v>
      </c>
    </row>
    <row r="416" spans="1:5" x14ac:dyDescent="0.3">
      <c r="A416" s="3" t="s">
        <v>258</v>
      </c>
      <c r="B416" s="3">
        <v>2</v>
      </c>
      <c r="C416" s="3" t="s">
        <v>437</v>
      </c>
      <c r="D416" s="3" t="s">
        <v>433</v>
      </c>
      <c r="E416" s="3" t="s">
        <v>31</v>
      </c>
    </row>
    <row r="417" spans="1:5" x14ac:dyDescent="0.3">
      <c r="A417" s="3" t="s">
        <v>258</v>
      </c>
      <c r="B417" s="3">
        <v>3</v>
      </c>
      <c r="C417" s="3" t="s">
        <v>438</v>
      </c>
      <c r="D417" s="3" t="s">
        <v>433</v>
      </c>
      <c r="E417" s="3" t="s">
        <v>31</v>
      </c>
    </row>
    <row r="418" spans="1:5" x14ac:dyDescent="0.3">
      <c r="A418" s="3" t="s">
        <v>261</v>
      </c>
      <c r="B418" s="3">
        <v>1</v>
      </c>
      <c r="C418" s="3" t="s">
        <v>432</v>
      </c>
      <c r="D418" s="3" t="s">
        <v>433</v>
      </c>
      <c r="E418" s="3" t="s">
        <v>48</v>
      </c>
    </row>
    <row r="419" spans="1:5" x14ac:dyDescent="0.3">
      <c r="A419" s="3" t="s">
        <v>261</v>
      </c>
      <c r="B419" s="3">
        <v>2</v>
      </c>
      <c r="C419" s="3" t="s">
        <v>434</v>
      </c>
      <c r="D419" s="3" t="s">
        <v>433</v>
      </c>
      <c r="E419" s="3" t="s">
        <v>48</v>
      </c>
    </row>
    <row r="420" spans="1:5" x14ac:dyDescent="0.3">
      <c r="A420" s="3" t="s">
        <v>261</v>
      </c>
      <c r="B420" s="3">
        <v>3</v>
      </c>
      <c r="C420" s="3" t="s">
        <v>437</v>
      </c>
      <c r="D420" s="3" t="s">
        <v>433</v>
      </c>
      <c r="E420" s="3" t="s">
        <v>31</v>
      </c>
    </row>
    <row r="421" spans="1:5" x14ac:dyDescent="0.3">
      <c r="A421" s="3" t="s">
        <v>264</v>
      </c>
      <c r="B421" s="3">
        <v>1</v>
      </c>
      <c r="C421" s="3" t="s">
        <v>432</v>
      </c>
      <c r="D421" s="3" t="s">
        <v>433</v>
      </c>
      <c r="E421" s="3" t="s">
        <v>48</v>
      </c>
    </row>
    <row r="422" spans="1:5" x14ac:dyDescent="0.3">
      <c r="A422" s="3" t="s">
        <v>264</v>
      </c>
      <c r="B422" s="3">
        <v>2</v>
      </c>
      <c r="C422" s="3" t="s">
        <v>434</v>
      </c>
      <c r="D422" s="3" t="s">
        <v>433</v>
      </c>
      <c r="E422" s="3" t="s">
        <v>48</v>
      </c>
    </row>
    <row r="423" spans="1:5" x14ac:dyDescent="0.3">
      <c r="A423" s="3" t="s">
        <v>264</v>
      </c>
      <c r="B423" s="3">
        <v>3</v>
      </c>
      <c r="C423" s="3" t="s">
        <v>438</v>
      </c>
      <c r="D423" s="3" t="s">
        <v>433</v>
      </c>
      <c r="E423" s="3" t="s">
        <v>31</v>
      </c>
    </row>
    <row r="424" spans="1:5" x14ac:dyDescent="0.3">
      <c r="A424" s="3" t="s">
        <v>266</v>
      </c>
      <c r="B424" s="3">
        <v>1</v>
      </c>
      <c r="C424" s="3" t="s">
        <v>435</v>
      </c>
      <c r="D424" s="3" t="s">
        <v>436</v>
      </c>
      <c r="E424" s="3" t="s">
        <v>48</v>
      </c>
    </row>
    <row r="425" spans="1:5" x14ac:dyDescent="0.3">
      <c r="A425" s="3" t="s">
        <v>266</v>
      </c>
      <c r="B425" s="3">
        <v>2</v>
      </c>
      <c r="C425" s="3" t="s">
        <v>439</v>
      </c>
      <c r="D425" s="3" t="s">
        <v>433</v>
      </c>
      <c r="E425" s="3" t="s">
        <v>31</v>
      </c>
    </row>
    <row r="426" spans="1:5" x14ac:dyDescent="0.3">
      <c r="A426" s="3" t="s">
        <v>270</v>
      </c>
      <c r="B426" s="3">
        <v>1</v>
      </c>
      <c r="C426" s="3" t="s">
        <v>439</v>
      </c>
      <c r="D426" s="3" t="s">
        <v>433</v>
      </c>
      <c r="E426" s="3" t="s">
        <v>48</v>
      </c>
    </row>
    <row r="427" spans="1:5" x14ac:dyDescent="0.3">
      <c r="A427" s="3" t="s">
        <v>270</v>
      </c>
      <c r="B427" s="3">
        <v>2</v>
      </c>
      <c r="C427" s="3" t="s">
        <v>437</v>
      </c>
      <c r="D427" s="3" t="s">
        <v>433</v>
      </c>
      <c r="E427" s="3" t="s">
        <v>31</v>
      </c>
    </row>
    <row r="428" spans="1:5" x14ac:dyDescent="0.3">
      <c r="A428" s="3" t="s">
        <v>270</v>
      </c>
      <c r="B428" s="3">
        <v>3</v>
      </c>
      <c r="C428" s="3" t="s">
        <v>435</v>
      </c>
      <c r="D428" s="3" t="s">
        <v>433</v>
      </c>
      <c r="E428" s="3" t="s">
        <v>73</v>
      </c>
    </row>
    <row r="429" spans="1:5" x14ac:dyDescent="0.3">
      <c r="A429" s="3" t="s">
        <v>274</v>
      </c>
      <c r="B429" s="3">
        <v>1</v>
      </c>
      <c r="C429" s="3" t="s">
        <v>435</v>
      </c>
      <c r="D429" s="3" t="s">
        <v>436</v>
      </c>
      <c r="E429" s="3" t="s">
        <v>48</v>
      </c>
    </row>
    <row r="430" spans="1:5" x14ac:dyDescent="0.3">
      <c r="A430" s="3" t="s">
        <v>274</v>
      </c>
      <c r="B430" s="3">
        <v>2</v>
      </c>
      <c r="C430" s="3" t="s">
        <v>434</v>
      </c>
      <c r="D430" s="3" t="s">
        <v>433</v>
      </c>
      <c r="E430" s="3" t="s">
        <v>31</v>
      </c>
    </row>
    <row r="431" spans="1:5" x14ac:dyDescent="0.3">
      <c r="A431" s="3" t="s">
        <v>274</v>
      </c>
      <c r="B431" s="3">
        <v>3</v>
      </c>
      <c r="C431" s="3" t="s">
        <v>438</v>
      </c>
      <c r="D431" s="3" t="s">
        <v>433</v>
      </c>
      <c r="E431" s="3" t="s">
        <v>31</v>
      </c>
    </row>
    <row r="432" spans="1:5" x14ac:dyDescent="0.3">
      <c r="A432" s="3" t="s">
        <v>277</v>
      </c>
      <c r="B432" s="3">
        <v>1</v>
      </c>
      <c r="C432" s="3" t="s">
        <v>432</v>
      </c>
      <c r="D432" s="3" t="s">
        <v>433</v>
      </c>
      <c r="E432" s="3" t="s">
        <v>48</v>
      </c>
    </row>
    <row r="433" spans="1:5" x14ac:dyDescent="0.3">
      <c r="A433" s="3" t="s">
        <v>277</v>
      </c>
      <c r="B433" s="3">
        <v>2</v>
      </c>
      <c r="C433" s="3" t="s">
        <v>434</v>
      </c>
      <c r="D433" s="3" t="s">
        <v>433</v>
      </c>
      <c r="E433" s="3" t="s">
        <v>48</v>
      </c>
    </row>
    <row r="434" spans="1:5" x14ac:dyDescent="0.3">
      <c r="A434" s="3" t="s">
        <v>277</v>
      </c>
      <c r="B434" s="3">
        <v>3</v>
      </c>
      <c r="C434" s="3" t="s">
        <v>437</v>
      </c>
      <c r="D434" s="3" t="s">
        <v>433</v>
      </c>
      <c r="E434" s="3" t="s">
        <v>31</v>
      </c>
    </row>
    <row r="435" spans="1:5" x14ac:dyDescent="0.3">
      <c r="A435" s="3" t="s">
        <v>279</v>
      </c>
      <c r="B435" s="3">
        <v>1</v>
      </c>
      <c r="C435" s="3" t="s">
        <v>434</v>
      </c>
      <c r="D435" s="3" t="s">
        <v>433</v>
      </c>
      <c r="E435" s="3" t="s">
        <v>48</v>
      </c>
    </row>
    <row r="436" spans="1:5" x14ac:dyDescent="0.3">
      <c r="A436" s="3" t="s">
        <v>279</v>
      </c>
      <c r="B436" s="3">
        <v>2</v>
      </c>
      <c r="C436" s="3" t="s">
        <v>438</v>
      </c>
      <c r="D436" s="3" t="s">
        <v>433</v>
      </c>
      <c r="E436" s="3" t="s">
        <v>31</v>
      </c>
    </row>
    <row r="437" spans="1:5" x14ac:dyDescent="0.3">
      <c r="A437" s="3" t="s">
        <v>279</v>
      </c>
      <c r="B437" s="3">
        <v>3</v>
      </c>
      <c r="C437" s="3" t="s">
        <v>439</v>
      </c>
      <c r="D437" s="3" t="s">
        <v>433</v>
      </c>
      <c r="E437" s="3" t="s">
        <v>31</v>
      </c>
    </row>
    <row r="438" spans="1:5" x14ac:dyDescent="0.3">
      <c r="A438" s="3" t="s">
        <v>283</v>
      </c>
      <c r="B438" s="3">
        <v>1</v>
      </c>
      <c r="C438" s="3" t="s">
        <v>437</v>
      </c>
      <c r="D438" s="3" t="s">
        <v>433</v>
      </c>
      <c r="E438" s="3" t="s">
        <v>48</v>
      </c>
    </row>
    <row r="439" spans="1:5" x14ac:dyDescent="0.3">
      <c r="A439" s="3" t="s">
        <v>283</v>
      </c>
      <c r="B439" s="3">
        <v>2</v>
      </c>
      <c r="C439" s="3" t="s">
        <v>439</v>
      </c>
      <c r="D439" s="3" t="s">
        <v>433</v>
      </c>
      <c r="E439" s="3" t="s">
        <v>48</v>
      </c>
    </row>
    <row r="440" spans="1:5" x14ac:dyDescent="0.3">
      <c r="A440" s="3" t="s">
        <v>286</v>
      </c>
      <c r="B440" s="3">
        <v>1</v>
      </c>
      <c r="C440" s="3" t="s">
        <v>437</v>
      </c>
      <c r="D440" s="3" t="s">
        <v>433</v>
      </c>
      <c r="E440" s="3" t="s">
        <v>31</v>
      </c>
    </row>
    <row r="441" spans="1:5" x14ac:dyDescent="0.3">
      <c r="A441" s="3" t="s">
        <v>286</v>
      </c>
      <c r="B441" s="3">
        <v>2</v>
      </c>
      <c r="C441" s="3" t="s">
        <v>435</v>
      </c>
      <c r="D441" s="3" t="s">
        <v>433</v>
      </c>
      <c r="E441" s="3" t="s">
        <v>31</v>
      </c>
    </row>
    <row r="442" spans="1:5" x14ac:dyDescent="0.3">
      <c r="A442" s="3" t="s">
        <v>286</v>
      </c>
      <c r="B442" s="3">
        <v>3</v>
      </c>
      <c r="C442" s="3" t="s">
        <v>434</v>
      </c>
      <c r="D442" s="3" t="s">
        <v>433</v>
      </c>
      <c r="E442" s="3" t="s">
        <v>31</v>
      </c>
    </row>
    <row r="443" spans="1:5" x14ac:dyDescent="0.3">
      <c r="A443" s="3" t="s">
        <v>288</v>
      </c>
      <c r="B443" s="3">
        <v>1</v>
      </c>
      <c r="C443" s="3" t="s">
        <v>432</v>
      </c>
      <c r="D443" s="3" t="s">
        <v>433</v>
      </c>
      <c r="E443" s="3" t="s">
        <v>48</v>
      </c>
    </row>
    <row r="444" spans="1:5" x14ac:dyDescent="0.3">
      <c r="A444" s="3" t="s">
        <v>288</v>
      </c>
      <c r="B444" s="3">
        <v>2</v>
      </c>
      <c r="C444" s="3" t="s">
        <v>434</v>
      </c>
      <c r="D444" s="3" t="s">
        <v>433</v>
      </c>
      <c r="E444" s="3" t="s">
        <v>48</v>
      </c>
    </row>
    <row r="445" spans="1:5" x14ac:dyDescent="0.3">
      <c r="A445" s="3" t="s">
        <v>288</v>
      </c>
      <c r="B445" s="3">
        <v>3</v>
      </c>
      <c r="C445" s="3" t="s">
        <v>435</v>
      </c>
      <c r="D445" s="3" t="s">
        <v>436</v>
      </c>
      <c r="E445" s="3" t="s">
        <v>31</v>
      </c>
    </row>
    <row r="446" spans="1:5" x14ac:dyDescent="0.3">
      <c r="A446" s="3" t="s">
        <v>288</v>
      </c>
      <c r="B446" s="3">
        <v>4</v>
      </c>
      <c r="C446" s="3" t="s">
        <v>440</v>
      </c>
      <c r="D446" s="3" t="s">
        <v>441</v>
      </c>
      <c r="E446" s="3" t="s">
        <v>31</v>
      </c>
    </row>
    <row r="447" spans="1:5" x14ac:dyDescent="0.3">
      <c r="A447" s="3" t="s">
        <v>292</v>
      </c>
      <c r="B447" s="3">
        <v>1</v>
      </c>
      <c r="C447" s="3" t="s">
        <v>435</v>
      </c>
      <c r="D447" s="3" t="s">
        <v>436</v>
      </c>
      <c r="E447" s="3" t="s">
        <v>48</v>
      </c>
    </row>
    <row r="448" spans="1:5" x14ac:dyDescent="0.3">
      <c r="A448" s="3" t="s">
        <v>292</v>
      </c>
      <c r="B448" s="3">
        <v>2</v>
      </c>
      <c r="C448" s="3" t="s">
        <v>438</v>
      </c>
      <c r="D448" s="3" t="s">
        <v>433</v>
      </c>
      <c r="E448" s="3" t="s">
        <v>48</v>
      </c>
    </row>
    <row r="449" spans="1:5" x14ac:dyDescent="0.3">
      <c r="A449" s="3" t="s">
        <v>295</v>
      </c>
      <c r="B449" s="3">
        <v>1</v>
      </c>
      <c r="C449" s="3" t="s">
        <v>435</v>
      </c>
      <c r="D449" s="3" t="s">
        <v>436</v>
      </c>
      <c r="E449" s="3" t="s">
        <v>31</v>
      </c>
    </row>
    <row r="450" spans="1:5" x14ac:dyDescent="0.3">
      <c r="A450" s="3" t="s">
        <v>295</v>
      </c>
      <c r="B450" s="3">
        <v>2</v>
      </c>
      <c r="C450" s="3" t="s">
        <v>438</v>
      </c>
      <c r="D450" s="3" t="s">
        <v>433</v>
      </c>
      <c r="E450" s="3" t="s">
        <v>48</v>
      </c>
    </row>
    <row r="451" spans="1:5" x14ac:dyDescent="0.3">
      <c r="A451" s="3" t="s">
        <v>295</v>
      </c>
      <c r="B451" s="3">
        <v>3</v>
      </c>
      <c r="C451" s="3" t="s">
        <v>434</v>
      </c>
      <c r="D451" s="3" t="s">
        <v>433</v>
      </c>
      <c r="E451" s="3" t="s">
        <v>31</v>
      </c>
    </row>
    <row r="452" spans="1:5" x14ac:dyDescent="0.3">
      <c r="A452" s="3" t="s">
        <v>297</v>
      </c>
      <c r="B452" s="3">
        <v>1</v>
      </c>
      <c r="C452" s="3" t="s">
        <v>434</v>
      </c>
      <c r="D452" s="3" t="s">
        <v>433</v>
      </c>
      <c r="E452" s="3" t="s">
        <v>48</v>
      </c>
    </row>
    <row r="453" spans="1:5" x14ac:dyDescent="0.3">
      <c r="A453" s="3" t="s">
        <v>297</v>
      </c>
      <c r="B453" s="3">
        <v>2</v>
      </c>
      <c r="C453" s="3" t="s">
        <v>437</v>
      </c>
      <c r="D453" s="3" t="s">
        <v>433</v>
      </c>
      <c r="E453" s="3" t="s">
        <v>48</v>
      </c>
    </row>
    <row r="454" spans="1:5" x14ac:dyDescent="0.3">
      <c r="A454" s="3" t="s">
        <v>297</v>
      </c>
      <c r="B454" s="3">
        <v>3</v>
      </c>
      <c r="C454" s="3" t="s">
        <v>432</v>
      </c>
      <c r="D454" s="3" t="s">
        <v>433</v>
      </c>
      <c r="E454" s="3" t="s">
        <v>31</v>
      </c>
    </row>
    <row r="455" spans="1:5" x14ac:dyDescent="0.3">
      <c r="A455" s="3" t="s">
        <v>301</v>
      </c>
      <c r="B455" s="3">
        <v>1</v>
      </c>
      <c r="C455" s="3" t="s">
        <v>438</v>
      </c>
      <c r="D455" s="3" t="s">
        <v>433</v>
      </c>
      <c r="E455" s="3" t="s">
        <v>48</v>
      </c>
    </row>
    <row r="456" spans="1:5" x14ac:dyDescent="0.3">
      <c r="A456" s="3" t="s">
        <v>301</v>
      </c>
      <c r="B456" s="3">
        <v>2</v>
      </c>
      <c r="C456" s="3" t="s">
        <v>439</v>
      </c>
      <c r="D456" s="3" t="s">
        <v>433</v>
      </c>
      <c r="E456" s="3" t="s">
        <v>48</v>
      </c>
    </row>
    <row r="457" spans="1:5" x14ac:dyDescent="0.3">
      <c r="A457" s="3" t="s">
        <v>301</v>
      </c>
      <c r="B457" s="3">
        <v>3</v>
      </c>
      <c r="C457" s="3" t="s">
        <v>442</v>
      </c>
      <c r="D457" s="3" t="s">
        <v>441</v>
      </c>
      <c r="E457" s="3" t="s">
        <v>31</v>
      </c>
    </row>
    <row r="458" spans="1:5" x14ac:dyDescent="0.3">
      <c r="A458" s="3" t="s">
        <v>303</v>
      </c>
      <c r="B458" s="3">
        <v>1</v>
      </c>
      <c r="C458" s="3" t="s">
        <v>439</v>
      </c>
      <c r="D458" s="3" t="s">
        <v>433</v>
      </c>
      <c r="E458" s="3" t="s">
        <v>48</v>
      </c>
    </row>
    <row r="459" spans="1:5" x14ac:dyDescent="0.3">
      <c r="A459" s="3" t="s">
        <v>303</v>
      </c>
      <c r="B459" s="3">
        <v>2</v>
      </c>
      <c r="C459" s="3" t="s">
        <v>440</v>
      </c>
      <c r="D459" s="3" t="s">
        <v>441</v>
      </c>
      <c r="E459" s="3" t="s">
        <v>31</v>
      </c>
    </row>
    <row r="460" spans="1:5" x14ac:dyDescent="0.3">
      <c r="A460" s="3" t="s">
        <v>306</v>
      </c>
      <c r="B460" s="3">
        <v>1</v>
      </c>
      <c r="C460" s="3" t="s">
        <v>439</v>
      </c>
      <c r="D460" s="3" t="s">
        <v>433</v>
      </c>
      <c r="E460" s="3" t="s">
        <v>48</v>
      </c>
    </row>
    <row r="461" spans="1:5" x14ac:dyDescent="0.3">
      <c r="A461" s="3" t="s">
        <v>306</v>
      </c>
      <c r="B461" s="3">
        <v>2</v>
      </c>
      <c r="C461" s="3" t="s">
        <v>440</v>
      </c>
      <c r="D461" s="3" t="s">
        <v>441</v>
      </c>
      <c r="E461" s="3" t="s">
        <v>31</v>
      </c>
    </row>
    <row r="462" spans="1:5" x14ac:dyDescent="0.3">
      <c r="A462" s="3" t="s">
        <v>310</v>
      </c>
      <c r="B462" s="3">
        <v>1</v>
      </c>
      <c r="C462" s="3" t="s">
        <v>432</v>
      </c>
      <c r="D462" s="3" t="s">
        <v>433</v>
      </c>
      <c r="E462" s="3" t="s">
        <v>48</v>
      </c>
    </row>
    <row r="463" spans="1:5" x14ac:dyDescent="0.3">
      <c r="A463" s="3" t="s">
        <v>310</v>
      </c>
      <c r="B463" s="3">
        <v>2</v>
      </c>
      <c r="C463" s="3" t="s">
        <v>434</v>
      </c>
      <c r="D463" s="3" t="s">
        <v>433</v>
      </c>
      <c r="E463" s="3" t="s">
        <v>48</v>
      </c>
    </row>
    <row r="464" spans="1:5" x14ac:dyDescent="0.3">
      <c r="A464" s="3" t="s">
        <v>310</v>
      </c>
      <c r="B464" s="3">
        <v>3</v>
      </c>
      <c r="C464" s="3" t="s">
        <v>438</v>
      </c>
      <c r="D464" s="3" t="s">
        <v>433</v>
      </c>
      <c r="E464" s="3" t="s">
        <v>31</v>
      </c>
    </row>
    <row r="465" spans="1:5" x14ac:dyDescent="0.3">
      <c r="A465" s="3" t="s">
        <v>312</v>
      </c>
      <c r="B465" s="3">
        <v>1</v>
      </c>
      <c r="C465" s="3" t="s">
        <v>435</v>
      </c>
      <c r="D465" s="3" t="s">
        <v>436</v>
      </c>
      <c r="E465" s="3" t="s">
        <v>48</v>
      </c>
    </row>
    <row r="466" spans="1:5" x14ac:dyDescent="0.3">
      <c r="A466" s="3" t="s">
        <v>315</v>
      </c>
      <c r="B466" s="3">
        <v>1</v>
      </c>
      <c r="C466" s="3" t="s">
        <v>432</v>
      </c>
      <c r="D466" s="3" t="s">
        <v>433</v>
      </c>
      <c r="E466" s="3" t="s">
        <v>48</v>
      </c>
    </row>
    <row r="467" spans="1:5" x14ac:dyDescent="0.3">
      <c r="A467" s="3" t="s">
        <v>315</v>
      </c>
      <c r="B467" s="3">
        <v>2</v>
      </c>
      <c r="C467" s="3" t="s">
        <v>434</v>
      </c>
      <c r="D467" s="3" t="s">
        <v>433</v>
      </c>
      <c r="E467" s="3" t="s">
        <v>48</v>
      </c>
    </row>
    <row r="468" spans="1:5" x14ac:dyDescent="0.3">
      <c r="A468" s="3" t="s">
        <v>315</v>
      </c>
      <c r="B468" s="3">
        <v>3</v>
      </c>
      <c r="C468" s="3" t="s">
        <v>442</v>
      </c>
      <c r="D468" s="3" t="s">
        <v>441</v>
      </c>
      <c r="E468" s="3" t="s">
        <v>31</v>
      </c>
    </row>
    <row r="469" spans="1:5" x14ac:dyDescent="0.3">
      <c r="A469" s="3" t="s">
        <v>315</v>
      </c>
      <c r="B469" s="3">
        <v>4</v>
      </c>
      <c r="C469" s="3" t="s">
        <v>440</v>
      </c>
      <c r="D469" s="3" t="s">
        <v>441</v>
      </c>
      <c r="E469" s="3" t="s">
        <v>31</v>
      </c>
    </row>
    <row r="470" spans="1:5" x14ac:dyDescent="0.3">
      <c r="A470" s="3" t="s">
        <v>321</v>
      </c>
      <c r="B470" s="3">
        <v>1</v>
      </c>
      <c r="C470" s="3" t="s">
        <v>434</v>
      </c>
      <c r="D470" s="3" t="s">
        <v>433</v>
      </c>
      <c r="E470" s="3" t="s">
        <v>48</v>
      </c>
    </row>
    <row r="471" spans="1:5" x14ac:dyDescent="0.3">
      <c r="A471" s="3" t="s">
        <v>321</v>
      </c>
      <c r="B471" s="3">
        <v>2</v>
      </c>
      <c r="C471" s="3" t="s">
        <v>437</v>
      </c>
      <c r="D471" s="3" t="s">
        <v>433</v>
      </c>
      <c r="E471" s="3" t="s">
        <v>48</v>
      </c>
    </row>
    <row r="472" spans="1:5" x14ac:dyDescent="0.3">
      <c r="A472" s="3" t="s">
        <v>324</v>
      </c>
      <c r="B472" s="3">
        <v>1</v>
      </c>
      <c r="C472" s="3" t="s">
        <v>434</v>
      </c>
      <c r="D472" s="3" t="s">
        <v>433</v>
      </c>
      <c r="E472" s="3" t="s">
        <v>48</v>
      </c>
    </row>
    <row r="473" spans="1:5" x14ac:dyDescent="0.3">
      <c r="A473" s="3" t="s">
        <v>324</v>
      </c>
      <c r="B473" s="3">
        <v>2</v>
      </c>
      <c r="C473" s="3" t="s">
        <v>438</v>
      </c>
      <c r="D473" s="3" t="s">
        <v>433</v>
      </c>
      <c r="E473" s="3" t="s">
        <v>31</v>
      </c>
    </row>
    <row r="474" spans="1:5" x14ac:dyDescent="0.3">
      <c r="A474" s="3" t="s">
        <v>324</v>
      </c>
      <c r="B474" s="3">
        <v>3</v>
      </c>
      <c r="C474" s="3" t="s">
        <v>439</v>
      </c>
      <c r="D474" s="3" t="s">
        <v>433</v>
      </c>
      <c r="E474" s="3" t="s">
        <v>31</v>
      </c>
    </row>
    <row r="475" spans="1:5" x14ac:dyDescent="0.3">
      <c r="A475" s="3" t="s">
        <v>327</v>
      </c>
      <c r="B475" s="3">
        <v>1</v>
      </c>
      <c r="C475" s="3" t="s">
        <v>435</v>
      </c>
      <c r="D475" s="3" t="s">
        <v>436</v>
      </c>
      <c r="E475" s="3" t="s">
        <v>48</v>
      </c>
    </row>
    <row r="476" spans="1:5" x14ac:dyDescent="0.3">
      <c r="A476" s="3" t="s">
        <v>329</v>
      </c>
      <c r="B476" s="3">
        <v>1</v>
      </c>
      <c r="C476" s="3" t="s">
        <v>432</v>
      </c>
      <c r="D476" s="3" t="s">
        <v>433</v>
      </c>
      <c r="E476" s="3" t="s">
        <v>48</v>
      </c>
    </row>
    <row r="477" spans="1:5" x14ac:dyDescent="0.3">
      <c r="A477" s="3" t="s">
        <v>329</v>
      </c>
      <c r="B477" s="3">
        <v>2</v>
      </c>
      <c r="C477" s="3" t="s">
        <v>434</v>
      </c>
      <c r="D477" s="3" t="s">
        <v>433</v>
      </c>
      <c r="E477" s="3" t="s">
        <v>48</v>
      </c>
    </row>
    <row r="478" spans="1:5" x14ac:dyDescent="0.3">
      <c r="A478" s="3" t="s">
        <v>329</v>
      </c>
      <c r="B478" s="3">
        <v>3</v>
      </c>
      <c r="C478" s="3" t="s">
        <v>438</v>
      </c>
      <c r="D478" s="3" t="s">
        <v>433</v>
      </c>
      <c r="E478" s="3" t="s">
        <v>31</v>
      </c>
    </row>
    <row r="479" spans="1:5" x14ac:dyDescent="0.3">
      <c r="A479" s="3" t="s">
        <v>329</v>
      </c>
      <c r="B479" s="3">
        <v>4</v>
      </c>
      <c r="C479" s="3" t="s">
        <v>439</v>
      </c>
      <c r="D479" s="3" t="s">
        <v>433</v>
      </c>
      <c r="E479" s="3" t="s">
        <v>31</v>
      </c>
    </row>
    <row r="480" spans="1:5" x14ac:dyDescent="0.3">
      <c r="A480" s="3" t="s">
        <v>331</v>
      </c>
      <c r="B480" s="3">
        <v>1</v>
      </c>
      <c r="C480" s="3" t="s">
        <v>434</v>
      </c>
      <c r="D480" s="3" t="s">
        <v>433</v>
      </c>
      <c r="E480" s="3" t="s">
        <v>48</v>
      </c>
    </row>
    <row r="481" spans="1:5" x14ac:dyDescent="0.3">
      <c r="A481" s="3" t="s">
        <v>333</v>
      </c>
      <c r="B481" s="3">
        <v>1</v>
      </c>
      <c r="C481" s="3" t="s">
        <v>432</v>
      </c>
      <c r="D481" s="3" t="s">
        <v>433</v>
      </c>
      <c r="E481" s="3" t="s">
        <v>48</v>
      </c>
    </row>
    <row r="482" spans="1:5" x14ac:dyDescent="0.3">
      <c r="A482" s="3" t="s">
        <v>333</v>
      </c>
      <c r="B482" s="3">
        <v>2</v>
      </c>
      <c r="C482" s="3" t="s">
        <v>434</v>
      </c>
      <c r="D482" s="3" t="s">
        <v>433</v>
      </c>
      <c r="E482" s="3" t="s">
        <v>31</v>
      </c>
    </row>
    <row r="483" spans="1:5" x14ac:dyDescent="0.3">
      <c r="A483" s="3" t="s">
        <v>335</v>
      </c>
      <c r="B483" s="3">
        <v>1</v>
      </c>
      <c r="C483" s="3" t="s">
        <v>439</v>
      </c>
      <c r="D483" s="3" t="s">
        <v>433</v>
      </c>
      <c r="E483" s="3" t="s">
        <v>48</v>
      </c>
    </row>
    <row r="484" spans="1:5" x14ac:dyDescent="0.3">
      <c r="A484" s="3" t="s">
        <v>335</v>
      </c>
      <c r="B484" s="3">
        <v>2</v>
      </c>
      <c r="C484" s="3" t="s">
        <v>434</v>
      </c>
      <c r="D484" s="3" t="s">
        <v>433</v>
      </c>
      <c r="E484" s="3" t="s">
        <v>31</v>
      </c>
    </row>
    <row r="485" spans="1:5" x14ac:dyDescent="0.3">
      <c r="A485" s="3" t="s">
        <v>335</v>
      </c>
      <c r="B485" s="3">
        <v>3</v>
      </c>
      <c r="C485" s="3" t="s">
        <v>438</v>
      </c>
      <c r="D485" s="3" t="s">
        <v>433</v>
      </c>
      <c r="E485" s="3" t="s">
        <v>31</v>
      </c>
    </row>
    <row r="486" spans="1:5" x14ac:dyDescent="0.3">
      <c r="A486" s="3" t="s">
        <v>339</v>
      </c>
      <c r="B486" s="3">
        <v>1</v>
      </c>
      <c r="C486" s="3" t="s">
        <v>437</v>
      </c>
      <c r="D486" s="3" t="s">
        <v>433</v>
      </c>
      <c r="E486" s="3" t="s">
        <v>48</v>
      </c>
    </row>
    <row r="487" spans="1:5" x14ac:dyDescent="0.3">
      <c r="A487" s="3" t="s">
        <v>339</v>
      </c>
      <c r="B487" s="3">
        <v>2</v>
      </c>
      <c r="C487" s="3" t="s">
        <v>434</v>
      </c>
      <c r="D487" s="3" t="s">
        <v>433</v>
      </c>
      <c r="E487" s="3" t="s">
        <v>31</v>
      </c>
    </row>
    <row r="488" spans="1:5" x14ac:dyDescent="0.3">
      <c r="A488" s="3" t="s">
        <v>342</v>
      </c>
      <c r="B488" s="3">
        <v>1</v>
      </c>
      <c r="C488" s="3" t="s">
        <v>432</v>
      </c>
      <c r="D488" s="3" t="s">
        <v>433</v>
      </c>
      <c r="E488" s="3" t="s">
        <v>48</v>
      </c>
    </row>
    <row r="489" spans="1:5" x14ac:dyDescent="0.3">
      <c r="A489" s="3" t="s">
        <v>342</v>
      </c>
      <c r="B489" s="3">
        <v>2</v>
      </c>
      <c r="C489" s="3" t="s">
        <v>434</v>
      </c>
      <c r="D489" s="3" t="s">
        <v>433</v>
      </c>
      <c r="E489" s="3" t="s">
        <v>31</v>
      </c>
    </row>
    <row r="490" spans="1:5" x14ac:dyDescent="0.3">
      <c r="A490" s="3" t="s">
        <v>342</v>
      </c>
      <c r="B490" s="3">
        <v>3</v>
      </c>
      <c r="C490" s="3" t="s">
        <v>438</v>
      </c>
      <c r="D490" s="3" t="s">
        <v>433</v>
      </c>
      <c r="E490" s="3" t="s">
        <v>31</v>
      </c>
    </row>
    <row r="491" spans="1:5" x14ac:dyDescent="0.3">
      <c r="A491" s="3" t="s">
        <v>342</v>
      </c>
      <c r="B491" s="3">
        <v>4</v>
      </c>
      <c r="C491" s="3" t="s">
        <v>437</v>
      </c>
      <c r="D491" s="3" t="s">
        <v>433</v>
      </c>
      <c r="E491" s="3" t="s">
        <v>73</v>
      </c>
    </row>
    <row r="492" spans="1:5" x14ac:dyDescent="0.3">
      <c r="A492" s="3" t="s">
        <v>344</v>
      </c>
      <c r="B492" s="3">
        <v>1</v>
      </c>
      <c r="C492" s="3" t="s">
        <v>432</v>
      </c>
      <c r="D492" s="3" t="s">
        <v>433</v>
      </c>
      <c r="E492" s="3" t="s">
        <v>48</v>
      </c>
    </row>
    <row r="493" spans="1:5" x14ac:dyDescent="0.3">
      <c r="A493" s="3" t="s">
        <v>344</v>
      </c>
      <c r="B493" s="3">
        <v>2</v>
      </c>
      <c r="C493" s="3" t="s">
        <v>434</v>
      </c>
      <c r="D493" s="3" t="s">
        <v>433</v>
      </c>
      <c r="E493" s="3" t="s">
        <v>48</v>
      </c>
    </row>
    <row r="494" spans="1:5" x14ac:dyDescent="0.3">
      <c r="A494" s="3" t="s">
        <v>344</v>
      </c>
      <c r="B494" s="3">
        <v>3</v>
      </c>
      <c r="C494" s="3" t="s">
        <v>438</v>
      </c>
      <c r="D494" s="3" t="s">
        <v>433</v>
      </c>
      <c r="E494" s="3" t="s">
        <v>31</v>
      </c>
    </row>
    <row r="495" spans="1:5" x14ac:dyDescent="0.3">
      <c r="A495" s="3" t="s">
        <v>345</v>
      </c>
      <c r="B495" s="3">
        <v>1</v>
      </c>
      <c r="C495" s="3" t="s">
        <v>434</v>
      </c>
      <c r="D495" s="3" t="s">
        <v>433</v>
      </c>
      <c r="E495" s="3" t="s">
        <v>31</v>
      </c>
    </row>
    <row r="496" spans="1:5" x14ac:dyDescent="0.3">
      <c r="A496" s="3" t="s">
        <v>347</v>
      </c>
      <c r="B496" s="3">
        <v>1</v>
      </c>
      <c r="C496" s="3" t="s">
        <v>435</v>
      </c>
      <c r="D496" s="3" t="s">
        <v>436</v>
      </c>
      <c r="E496" s="3" t="s">
        <v>48</v>
      </c>
    </row>
    <row r="497" spans="1:5" x14ac:dyDescent="0.3">
      <c r="A497" s="3" t="s">
        <v>350</v>
      </c>
      <c r="B497" s="3">
        <v>1</v>
      </c>
      <c r="C497" s="3" t="s">
        <v>439</v>
      </c>
      <c r="D497" s="3" t="s">
        <v>433</v>
      </c>
      <c r="E497" s="3" t="s">
        <v>48</v>
      </c>
    </row>
    <row r="498" spans="1:5" x14ac:dyDescent="0.3">
      <c r="A498" s="3" t="s">
        <v>350</v>
      </c>
      <c r="B498" s="3">
        <v>2</v>
      </c>
      <c r="C498" s="3" t="s">
        <v>438</v>
      </c>
      <c r="D498" s="3" t="s">
        <v>433</v>
      </c>
      <c r="E498" s="3" t="s">
        <v>31</v>
      </c>
    </row>
    <row r="499" spans="1:5" x14ac:dyDescent="0.3">
      <c r="A499" s="3" t="s">
        <v>350</v>
      </c>
      <c r="B499" s="3">
        <v>3</v>
      </c>
      <c r="C499" s="3" t="s">
        <v>440</v>
      </c>
      <c r="D499" s="3" t="s">
        <v>441</v>
      </c>
      <c r="E499" s="3" t="s">
        <v>73</v>
      </c>
    </row>
    <row r="500" spans="1:5" x14ac:dyDescent="0.3">
      <c r="A500" s="3" t="s">
        <v>352</v>
      </c>
      <c r="B500" s="3">
        <v>1</v>
      </c>
      <c r="C500" s="3" t="s">
        <v>439</v>
      </c>
      <c r="D500" s="3" t="s">
        <v>433</v>
      </c>
      <c r="E500" s="3" t="s">
        <v>48</v>
      </c>
    </row>
    <row r="501" spans="1:5" x14ac:dyDescent="0.3">
      <c r="A501" s="3" t="s">
        <v>352</v>
      </c>
      <c r="B501" s="3">
        <v>2</v>
      </c>
      <c r="C501" s="3" t="s">
        <v>440</v>
      </c>
      <c r="D501" s="3" t="s">
        <v>441</v>
      </c>
      <c r="E501" s="3" t="s">
        <v>31</v>
      </c>
    </row>
    <row r="502" spans="1:5" x14ac:dyDescent="0.3">
      <c r="A502" s="3" t="s">
        <v>355</v>
      </c>
      <c r="B502" s="3">
        <v>1</v>
      </c>
      <c r="C502" s="3" t="s">
        <v>434</v>
      </c>
      <c r="D502" s="3" t="s">
        <v>433</v>
      </c>
      <c r="E502" s="3" t="s">
        <v>48</v>
      </c>
    </row>
    <row r="503" spans="1:5" x14ac:dyDescent="0.3">
      <c r="A503" s="3" t="s">
        <v>357</v>
      </c>
      <c r="B503" s="3">
        <v>1</v>
      </c>
      <c r="C503" s="3" t="s">
        <v>432</v>
      </c>
      <c r="D503" s="3" t="s">
        <v>433</v>
      </c>
      <c r="E503" s="3" t="s">
        <v>48</v>
      </c>
    </row>
    <row r="504" spans="1:5" x14ac:dyDescent="0.3">
      <c r="A504" s="3" t="s">
        <v>357</v>
      </c>
      <c r="B504" s="3">
        <v>2</v>
      </c>
      <c r="C504" s="3" t="s">
        <v>434</v>
      </c>
      <c r="D504" s="3" t="s">
        <v>433</v>
      </c>
      <c r="E504" s="3" t="s">
        <v>31</v>
      </c>
    </row>
    <row r="505" spans="1:5" x14ac:dyDescent="0.3">
      <c r="A505" s="3" t="s">
        <v>357</v>
      </c>
      <c r="B505" s="3">
        <v>3</v>
      </c>
      <c r="C505" s="3" t="s">
        <v>438</v>
      </c>
      <c r="D505" s="3" t="s">
        <v>433</v>
      </c>
      <c r="E505" s="3" t="s">
        <v>31</v>
      </c>
    </row>
    <row r="506" spans="1:5" x14ac:dyDescent="0.3">
      <c r="A506" s="3" t="s">
        <v>363</v>
      </c>
      <c r="B506" s="3">
        <v>1</v>
      </c>
      <c r="C506" s="3" t="s">
        <v>439</v>
      </c>
      <c r="D506" s="3" t="s">
        <v>433</v>
      </c>
      <c r="E506" s="3" t="s">
        <v>48</v>
      </c>
    </row>
    <row r="507" spans="1:5" x14ac:dyDescent="0.3">
      <c r="A507" s="3" t="s">
        <v>363</v>
      </c>
      <c r="B507" s="3">
        <v>2</v>
      </c>
      <c r="C507" s="3" t="s">
        <v>440</v>
      </c>
      <c r="D507" s="3" t="s">
        <v>441</v>
      </c>
      <c r="E507" s="3" t="s">
        <v>31</v>
      </c>
    </row>
    <row r="508" spans="1:5" x14ac:dyDescent="0.3">
      <c r="A508" s="3" t="s">
        <v>363</v>
      </c>
      <c r="B508" s="3">
        <v>3</v>
      </c>
      <c r="C508" s="3" t="s">
        <v>435</v>
      </c>
      <c r="D508" s="3" t="s">
        <v>436</v>
      </c>
      <c r="E508" s="3" t="s">
        <v>31</v>
      </c>
    </row>
    <row r="509" spans="1:5" x14ac:dyDescent="0.3">
      <c r="A509" s="3" t="s">
        <v>367</v>
      </c>
      <c r="B509" s="3">
        <v>1</v>
      </c>
      <c r="C509" s="3" t="s">
        <v>432</v>
      </c>
      <c r="D509" s="3" t="s">
        <v>433</v>
      </c>
      <c r="E509" s="3" t="s">
        <v>48</v>
      </c>
    </row>
    <row r="510" spans="1:5" x14ac:dyDescent="0.3">
      <c r="A510" s="3" t="s">
        <v>369</v>
      </c>
      <c r="B510" s="3">
        <v>1</v>
      </c>
      <c r="C510" s="3" t="s">
        <v>435</v>
      </c>
      <c r="D510" s="3" t="s">
        <v>433</v>
      </c>
      <c r="E510" s="3" t="s">
        <v>31</v>
      </c>
    </row>
    <row r="511" spans="1:5" x14ac:dyDescent="0.3">
      <c r="A511" s="3" t="s">
        <v>369</v>
      </c>
      <c r="B511" s="3">
        <v>2</v>
      </c>
      <c r="C511" s="3" t="s">
        <v>439</v>
      </c>
      <c r="D511" s="3" t="s">
        <v>433</v>
      </c>
      <c r="E511" s="3" t="s">
        <v>48</v>
      </c>
    </row>
    <row r="512" spans="1:5" x14ac:dyDescent="0.3">
      <c r="A512" s="3" t="s">
        <v>369</v>
      </c>
      <c r="B512" s="3">
        <v>3</v>
      </c>
      <c r="C512" s="3" t="s">
        <v>437</v>
      </c>
      <c r="D512" s="3" t="s">
        <v>433</v>
      </c>
      <c r="E512" s="3" t="s">
        <v>31</v>
      </c>
    </row>
    <row r="513" spans="1:5" x14ac:dyDescent="0.3">
      <c r="A513" s="3" t="s">
        <v>372</v>
      </c>
      <c r="B513" s="3">
        <v>1</v>
      </c>
      <c r="C513" s="3" t="s">
        <v>439</v>
      </c>
      <c r="D513" s="3" t="s">
        <v>433</v>
      </c>
      <c r="E513" s="3" t="s">
        <v>48</v>
      </c>
    </row>
    <row r="514" spans="1:5" x14ac:dyDescent="0.3">
      <c r="A514" s="3" t="s">
        <v>372</v>
      </c>
      <c r="B514" s="3">
        <v>2</v>
      </c>
      <c r="C514" s="3" t="s">
        <v>440</v>
      </c>
      <c r="D514" s="3" t="s">
        <v>441</v>
      </c>
      <c r="E514" s="3" t="s">
        <v>31</v>
      </c>
    </row>
    <row r="515" spans="1:5" x14ac:dyDescent="0.3">
      <c r="A515" s="3" t="s">
        <v>372</v>
      </c>
      <c r="B515" s="3">
        <v>3</v>
      </c>
      <c r="C515" s="3" t="s">
        <v>438</v>
      </c>
      <c r="D515" s="3" t="s">
        <v>433</v>
      </c>
      <c r="E515" s="3" t="s">
        <v>31</v>
      </c>
    </row>
    <row r="516" spans="1:5" x14ac:dyDescent="0.3">
      <c r="A516" s="3" t="s">
        <v>374</v>
      </c>
      <c r="B516" s="3">
        <v>1</v>
      </c>
      <c r="C516" s="3" t="s">
        <v>434</v>
      </c>
      <c r="D516" s="3" t="s">
        <v>433</v>
      </c>
      <c r="E516" s="3" t="s">
        <v>48</v>
      </c>
    </row>
    <row r="517" spans="1:5" x14ac:dyDescent="0.3">
      <c r="A517" s="3" t="s">
        <v>374</v>
      </c>
      <c r="B517" s="3">
        <v>2</v>
      </c>
      <c r="C517" s="3" t="s">
        <v>437</v>
      </c>
      <c r="D517" s="3" t="s">
        <v>433</v>
      </c>
      <c r="E517" s="3" t="s">
        <v>31</v>
      </c>
    </row>
    <row r="518" spans="1:5" x14ac:dyDescent="0.3">
      <c r="A518" s="3" t="s">
        <v>374</v>
      </c>
      <c r="B518" s="3">
        <v>3</v>
      </c>
      <c r="C518" s="3" t="s">
        <v>435</v>
      </c>
      <c r="D518" s="3" t="s">
        <v>433</v>
      </c>
      <c r="E518" s="3" t="s">
        <v>31</v>
      </c>
    </row>
    <row r="519" spans="1:5" x14ac:dyDescent="0.3">
      <c r="A519" s="3" t="s">
        <v>377</v>
      </c>
      <c r="B519" s="3">
        <v>1</v>
      </c>
      <c r="C519" s="3" t="s">
        <v>432</v>
      </c>
      <c r="D519" s="3" t="s">
        <v>433</v>
      </c>
      <c r="E519" s="3" t="s">
        <v>48</v>
      </c>
    </row>
    <row r="520" spans="1:5" x14ac:dyDescent="0.3">
      <c r="A520" s="3" t="s">
        <v>377</v>
      </c>
      <c r="B520" s="3">
        <v>2</v>
      </c>
      <c r="C520" s="3" t="s">
        <v>434</v>
      </c>
      <c r="D520" s="3" t="s">
        <v>433</v>
      </c>
      <c r="E520" s="3" t="s">
        <v>31</v>
      </c>
    </row>
    <row r="521" spans="1:5" x14ac:dyDescent="0.3">
      <c r="A521" s="3" t="s">
        <v>379</v>
      </c>
      <c r="B521" s="3">
        <v>1</v>
      </c>
      <c r="C521" s="3" t="s">
        <v>432</v>
      </c>
      <c r="D521" s="3" t="s">
        <v>433</v>
      </c>
      <c r="E521" s="3" t="s">
        <v>48</v>
      </c>
    </row>
    <row r="522" spans="1:5" x14ac:dyDescent="0.3">
      <c r="A522" s="3" t="s">
        <v>379</v>
      </c>
      <c r="B522" s="3">
        <v>2</v>
      </c>
      <c r="C522" s="3" t="s">
        <v>434</v>
      </c>
      <c r="D522" s="3" t="s">
        <v>433</v>
      </c>
      <c r="E522" s="3" t="s">
        <v>31</v>
      </c>
    </row>
    <row r="523" spans="1:5" x14ac:dyDescent="0.3">
      <c r="A523" s="3" t="s">
        <v>379</v>
      </c>
      <c r="B523" s="3">
        <v>3</v>
      </c>
      <c r="C523" s="3" t="s">
        <v>437</v>
      </c>
      <c r="D523" s="3" t="s">
        <v>433</v>
      </c>
      <c r="E523" s="3" t="s">
        <v>31</v>
      </c>
    </row>
    <row r="524" spans="1:5" x14ac:dyDescent="0.3">
      <c r="A524" s="3" t="s">
        <v>379</v>
      </c>
      <c r="B524" s="3">
        <v>4</v>
      </c>
      <c r="C524" s="3" t="s">
        <v>438</v>
      </c>
      <c r="D524" s="3" t="s">
        <v>433</v>
      </c>
      <c r="E524" s="3" t="s">
        <v>31</v>
      </c>
    </row>
    <row r="525" spans="1:5" x14ac:dyDescent="0.3">
      <c r="A525" s="3" t="s">
        <v>381</v>
      </c>
      <c r="B525" s="3">
        <v>1</v>
      </c>
      <c r="C525" s="3" t="s">
        <v>440</v>
      </c>
      <c r="D525" s="3" t="s">
        <v>441</v>
      </c>
      <c r="E525" s="3" t="s">
        <v>48</v>
      </c>
    </row>
    <row r="526" spans="1:5" x14ac:dyDescent="0.3">
      <c r="A526" s="3" t="s">
        <v>381</v>
      </c>
      <c r="B526" s="3">
        <v>2</v>
      </c>
      <c r="C526" s="3" t="s">
        <v>434</v>
      </c>
      <c r="D526" s="3" t="s">
        <v>433</v>
      </c>
      <c r="E526" s="3" t="s">
        <v>48</v>
      </c>
    </row>
    <row r="527" spans="1:5" x14ac:dyDescent="0.3">
      <c r="A527" s="3" t="s">
        <v>381</v>
      </c>
      <c r="B527" s="3">
        <v>3</v>
      </c>
      <c r="C527" s="3" t="s">
        <v>438</v>
      </c>
      <c r="D527" s="3" t="s">
        <v>433</v>
      </c>
      <c r="E527" s="3" t="s">
        <v>48</v>
      </c>
    </row>
    <row r="528" spans="1:5" x14ac:dyDescent="0.3">
      <c r="A528" s="3" t="s">
        <v>381</v>
      </c>
      <c r="B528" s="3">
        <v>4</v>
      </c>
      <c r="C528" s="3" t="s">
        <v>439</v>
      </c>
      <c r="D528" s="3" t="s">
        <v>433</v>
      </c>
      <c r="E528" s="3" t="s">
        <v>31</v>
      </c>
    </row>
    <row r="529" spans="1:5" x14ac:dyDescent="0.3">
      <c r="A529" s="3" t="s">
        <v>384</v>
      </c>
      <c r="B529" s="3">
        <v>1</v>
      </c>
      <c r="C529" s="3" t="s">
        <v>435</v>
      </c>
      <c r="D529" s="3" t="s">
        <v>436</v>
      </c>
      <c r="E529" s="3" t="s">
        <v>48</v>
      </c>
    </row>
    <row r="530" spans="1:5" x14ac:dyDescent="0.3">
      <c r="A530" s="3" t="s">
        <v>384</v>
      </c>
      <c r="B530" s="3">
        <v>2</v>
      </c>
      <c r="C530" s="3" t="s">
        <v>437</v>
      </c>
      <c r="D530" s="3" t="s">
        <v>433</v>
      </c>
      <c r="E530" s="3" t="s">
        <v>31</v>
      </c>
    </row>
    <row r="531" spans="1:5" x14ac:dyDescent="0.3">
      <c r="A531" s="3" t="s">
        <v>384</v>
      </c>
      <c r="B531" s="3">
        <v>3</v>
      </c>
      <c r="C531" s="3" t="s">
        <v>434</v>
      </c>
      <c r="D531" s="3" t="s">
        <v>433</v>
      </c>
      <c r="E531" s="3" t="s">
        <v>31</v>
      </c>
    </row>
    <row r="532" spans="1:5" x14ac:dyDescent="0.3">
      <c r="A532" s="3" t="s">
        <v>388</v>
      </c>
      <c r="B532" s="3">
        <v>1</v>
      </c>
      <c r="C532" s="3" t="s">
        <v>432</v>
      </c>
      <c r="D532" s="3" t="s">
        <v>433</v>
      </c>
      <c r="E532" s="3" t="s">
        <v>48</v>
      </c>
    </row>
    <row r="533" spans="1:5" x14ac:dyDescent="0.3">
      <c r="A533" s="3" t="s">
        <v>388</v>
      </c>
      <c r="B533" s="3">
        <v>2</v>
      </c>
      <c r="C533" s="3" t="s">
        <v>434</v>
      </c>
      <c r="D533" s="3" t="s">
        <v>433</v>
      </c>
      <c r="E533" s="3" t="s">
        <v>48</v>
      </c>
    </row>
    <row r="534" spans="1:5" x14ac:dyDescent="0.3">
      <c r="A534" s="3" t="s">
        <v>388</v>
      </c>
      <c r="B534" s="3">
        <v>3</v>
      </c>
      <c r="C534" s="3" t="s">
        <v>438</v>
      </c>
      <c r="D534" s="3" t="s">
        <v>433</v>
      </c>
      <c r="E534" s="3" t="s">
        <v>48</v>
      </c>
    </row>
    <row r="535" spans="1:5" x14ac:dyDescent="0.3">
      <c r="A535" s="3" t="s">
        <v>391</v>
      </c>
      <c r="B535" s="3">
        <v>1</v>
      </c>
      <c r="C535" s="3" t="s">
        <v>435</v>
      </c>
      <c r="D535" s="3" t="s">
        <v>436</v>
      </c>
      <c r="E535" s="3" t="s">
        <v>48</v>
      </c>
    </row>
    <row r="536" spans="1:5" x14ac:dyDescent="0.3">
      <c r="A536" s="3" t="s">
        <v>393</v>
      </c>
      <c r="B536" s="3">
        <v>1</v>
      </c>
      <c r="C536" s="3" t="s">
        <v>432</v>
      </c>
      <c r="D536" s="3" t="s">
        <v>433</v>
      </c>
      <c r="E536" s="3" t="s">
        <v>48</v>
      </c>
    </row>
    <row r="537" spans="1:5" x14ac:dyDescent="0.3">
      <c r="A537" s="3" t="s">
        <v>393</v>
      </c>
      <c r="B537" s="3">
        <v>2</v>
      </c>
      <c r="C537" s="3" t="s">
        <v>434</v>
      </c>
      <c r="D537" s="3" t="s">
        <v>433</v>
      </c>
      <c r="E537" s="3" t="s">
        <v>48</v>
      </c>
    </row>
    <row r="538" spans="1:5" x14ac:dyDescent="0.3">
      <c r="A538" s="3" t="s">
        <v>395</v>
      </c>
      <c r="B538" s="3">
        <v>1</v>
      </c>
      <c r="C538" s="3" t="s">
        <v>439</v>
      </c>
      <c r="D538" s="3" t="s">
        <v>433</v>
      </c>
      <c r="E538" s="3" t="s">
        <v>48</v>
      </c>
    </row>
    <row r="539" spans="1:5" x14ac:dyDescent="0.3">
      <c r="A539" s="3" t="s">
        <v>395</v>
      </c>
      <c r="B539" s="3">
        <v>2</v>
      </c>
      <c r="C539" s="3" t="s">
        <v>435</v>
      </c>
      <c r="D539" s="3" t="s">
        <v>436</v>
      </c>
      <c r="E539" s="3" t="s">
        <v>31</v>
      </c>
    </row>
    <row r="540" spans="1:5" x14ac:dyDescent="0.3">
      <c r="A540" s="3" t="s">
        <v>395</v>
      </c>
      <c r="B540" s="3">
        <v>3</v>
      </c>
      <c r="C540" s="3" t="s">
        <v>440</v>
      </c>
      <c r="D540" s="3" t="s">
        <v>441</v>
      </c>
      <c r="E540" s="3" t="s">
        <v>73</v>
      </c>
    </row>
    <row r="541" spans="1:5" x14ac:dyDescent="0.3">
      <c r="A541" s="3" t="s">
        <v>397</v>
      </c>
      <c r="B541" s="3">
        <v>1</v>
      </c>
      <c r="C541" s="3" t="s">
        <v>435</v>
      </c>
      <c r="D541" s="3" t="s">
        <v>436</v>
      </c>
      <c r="E541" s="3" t="s">
        <v>48</v>
      </c>
    </row>
    <row r="542" spans="1:5" x14ac:dyDescent="0.3">
      <c r="A542" s="3" t="s">
        <v>397</v>
      </c>
      <c r="B542" s="3">
        <v>2</v>
      </c>
      <c r="C542" s="3" t="s">
        <v>438</v>
      </c>
      <c r="D542" s="3" t="s">
        <v>433</v>
      </c>
      <c r="E542" s="3" t="s">
        <v>48</v>
      </c>
    </row>
    <row r="543" spans="1:5" x14ac:dyDescent="0.3">
      <c r="A543" s="3" t="s">
        <v>397</v>
      </c>
      <c r="B543" s="3">
        <v>3</v>
      </c>
      <c r="C543" s="3" t="s">
        <v>434</v>
      </c>
      <c r="D543" s="3" t="s">
        <v>433</v>
      </c>
      <c r="E543" s="3" t="s">
        <v>31</v>
      </c>
    </row>
    <row r="544" spans="1:5" x14ac:dyDescent="0.3">
      <c r="A544" s="3" t="s">
        <v>399</v>
      </c>
      <c r="B544" s="3">
        <v>1</v>
      </c>
      <c r="C544" s="3" t="s">
        <v>432</v>
      </c>
      <c r="D544" s="3" t="s">
        <v>433</v>
      </c>
      <c r="E544" s="3" t="s">
        <v>48</v>
      </c>
    </row>
    <row r="545" spans="1:5" x14ac:dyDescent="0.3">
      <c r="A545" s="3" t="s">
        <v>403</v>
      </c>
      <c r="B545" s="3">
        <v>1</v>
      </c>
      <c r="C545" s="3" t="s">
        <v>434</v>
      </c>
      <c r="D545" s="3" t="s">
        <v>433</v>
      </c>
      <c r="E545" s="3" t="s">
        <v>48</v>
      </c>
    </row>
    <row r="546" spans="1:5" x14ac:dyDescent="0.3">
      <c r="A546" s="3" t="s">
        <v>403</v>
      </c>
      <c r="B546" s="3">
        <v>2</v>
      </c>
      <c r="C546" s="3" t="s">
        <v>438</v>
      </c>
      <c r="D546" s="3" t="s">
        <v>433</v>
      </c>
      <c r="E546" s="3" t="s">
        <v>31</v>
      </c>
    </row>
    <row r="547" spans="1:5" x14ac:dyDescent="0.3">
      <c r="A547" s="3" t="s">
        <v>403</v>
      </c>
      <c r="B547" s="3">
        <v>3</v>
      </c>
      <c r="C547" s="3" t="s">
        <v>439</v>
      </c>
      <c r="D547" s="3" t="s">
        <v>433</v>
      </c>
      <c r="E547" s="3" t="s">
        <v>31</v>
      </c>
    </row>
    <row r="548" spans="1:5" x14ac:dyDescent="0.3">
      <c r="A548" s="3" t="s">
        <v>406</v>
      </c>
      <c r="B548" s="3">
        <v>1</v>
      </c>
      <c r="C548" s="3" t="s">
        <v>435</v>
      </c>
      <c r="D548" s="3" t="s">
        <v>433</v>
      </c>
      <c r="E548" s="3" t="s">
        <v>48</v>
      </c>
    </row>
    <row r="549" spans="1:5" x14ac:dyDescent="0.3">
      <c r="A549" s="3" t="s">
        <v>406</v>
      </c>
      <c r="B549" s="3">
        <v>2</v>
      </c>
      <c r="C549" s="3" t="s">
        <v>437</v>
      </c>
      <c r="D549" s="3" t="s">
        <v>433</v>
      </c>
      <c r="E549" s="3" t="s">
        <v>31</v>
      </c>
    </row>
    <row r="550" spans="1:5" x14ac:dyDescent="0.3">
      <c r="A550" s="3" t="s">
        <v>411</v>
      </c>
      <c r="B550" s="3">
        <v>1</v>
      </c>
      <c r="C550" s="3" t="s">
        <v>439</v>
      </c>
      <c r="D550" s="3" t="s">
        <v>433</v>
      </c>
      <c r="E550" s="3" t="s">
        <v>48</v>
      </c>
    </row>
    <row r="551" spans="1:5" x14ac:dyDescent="0.3">
      <c r="A551" s="3" t="s">
        <v>413</v>
      </c>
      <c r="B551" s="3">
        <v>1</v>
      </c>
      <c r="C551" s="3" t="s">
        <v>432</v>
      </c>
      <c r="D551" s="3" t="s">
        <v>433</v>
      </c>
      <c r="E551" s="3" t="s">
        <v>48</v>
      </c>
    </row>
    <row r="552" spans="1:5" x14ac:dyDescent="0.3">
      <c r="A552" s="3" t="s">
        <v>413</v>
      </c>
      <c r="B552" s="3">
        <v>2</v>
      </c>
      <c r="C552" s="3" t="s">
        <v>434</v>
      </c>
      <c r="D552" s="3" t="s">
        <v>433</v>
      </c>
      <c r="E552" s="3" t="s">
        <v>48</v>
      </c>
    </row>
    <row r="553" spans="1:5" x14ac:dyDescent="0.3">
      <c r="A553" s="3" t="s">
        <v>413</v>
      </c>
      <c r="B553" s="3">
        <v>3</v>
      </c>
      <c r="C553" s="3" t="s">
        <v>437</v>
      </c>
      <c r="D553" s="3" t="s">
        <v>433</v>
      </c>
      <c r="E553" s="3" t="s">
        <v>48</v>
      </c>
    </row>
    <row r="554" spans="1:5" x14ac:dyDescent="0.3">
      <c r="A554" s="3" t="s">
        <v>417</v>
      </c>
      <c r="B554" s="3">
        <v>1</v>
      </c>
      <c r="C554" s="3" t="s">
        <v>432</v>
      </c>
      <c r="D554" s="3" t="s">
        <v>433</v>
      </c>
      <c r="E554" s="3" t="s">
        <v>48</v>
      </c>
    </row>
    <row r="555" spans="1:5" x14ac:dyDescent="0.3">
      <c r="A555" s="3" t="s">
        <v>417</v>
      </c>
      <c r="B555" s="3">
        <v>2</v>
      </c>
      <c r="C555" s="3" t="s">
        <v>434</v>
      </c>
      <c r="D555" s="3" t="s">
        <v>433</v>
      </c>
      <c r="E555" s="3" t="s">
        <v>48</v>
      </c>
    </row>
    <row r="556" spans="1:5" x14ac:dyDescent="0.3">
      <c r="A556" s="3" t="s">
        <v>419</v>
      </c>
      <c r="B556" s="3">
        <v>1</v>
      </c>
      <c r="C556" s="3" t="s">
        <v>434</v>
      </c>
      <c r="D556" s="3" t="s">
        <v>433</v>
      </c>
      <c r="E556" s="3" t="s">
        <v>48</v>
      </c>
    </row>
    <row r="557" spans="1:5" x14ac:dyDescent="0.3">
      <c r="A557" s="3" t="s">
        <v>419</v>
      </c>
      <c r="B557" s="3">
        <v>2</v>
      </c>
      <c r="C557" s="3" t="s">
        <v>438</v>
      </c>
      <c r="D557" s="3" t="s">
        <v>433</v>
      </c>
      <c r="E557" s="3" t="s">
        <v>48</v>
      </c>
    </row>
    <row r="558" spans="1:5" x14ac:dyDescent="0.3">
      <c r="A558" s="3" t="s">
        <v>419</v>
      </c>
      <c r="B558" s="3">
        <v>3</v>
      </c>
      <c r="C558" s="3" t="s">
        <v>439</v>
      </c>
      <c r="D558" s="3" t="s">
        <v>433</v>
      </c>
      <c r="E558" s="3" t="s">
        <v>31</v>
      </c>
    </row>
    <row r="559" spans="1:5" x14ac:dyDescent="0.3">
      <c r="A559" s="3" t="s">
        <v>419</v>
      </c>
      <c r="B559" s="3">
        <v>4</v>
      </c>
      <c r="C559" s="3" t="s">
        <v>440</v>
      </c>
      <c r="D559" s="3" t="s">
        <v>441</v>
      </c>
      <c r="E559" s="3" t="s">
        <v>31</v>
      </c>
    </row>
    <row r="560" spans="1:5" x14ac:dyDescent="0.3">
      <c r="A560" s="3" t="s">
        <v>422</v>
      </c>
      <c r="B560" s="3">
        <v>1</v>
      </c>
      <c r="C560" s="3" t="s">
        <v>434</v>
      </c>
      <c r="D560" s="3" t="s">
        <v>433</v>
      </c>
      <c r="E560" s="3" t="s">
        <v>48</v>
      </c>
    </row>
    <row r="561" spans="1:5" x14ac:dyDescent="0.3">
      <c r="A561" s="3" t="s">
        <v>422</v>
      </c>
      <c r="B561" s="3">
        <v>2</v>
      </c>
      <c r="C561" s="3" t="s">
        <v>439</v>
      </c>
      <c r="D561" s="3" t="s">
        <v>433</v>
      </c>
      <c r="E561" s="3" t="s">
        <v>31</v>
      </c>
    </row>
    <row r="562" spans="1:5" x14ac:dyDescent="0.3">
      <c r="A562" s="3" t="s">
        <v>422</v>
      </c>
      <c r="B562" s="3">
        <v>3</v>
      </c>
      <c r="C562" s="3" t="s">
        <v>438</v>
      </c>
      <c r="D562" s="3" t="s">
        <v>433</v>
      </c>
      <c r="E562" s="3" t="s">
        <v>31</v>
      </c>
    </row>
    <row r="563" spans="1:5" x14ac:dyDescent="0.3">
      <c r="A563" s="3" t="s">
        <v>426</v>
      </c>
      <c r="B563" s="3">
        <v>1</v>
      </c>
      <c r="C563" s="3" t="s">
        <v>439</v>
      </c>
      <c r="D563" s="3" t="s">
        <v>433</v>
      </c>
      <c r="E563" s="3" t="s">
        <v>48</v>
      </c>
    </row>
    <row r="564" spans="1:5" x14ac:dyDescent="0.3">
      <c r="A564" s="3" t="s">
        <v>426</v>
      </c>
      <c r="B564" s="3">
        <v>2</v>
      </c>
      <c r="C564" s="3" t="s">
        <v>434</v>
      </c>
      <c r="D564" s="3" t="s">
        <v>433</v>
      </c>
      <c r="E564" s="3" t="s">
        <v>48</v>
      </c>
    </row>
    <row r="565" spans="1:5" x14ac:dyDescent="0.3">
      <c r="A565" s="3" t="s">
        <v>426</v>
      </c>
      <c r="B565" s="3">
        <v>3</v>
      </c>
      <c r="C565" s="3" t="s">
        <v>438</v>
      </c>
      <c r="D565" s="3" t="s">
        <v>433</v>
      </c>
      <c r="E565" s="3" t="s">
        <v>31</v>
      </c>
    </row>
  </sheetData>
  <autoFilter ref="D1:D283" xr:uid="{00000000-0001-0000-01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42"/>
  <sheetViews>
    <sheetView topLeftCell="A13" workbookViewId="0">
      <selection activeCell="V2" sqref="V2:W42"/>
    </sheetView>
  </sheetViews>
  <sheetFormatPr defaultRowHeight="14.4" x14ac:dyDescent="0.3"/>
  <sheetData>
    <row r="1" spans="1:23" x14ac:dyDescent="0.3">
      <c r="A1" s="1" t="s">
        <v>4</v>
      </c>
      <c r="B1" s="1" t="s">
        <v>15</v>
      </c>
      <c r="C1" s="1" t="s">
        <v>443</v>
      </c>
      <c r="D1" s="1" t="s">
        <v>21</v>
      </c>
      <c r="E1" s="1" t="s">
        <v>19</v>
      </c>
      <c r="F1" s="1" t="s">
        <v>20</v>
      </c>
      <c r="G1" s="1" t="s">
        <v>444</v>
      </c>
      <c r="H1" s="1" t="s">
        <v>445</v>
      </c>
      <c r="I1" s="1" t="s">
        <v>446</v>
      </c>
      <c r="J1" s="1" t="s">
        <v>22</v>
      </c>
      <c r="K1" s="1" t="s">
        <v>23</v>
      </c>
      <c r="L1" s="1" t="s">
        <v>447</v>
      </c>
      <c r="M1" s="1" t="s">
        <v>448</v>
      </c>
      <c r="N1" s="1" t="s">
        <v>449</v>
      </c>
      <c r="O1" s="1" t="s">
        <v>450</v>
      </c>
      <c r="P1" s="1" t="s">
        <v>451</v>
      </c>
      <c r="Q1" s="1" t="s">
        <v>24</v>
      </c>
      <c r="R1" s="1" t="s">
        <v>452</v>
      </c>
      <c r="S1" s="1" t="s">
        <v>16</v>
      </c>
      <c r="T1" s="1" t="s">
        <v>17</v>
      </c>
      <c r="U1" s="1" t="s">
        <v>18</v>
      </c>
    </row>
    <row r="2" spans="1:23" x14ac:dyDescent="0.3">
      <c r="A2" t="s">
        <v>29</v>
      </c>
      <c r="B2" t="s">
        <v>32</v>
      </c>
      <c r="C2">
        <v>5</v>
      </c>
      <c r="D2">
        <v>30000</v>
      </c>
      <c r="E2">
        <v>66.900000000000006</v>
      </c>
      <c r="F2">
        <v>0.27100000000000002</v>
      </c>
      <c r="G2">
        <v>0</v>
      </c>
      <c r="H2">
        <v>0</v>
      </c>
      <c r="I2">
        <v>5</v>
      </c>
      <c r="J2">
        <v>0.27300000000000002</v>
      </c>
      <c r="K2">
        <v>7.3899999999999993E-2</v>
      </c>
      <c r="L2">
        <v>1.4</v>
      </c>
      <c r="M2">
        <v>0.46700000000000003</v>
      </c>
      <c r="N2">
        <v>0.72899999999999998</v>
      </c>
      <c r="O2">
        <v>0.66900000000000004</v>
      </c>
      <c r="P2">
        <v>0.70499999999999996</v>
      </c>
      <c r="Q2">
        <v>0.58599999999999997</v>
      </c>
      <c r="R2">
        <v>3.0599999999999999E-2</v>
      </c>
      <c r="S2">
        <v>100</v>
      </c>
      <c r="T2">
        <v>1</v>
      </c>
      <c r="U2" t="s">
        <v>33</v>
      </c>
      <c r="V2" s="4" t="s">
        <v>29</v>
      </c>
      <c r="W2" s="4">
        <v>100</v>
      </c>
    </row>
    <row r="3" spans="1:23" x14ac:dyDescent="0.3">
      <c r="A3" t="s">
        <v>125</v>
      </c>
      <c r="B3" t="s">
        <v>126</v>
      </c>
      <c r="C3">
        <v>6</v>
      </c>
      <c r="D3">
        <v>18100</v>
      </c>
      <c r="E3">
        <v>65</v>
      </c>
      <c r="F3">
        <v>0.31900000000000001</v>
      </c>
      <c r="G3">
        <v>0</v>
      </c>
      <c r="H3">
        <v>0</v>
      </c>
      <c r="I3">
        <v>6</v>
      </c>
      <c r="J3">
        <v>0.191</v>
      </c>
      <c r="K3">
        <v>6.08E-2</v>
      </c>
      <c r="L3">
        <v>1.2</v>
      </c>
      <c r="M3">
        <v>0.4</v>
      </c>
      <c r="N3">
        <v>0.68100000000000005</v>
      </c>
      <c r="O3">
        <v>0.65</v>
      </c>
      <c r="P3">
        <v>0.66900000000000004</v>
      </c>
      <c r="Q3">
        <v>0.53400000000000003</v>
      </c>
      <c r="R3">
        <v>2.8299999999999999E-2</v>
      </c>
      <c r="S3">
        <v>92.3</v>
      </c>
      <c r="T3">
        <v>2</v>
      </c>
      <c r="U3" t="s">
        <v>33</v>
      </c>
      <c r="V3" s="4" t="s">
        <v>125</v>
      </c>
      <c r="W3" s="4">
        <v>92.3</v>
      </c>
    </row>
    <row r="4" spans="1:23" x14ac:dyDescent="0.3">
      <c r="A4" t="s">
        <v>54</v>
      </c>
      <c r="B4" t="s">
        <v>55</v>
      </c>
      <c r="C4">
        <v>6</v>
      </c>
      <c r="D4">
        <v>142000</v>
      </c>
      <c r="E4">
        <v>68.400000000000006</v>
      </c>
      <c r="F4">
        <v>0.25900000000000001</v>
      </c>
      <c r="G4">
        <v>2</v>
      </c>
      <c r="H4">
        <v>0</v>
      </c>
      <c r="I4">
        <v>4</v>
      </c>
      <c r="J4">
        <v>0.6</v>
      </c>
      <c r="K4">
        <v>0.15540000000000001</v>
      </c>
      <c r="L4">
        <v>2.8</v>
      </c>
      <c r="M4">
        <v>0.93300000000000005</v>
      </c>
      <c r="N4">
        <v>0.74099999999999999</v>
      </c>
      <c r="O4">
        <v>0.68400000000000005</v>
      </c>
      <c r="P4">
        <v>0.71799999999999997</v>
      </c>
      <c r="Q4">
        <v>0.82599999999999996</v>
      </c>
      <c r="R4">
        <v>2.7099999999999999E-2</v>
      </c>
      <c r="S4">
        <v>88.3</v>
      </c>
      <c r="T4">
        <v>3</v>
      </c>
      <c r="U4" t="s">
        <v>33</v>
      </c>
      <c r="V4" s="4" t="s">
        <v>54</v>
      </c>
      <c r="W4" s="4">
        <v>88.3</v>
      </c>
    </row>
    <row r="5" spans="1:23" x14ac:dyDescent="0.3">
      <c r="A5" t="s">
        <v>409</v>
      </c>
      <c r="B5" t="s">
        <v>410</v>
      </c>
      <c r="C5">
        <v>1</v>
      </c>
      <c r="D5">
        <v>7500</v>
      </c>
      <c r="E5">
        <v>47.3</v>
      </c>
      <c r="F5">
        <v>0.63200000000000001</v>
      </c>
      <c r="G5">
        <v>0</v>
      </c>
      <c r="H5">
        <v>0</v>
      </c>
      <c r="I5">
        <v>1</v>
      </c>
      <c r="J5">
        <v>7.9000000000000001E-2</v>
      </c>
      <c r="K5">
        <v>4.99E-2</v>
      </c>
      <c r="L5">
        <v>1.9</v>
      </c>
      <c r="M5">
        <v>0.63300000000000001</v>
      </c>
      <c r="N5">
        <v>0.36799999999999999</v>
      </c>
      <c r="O5">
        <v>0.47299999999999998</v>
      </c>
      <c r="P5">
        <v>0.41</v>
      </c>
      <c r="Q5">
        <v>0.52200000000000002</v>
      </c>
      <c r="R5">
        <v>2.3900000000000001E-2</v>
      </c>
      <c r="S5">
        <v>77.5</v>
      </c>
      <c r="T5">
        <v>4</v>
      </c>
      <c r="U5" t="s">
        <v>33</v>
      </c>
      <c r="V5" s="4" t="s">
        <v>409</v>
      </c>
      <c r="W5" s="4">
        <v>77.5</v>
      </c>
    </row>
    <row r="6" spans="1:23" x14ac:dyDescent="0.3">
      <c r="A6" t="s">
        <v>198</v>
      </c>
      <c r="B6" t="s">
        <v>199</v>
      </c>
      <c r="C6">
        <v>1</v>
      </c>
      <c r="D6">
        <v>7500</v>
      </c>
      <c r="E6">
        <v>55</v>
      </c>
      <c r="F6">
        <v>0.49</v>
      </c>
      <c r="G6">
        <v>0</v>
      </c>
      <c r="H6">
        <v>0</v>
      </c>
      <c r="I6">
        <v>1</v>
      </c>
      <c r="J6">
        <v>9.4E-2</v>
      </c>
      <c r="K6">
        <v>4.5900000000000003E-2</v>
      </c>
      <c r="L6">
        <v>1.6</v>
      </c>
      <c r="M6">
        <v>0.53300000000000003</v>
      </c>
      <c r="N6">
        <v>0.51</v>
      </c>
      <c r="O6">
        <v>0.55000000000000004</v>
      </c>
      <c r="P6">
        <v>0.52600000000000002</v>
      </c>
      <c r="Q6">
        <v>0.53</v>
      </c>
      <c r="R6">
        <v>2.1600000000000001E-2</v>
      </c>
      <c r="S6">
        <v>69.8</v>
      </c>
      <c r="T6">
        <v>5</v>
      </c>
      <c r="U6" t="s">
        <v>33</v>
      </c>
      <c r="V6" s="4" t="s">
        <v>198</v>
      </c>
      <c r="W6" s="4">
        <v>69.8</v>
      </c>
    </row>
    <row r="7" spans="1:23" x14ac:dyDescent="0.3">
      <c r="A7" t="s">
        <v>168</v>
      </c>
      <c r="B7" t="s">
        <v>169</v>
      </c>
      <c r="C7">
        <v>10</v>
      </c>
      <c r="D7">
        <v>23000</v>
      </c>
      <c r="E7">
        <v>54.9</v>
      </c>
      <c r="F7">
        <v>0.47499999999999998</v>
      </c>
      <c r="G7">
        <v>1</v>
      </c>
      <c r="H7">
        <v>0</v>
      </c>
      <c r="I7">
        <v>9</v>
      </c>
      <c r="J7">
        <v>0.17699999999999999</v>
      </c>
      <c r="K7">
        <v>8.4000000000000005E-2</v>
      </c>
      <c r="L7">
        <v>4.2</v>
      </c>
      <c r="M7">
        <v>1</v>
      </c>
      <c r="N7">
        <v>0.52500000000000002</v>
      </c>
      <c r="O7">
        <v>0.54900000000000004</v>
      </c>
      <c r="P7">
        <v>0.53500000000000003</v>
      </c>
      <c r="Q7">
        <v>0.76700000000000002</v>
      </c>
      <c r="R7">
        <v>1.9599999999999999E-2</v>
      </c>
      <c r="S7">
        <v>63.1</v>
      </c>
      <c r="T7">
        <v>6</v>
      </c>
      <c r="U7" t="s">
        <v>39</v>
      </c>
      <c r="V7" s="4" t="s">
        <v>168</v>
      </c>
      <c r="W7" s="4">
        <v>63.1</v>
      </c>
    </row>
    <row r="8" spans="1:23" x14ac:dyDescent="0.3">
      <c r="A8" t="s">
        <v>108</v>
      </c>
      <c r="B8" t="s">
        <v>109</v>
      </c>
      <c r="C8">
        <v>6</v>
      </c>
      <c r="D8">
        <v>26500</v>
      </c>
      <c r="E8">
        <v>73.599999999999994</v>
      </c>
      <c r="F8">
        <v>0.218</v>
      </c>
      <c r="G8">
        <v>0</v>
      </c>
      <c r="H8">
        <v>0</v>
      </c>
      <c r="I8">
        <v>6</v>
      </c>
      <c r="J8">
        <v>0.24099999999999999</v>
      </c>
      <c r="K8">
        <v>5.2499999999999998E-2</v>
      </c>
      <c r="L8">
        <v>1.5</v>
      </c>
      <c r="M8">
        <v>0.5</v>
      </c>
      <c r="N8">
        <v>0.78200000000000003</v>
      </c>
      <c r="O8">
        <v>0.73599999999999999</v>
      </c>
      <c r="P8">
        <v>0.76400000000000001</v>
      </c>
      <c r="Q8">
        <v>0.63200000000000001</v>
      </c>
      <c r="R8">
        <v>1.9300000000000001E-2</v>
      </c>
      <c r="S8">
        <v>62.1</v>
      </c>
      <c r="T8">
        <v>7</v>
      </c>
      <c r="U8" t="s">
        <v>39</v>
      </c>
      <c r="V8" s="4" t="s">
        <v>108</v>
      </c>
      <c r="W8" s="4">
        <v>62.1</v>
      </c>
    </row>
    <row r="9" spans="1:23" x14ac:dyDescent="0.3">
      <c r="A9" t="s">
        <v>191</v>
      </c>
      <c r="B9" t="s">
        <v>190</v>
      </c>
      <c r="C9">
        <v>4</v>
      </c>
      <c r="D9">
        <v>15750</v>
      </c>
      <c r="E9">
        <v>68.099999999999994</v>
      </c>
      <c r="F9">
        <v>0.254</v>
      </c>
      <c r="G9">
        <v>0</v>
      </c>
      <c r="H9">
        <v>0</v>
      </c>
      <c r="I9">
        <v>4</v>
      </c>
      <c r="J9">
        <v>0.21</v>
      </c>
      <c r="K9">
        <v>5.33E-2</v>
      </c>
      <c r="L9">
        <v>2.4</v>
      </c>
      <c r="M9">
        <v>0.8</v>
      </c>
      <c r="N9">
        <v>0.746</v>
      </c>
      <c r="O9">
        <v>0.68100000000000005</v>
      </c>
      <c r="P9">
        <v>0.72</v>
      </c>
      <c r="Q9">
        <v>0.76</v>
      </c>
      <c r="R9">
        <v>1.2800000000000001E-2</v>
      </c>
      <c r="S9">
        <v>40.299999999999997</v>
      </c>
      <c r="T9">
        <v>8</v>
      </c>
      <c r="U9" t="s">
        <v>39</v>
      </c>
      <c r="V9" s="4" t="s">
        <v>191</v>
      </c>
      <c r="W9" s="4">
        <v>40.299999999999997</v>
      </c>
    </row>
    <row r="10" spans="1:23" x14ac:dyDescent="0.3">
      <c r="A10" t="s">
        <v>88</v>
      </c>
      <c r="B10" t="s">
        <v>89</v>
      </c>
      <c r="C10">
        <v>6</v>
      </c>
      <c r="D10">
        <v>15950</v>
      </c>
      <c r="E10">
        <v>73.3</v>
      </c>
      <c r="F10">
        <v>0.21299999999999999</v>
      </c>
      <c r="G10">
        <v>0</v>
      </c>
      <c r="H10">
        <v>0</v>
      </c>
      <c r="I10">
        <v>6</v>
      </c>
      <c r="J10">
        <v>0.17699999999999999</v>
      </c>
      <c r="K10">
        <v>3.7699999999999997E-2</v>
      </c>
      <c r="L10">
        <v>1.8</v>
      </c>
      <c r="M10">
        <v>0.6</v>
      </c>
      <c r="N10">
        <v>0.78700000000000003</v>
      </c>
      <c r="O10">
        <v>0.73299999999999998</v>
      </c>
      <c r="P10">
        <v>0.76500000000000001</v>
      </c>
      <c r="Q10">
        <v>0.68300000000000005</v>
      </c>
      <c r="R10">
        <v>1.2E-2</v>
      </c>
      <c r="S10">
        <v>37.6</v>
      </c>
      <c r="T10">
        <v>9</v>
      </c>
      <c r="U10" t="s">
        <v>39</v>
      </c>
      <c r="V10" s="4" t="s">
        <v>88</v>
      </c>
      <c r="W10" s="4">
        <v>37.6</v>
      </c>
    </row>
    <row r="11" spans="1:23" x14ac:dyDescent="0.3">
      <c r="A11" t="s">
        <v>319</v>
      </c>
      <c r="B11" t="s">
        <v>320</v>
      </c>
      <c r="C11">
        <v>1</v>
      </c>
      <c r="D11">
        <v>12000</v>
      </c>
      <c r="E11">
        <v>78.2</v>
      </c>
      <c r="F11">
        <v>0.16200000000000001</v>
      </c>
      <c r="G11">
        <v>0</v>
      </c>
      <c r="H11">
        <v>0</v>
      </c>
      <c r="I11">
        <v>1</v>
      </c>
      <c r="J11">
        <v>0.185</v>
      </c>
      <c r="K11">
        <v>2.9899999999999999E-2</v>
      </c>
      <c r="L11">
        <v>1.4</v>
      </c>
      <c r="M11">
        <v>0.46700000000000003</v>
      </c>
      <c r="N11">
        <v>0.83799999999999997</v>
      </c>
      <c r="O11">
        <v>0.78200000000000003</v>
      </c>
      <c r="P11">
        <v>0.81599999999999995</v>
      </c>
      <c r="Q11">
        <v>0.64100000000000001</v>
      </c>
      <c r="R11">
        <v>1.0699999999999999E-2</v>
      </c>
      <c r="S11">
        <v>33.200000000000003</v>
      </c>
      <c r="T11">
        <v>10</v>
      </c>
      <c r="U11" t="s">
        <v>39</v>
      </c>
      <c r="V11" s="4" t="s">
        <v>319</v>
      </c>
      <c r="W11" s="4">
        <v>33.200000000000003</v>
      </c>
    </row>
    <row r="12" spans="1:23" x14ac:dyDescent="0.3">
      <c r="A12" t="s">
        <v>135</v>
      </c>
      <c r="B12" t="s">
        <v>136</v>
      </c>
      <c r="C12">
        <v>14</v>
      </c>
      <c r="D12">
        <v>67450</v>
      </c>
      <c r="E12">
        <v>60.1</v>
      </c>
      <c r="F12">
        <v>0.38600000000000001</v>
      </c>
      <c r="G12">
        <v>3</v>
      </c>
      <c r="H12">
        <v>0</v>
      </c>
      <c r="I12">
        <v>11</v>
      </c>
      <c r="J12">
        <v>0.13</v>
      </c>
      <c r="K12">
        <v>5.0099999999999999E-2</v>
      </c>
      <c r="L12">
        <v>5.6</v>
      </c>
      <c r="M12">
        <v>1</v>
      </c>
      <c r="N12">
        <v>0.61399999999999999</v>
      </c>
      <c r="O12">
        <v>0.60099999999999998</v>
      </c>
      <c r="P12">
        <v>0.60899999999999999</v>
      </c>
      <c r="Q12">
        <v>0.80400000000000005</v>
      </c>
      <c r="R12">
        <v>9.7999999999999997E-3</v>
      </c>
      <c r="S12">
        <v>30.2</v>
      </c>
      <c r="T12">
        <v>11</v>
      </c>
      <c r="U12" t="s">
        <v>41</v>
      </c>
      <c r="V12" s="4" t="s">
        <v>135</v>
      </c>
      <c r="W12" s="4">
        <v>30.2</v>
      </c>
    </row>
    <row r="13" spans="1:23" x14ac:dyDescent="0.3">
      <c r="A13" t="s">
        <v>114</v>
      </c>
      <c r="B13" t="s">
        <v>113</v>
      </c>
      <c r="C13">
        <v>3</v>
      </c>
      <c r="D13">
        <v>12000</v>
      </c>
      <c r="E13">
        <v>50.1</v>
      </c>
      <c r="F13">
        <v>0.502</v>
      </c>
      <c r="G13">
        <v>1</v>
      </c>
      <c r="H13">
        <v>0</v>
      </c>
      <c r="I13">
        <v>2</v>
      </c>
      <c r="J13">
        <v>0.04</v>
      </c>
      <c r="K13">
        <v>2.01E-2</v>
      </c>
      <c r="L13">
        <v>2</v>
      </c>
      <c r="M13">
        <v>0.66700000000000004</v>
      </c>
      <c r="N13">
        <v>0.498</v>
      </c>
      <c r="O13">
        <v>0.501</v>
      </c>
      <c r="P13">
        <v>0.499</v>
      </c>
      <c r="Q13">
        <v>0.58299999999999996</v>
      </c>
      <c r="R13">
        <v>8.3999999999999995E-3</v>
      </c>
      <c r="S13">
        <v>25.5</v>
      </c>
      <c r="T13">
        <v>12</v>
      </c>
      <c r="U13" t="s">
        <v>41</v>
      </c>
      <c r="V13" s="4" t="s">
        <v>114</v>
      </c>
      <c r="W13" s="4">
        <v>25.5</v>
      </c>
    </row>
    <row r="14" spans="1:23" x14ac:dyDescent="0.3">
      <c r="A14" t="s">
        <v>251</v>
      </c>
      <c r="B14" t="s">
        <v>103</v>
      </c>
      <c r="C14">
        <v>1</v>
      </c>
      <c r="D14">
        <v>12000</v>
      </c>
      <c r="E14">
        <v>70</v>
      </c>
      <c r="F14">
        <v>0.23</v>
      </c>
      <c r="G14">
        <v>0</v>
      </c>
      <c r="H14">
        <v>0</v>
      </c>
      <c r="I14">
        <v>1</v>
      </c>
      <c r="J14">
        <v>0.218</v>
      </c>
      <c r="K14">
        <v>5.0200000000000002E-2</v>
      </c>
      <c r="L14">
        <v>2.8</v>
      </c>
      <c r="M14">
        <v>0.93300000000000005</v>
      </c>
      <c r="N14">
        <v>0.77</v>
      </c>
      <c r="O14">
        <v>0.7</v>
      </c>
      <c r="P14">
        <v>0.74199999999999999</v>
      </c>
      <c r="Q14">
        <v>0.83799999999999997</v>
      </c>
      <c r="R14">
        <v>8.0999999999999996E-3</v>
      </c>
      <c r="S14">
        <v>24.5</v>
      </c>
      <c r="T14">
        <v>13</v>
      </c>
      <c r="U14" t="s">
        <v>41</v>
      </c>
      <c r="V14" s="4" t="s">
        <v>251</v>
      </c>
      <c r="W14" s="4">
        <v>24.5</v>
      </c>
    </row>
    <row r="15" spans="1:23" x14ac:dyDescent="0.3">
      <c r="A15" t="s">
        <v>46</v>
      </c>
      <c r="B15" t="s">
        <v>49</v>
      </c>
      <c r="C15">
        <v>1</v>
      </c>
      <c r="D15">
        <v>8000</v>
      </c>
      <c r="E15">
        <v>70.5</v>
      </c>
      <c r="F15">
        <v>0.23499999999999999</v>
      </c>
      <c r="G15">
        <v>0</v>
      </c>
      <c r="H15">
        <v>0</v>
      </c>
      <c r="I15">
        <v>1</v>
      </c>
      <c r="J15">
        <v>8.4000000000000005E-2</v>
      </c>
      <c r="K15">
        <v>1.9800000000000002E-2</v>
      </c>
      <c r="L15">
        <v>1.8</v>
      </c>
      <c r="M15">
        <v>0.6</v>
      </c>
      <c r="N15">
        <v>0.76500000000000001</v>
      </c>
      <c r="O15">
        <v>0.70499999999999996</v>
      </c>
      <c r="P15">
        <v>0.74099999999999999</v>
      </c>
      <c r="Q15">
        <v>0.67</v>
      </c>
      <c r="R15">
        <v>6.4999999999999997E-3</v>
      </c>
      <c r="S15">
        <v>19.100000000000001</v>
      </c>
      <c r="T15">
        <v>14</v>
      </c>
      <c r="U15" t="s">
        <v>41</v>
      </c>
      <c r="V15" s="4" t="s">
        <v>46</v>
      </c>
      <c r="W15" s="4">
        <v>19.100000000000001</v>
      </c>
    </row>
    <row r="16" spans="1:23" x14ac:dyDescent="0.3">
      <c r="A16" t="s">
        <v>157</v>
      </c>
      <c r="B16" t="s">
        <v>158</v>
      </c>
      <c r="C16">
        <v>4</v>
      </c>
      <c r="D16">
        <v>12000</v>
      </c>
      <c r="E16">
        <v>74.5</v>
      </c>
      <c r="F16">
        <v>0.19900000000000001</v>
      </c>
      <c r="G16">
        <v>0</v>
      </c>
      <c r="H16">
        <v>0</v>
      </c>
      <c r="I16">
        <v>4</v>
      </c>
      <c r="J16">
        <v>8.5999999999999993E-2</v>
      </c>
      <c r="K16">
        <v>1.7100000000000001E-2</v>
      </c>
      <c r="L16">
        <v>1.5</v>
      </c>
      <c r="M16">
        <v>0.5</v>
      </c>
      <c r="N16">
        <v>0.80100000000000005</v>
      </c>
      <c r="O16">
        <v>0.745</v>
      </c>
      <c r="P16">
        <v>0.77900000000000003</v>
      </c>
      <c r="Q16">
        <v>0.63900000000000001</v>
      </c>
      <c r="R16">
        <v>6.1999999999999998E-3</v>
      </c>
      <c r="S16">
        <v>18.100000000000001</v>
      </c>
      <c r="T16">
        <v>15</v>
      </c>
      <c r="U16" t="s">
        <v>41</v>
      </c>
      <c r="V16" s="4" t="s">
        <v>157</v>
      </c>
      <c r="W16" s="4">
        <v>18.100000000000001</v>
      </c>
    </row>
    <row r="17" spans="1:23" x14ac:dyDescent="0.3">
      <c r="A17" t="s">
        <v>119</v>
      </c>
      <c r="B17" t="s">
        <v>120</v>
      </c>
      <c r="C17">
        <v>7</v>
      </c>
      <c r="D17">
        <v>31300</v>
      </c>
      <c r="E17">
        <v>77</v>
      </c>
      <c r="F17">
        <v>0.16400000000000001</v>
      </c>
      <c r="G17">
        <v>0</v>
      </c>
      <c r="H17">
        <v>0</v>
      </c>
      <c r="I17">
        <v>7</v>
      </c>
      <c r="J17">
        <v>0.125</v>
      </c>
      <c r="K17">
        <v>2.0500000000000001E-2</v>
      </c>
      <c r="L17">
        <v>1.8</v>
      </c>
      <c r="M17">
        <v>0.6</v>
      </c>
      <c r="N17">
        <v>0.83599999999999997</v>
      </c>
      <c r="O17">
        <v>0.77</v>
      </c>
      <c r="P17">
        <v>0.81</v>
      </c>
      <c r="Q17">
        <v>0.70499999999999996</v>
      </c>
      <c r="R17">
        <v>6.1000000000000004E-3</v>
      </c>
      <c r="S17">
        <v>17.8</v>
      </c>
      <c r="T17">
        <v>16</v>
      </c>
      <c r="U17" t="s">
        <v>41</v>
      </c>
      <c r="V17" s="4" t="s">
        <v>119</v>
      </c>
      <c r="W17" s="4">
        <v>17.8</v>
      </c>
    </row>
    <row r="18" spans="1:23" x14ac:dyDescent="0.3">
      <c r="A18" t="s">
        <v>141</v>
      </c>
      <c r="B18" t="s">
        <v>142</v>
      </c>
      <c r="C18">
        <v>6</v>
      </c>
      <c r="D18">
        <v>22500</v>
      </c>
      <c r="E18">
        <v>78.2</v>
      </c>
      <c r="F18">
        <v>0.15</v>
      </c>
      <c r="G18">
        <v>0</v>
      </c>
      <c r="H18">
        <v>0</v>
      </c>
      <c r="I18">
        <v>6</v>
      </c>
      <c r="J18">
        <v>0.10199999999999999</v>
      </c>
      <c r="K18">
        <v>1.5299999999999999E-2</v>
      </c>
      <c r="L18">
        <v>1.4</v>
      </c>
      <c r="M18">
        <v>0.46700000000000003</v>
      </c>
      <c r="N18">
        <v>0.85</v>
      </c>
      <c r="O18">
        <v>0.78200000000000003</v>
      </c>
      <c r="P18">
        <v>0.82299999999999995</v>
      </c>
      <c r="Q18">
        <v>0.64500000000000002</v>
      </c>
      <c r="R18">
        <v>5.4999999999999997E-3</v>
      </c>
      <c r="S18">
        <v>15.8</v>
      </c>
      <c r="T18">
        <v>17</v>
      </c>
      <c r="U18" t="s">
        <v>41</v>
      </c>
      <c r="V18" s="4" t="s">
        <v>141</v>
      </c>
      <c r="W18" s="4">
        <v>15.8</v>
      </c>
    </row>
    <row r="19" spans="1:23" x14ac:dyDescent="0.3">
      <c r="A19" t="s">
        <v>99</v>
      </c>
      <c r="B19" t="s">
        <v>98</v>
      </c>
      <c r="C19">
        <v>2</v>
      </c>
      <c r="D19">
        <v>15000</v>
      </c>
      <c r="E19">
        <v>70.5</v>
      </c>
      <c r="F19">
        <v>0.22700000000000001</v>
      </c>
      <c r="G19">
        <v>0</v>
      </c>
      <c r="H19">
        <v>0</v>
      </c>
      <c r="I19">
        <v>2</v>
      </c>
      <c r="J19">
        <v>8.3000000000000004E-2</v>
      </c>
      <c r="K19">
        <v>1.89E-2</v>
      </c>
      <c r="L19">
        <v>2.2000000000000002</v>
      </c>
      <c r="M19">
        <v>0.73299999999999998</v>
      </c>
      <c r="N19">
        <v>0.77300000000000002</v>
      </c>
      <c r="O19">
        <v>0.70499999999999996</v>
      </c>
      <c r="P19">
        <v>0.746</v>
      </c>
      <c r="Q19">
        <v>0.74</v>
      </c>
      <c r="R19">
        <v>4.8999999999999998E-3</v>
      </c>
      <c r="S19">
        <v>13.8</v>
      </c>
      <c r="T19">
        <v>18</v>
      </c>
      <c r="U19" t="s">
        <v>41</v>
      </c>
      <c r="V19" s="4" t="s">
        <v>99</v>
      </c>
      <c r="W19" s="4">
        <v>13.8</v>
      </c>
    </row>
    <row r="20" spans="1:23" x14ac:dyDescent="0.3">
      <c r="A20" t="s">
        <v>60</v>
      </c>
      <c r="B20" t="s">
        <v>61</v>
      </c>
      <c r="C20">
        <v>4</v>
      </c>
      <c r="D20">
        <v>16750</v>
      </c>
      <c r="E20">
        <v>64.599999999999994</v>
      </c>
      <c r="F20">
        <v>0.315</v>
      </c>
      <c r="G20">
        <v>0</v>
      </c>
      <c r="H20">
        <v>0</v>
      </c>
      <c r="I20">
        <v>4</v>
      </c>
      <c r="J20">
        <v>9.2999999999999999E-2</v>
      </c>
      <c r="K20">
        <v>2.93E-2</v>
      </c>
      <c r="L20">
        <v>3.1</v>
      </c>
      <c r="M20">
        <v>1</v>
      </c>
      <c r="N20">
        <v>0.68500000000000005</v>
      </c>
      <c r="O20">
        <v>0.64600000000000002</v>
      </c>
      <c r="P20">
        <v>0.66900000000000004</v>
      </c>
      <c r="Q20">
        <v>0.83499999999999996</v>
      </c>
      <c r="R20">
        <v>4.7999999999999996E-3</v>
      </c>
      <c r="S20">
        <v>13.4</v>
      </c>
      <c r="T20">
        <v>19</v>
      </c>
      <c r="U20" t="s">
        <v>41</v>
      </c>
      <c r="V20" s="4" t="s">
        <v>60</v>
      </c>
      <c r="W20" s="4">
        <v>13.4</v>
      </c>
    </row>
    <row r="21" spans="1:23" x14ac:dyDescent="0.3">
      <c r="A21" t="s">
        <v>78</v>
      </c>
      <c r="B21" t="s">
        <v>79</v>
      </c>
      <c r="C21">
        <v>4</v>
      </c>
      <c r="D21">
        <v>9000</v>
      </c>
      <c r="E21">
        <v>67.599999999999994</v>
      </c>
      <c r="F21">
        <v>0.28599999999999998</v>
      </c>
      <c r="G21">
        <v>0</v>
      </c>
      <c r="H21">
        <v>0</v>
      </c>
      <c r="I21">
        <v>4</v>
      </c>
      <c r="J21">
        <v>5.6000000000000001E-2</v>
      </c>
      <c r="K21">
        <v>1.61E-2</v>
      </c>
      <c r="L21">
        <v>2.1</v>
      </c>
      <c r="M21">
        <v>0.7</v>
      </c>
      <c r="N21">
        <v>0.71399999999999997</v>
      </c>
      <c r="O21">
        <v>0.67600000000000005</v>
      </c>
      <c r="P21">
        <v>0.69899999999999995</v>
      </c>
      <c r="Q21">
        <v>0.69899999999999995</v>
      </c>
      <c r="R21">
        <v>4.7999999999999996E-3</v>
      </c>
      <c r="S21">
        <v>13.4</v>
      </c>
      <c r="T21">
        <v>20</v>
      </c>
      <c r="U21" t="s">
        <v>41</v>
      </c>
      <c r="V21" s="4" t="s">
        <v>78</v>
      </c>
      <c r="W21" s="4">
        <v>13.4</v>
      </c>
    </row>
    <row r="22" spans="1:23" x14ac:dyDescent="0.3">
      <c r="A22" t="s">
        <v>66</v>
      </c>
      <c r="B22" t="s">
        <v>68</v>
      </c>
      <c r="C22">
        <v>3</v>
      </c>
      <c r="D22">
        <v>2650</v>
      </c>
      <c r="E22">
        <v>55</v>
      </c>
      <c r="F22">
        <v>0.44500000000000001</v>
      </c>
      <c r="G22">
        <v>1</v>
      </c>
      <c r="H22">
        <v>0</v>
      </c>
      <c r="I22">
        <v>2</v>
      </c>
      <c r="J22">
        <v>2.4E-2</v>
      </c>
      <c r="K22">
        <v>1.0699999999999999E-2</v>
      </c>
      <c r="L22">
        <v>1.9</v>
      </c>
      <c r="M22">
        <v>0.63300000000000001</v>
      </c>
      <c r="N22">
        <v>0.55500000000000005</v>
      </c>
      <c r="O22">
        <v>0.55000000000000004</v>
      </c>
      <c r="P22">
        <v>0.55300000000000005</v>
      </c>
      <c r="Q22">
        <v>0.59299999999999997</v>
      </c>
      <c r="R22">
        <v>4.4000000000000003E-3</v>
      </c>
      <c r="S22">
        <v>12.1</v>
      </c>
      <c r="T22">
        <v>21</v>
      </c>
      <c r="U22" t="s">
        <v>41</v>
      </c>
      <c r="V22" s="4" t="s">
        <v>66</v>
      </c>
      <c r="W22" s="4">
        <v>12.1</v>
      </c>
    </row>
    <row r="23" spans="1:23" x14ac:dyDescent="0.3">
      <c r="A23" t="s">
        <v>186</v>
      </c>
      <c r="B23" t="s">
        <v>187</v>
      </c>
      <c r="C23">
        <v>1</v>
      </c>
      <c r="D23">
        <v>3500</v>
      </c>
      <c r="E23">
        <v>55.4</v>
      </c>
      <c r="F23">
        <v>0.50600000000000001</v>
      </c>
      <c r="G23">
        <v>0</v>
      </c>
      <c r="H23">
        <v>0</v>
      </c>
      <c r="I23">
        <v>1</v>
      </c>
      <c r="J23">
        <v>2.5000000000000001E-2</v>
      </c>
      <c r="K23">
        <v>1.2699999999999999E-2</v>
      </c>
      <c r="L23">
        <v>2.8</v>
      </c>
      <c r="M23">
        <v>0.93300000000000005</v>
      </c>
      <c r="N23">
        <v>0.49399999999999999</v>
      </c>
      <c r="O23">
        <v>0.55400000000000005</v>
      </c>
      <c r="P23">
        <v>0.51800000000000002</v>
      </c>
      <c r="Q23">
        <v>0.72599999999999998</v>
      </c>
      <c r="R23">
        <v>3.5000000000000001E-3</v>
      </c>
      <c r="S23">
        <v>9.1</v>
      </c>
      <c r="T23">
        <v>22</v>
      </c>
      <c r="U23" t="s">
        <v>41</v>
      </c>
      <c r="V23" s="4" t="s">
        <v>186</v>
      </c>
      <c r="W23" s="4">
        <v>9.1</v>
      </c>
    </row>
    <row r="24" spans="1:23" x14ac:dyDescent="0.3">
      <c r="A24" t="s">
        <v>38</v>
      </c>
      <c r="B24" t="s">
        <v>40</v>
      </c>
      <c r="C24">
        <v>7</v>
      </c>
      <c r="D24">
        <v>20700</v>
      </c>
      <c r="E24">
        <v>60.8</v>
      </c>
      <c r="F24">
        <v>0.36799999999999999</v>
      </c>
      <c r="G24">
        <v>1</v>
      </c>
      <c r="H24">
        <v>0</v>
      </c>
      <c r="I24">
        <v>6</v>
      </c>
      <c r="J24">
        <v>4.9000000000000002E-2</v>
      </c>
      <c r="K24">
        <v>1.8100000000000002E-2</v>
      </c>
      <c r="L24">
        <v>3.4</v>
      </c>
      <c r="M24">
        <v>1</v>
      </c>
      <c r="N24">
        <v>0.63200000000000001</v>
      </c>
      <c r="O24">
        <v>0.60799999999999998</v>
      </c>
      <c r="P24">
        <v>0.622</v>
      </c>
      <c r="Q24">
        <v>0.81100000000000005</v>
      </c>
      <c r="R24">
        <v>3.3999999999999998E-3</v>
      </c>
      <c r="S24">
        <v>8.6999999999999993</v>
      </c>
      <c r="T24">
        <v>23</v>
      </c>
      <c r="U24" t="s">
        <v>41</v>
      </c>
      <c r="V24" s="4" t="s">
        <v>38</v>
      </c>
      <c r="W24" s="4">
        <v>8.6999999999999993</v>
      </c>
    </row>
    <row r="25" spans="1:23" x14ac:dyDescent="0.3">
      <c r="A25" t="s">
        <v>163</v>
      </c>
      <c r="B25" t="s">
        <v>162</v>
      </c>
      <c r="C25">
        <v>6</v>
      </c>
      <c r="D25">
        <v>10950</v>
      </c>
      <c r="E25">
        <v>76.5</v>
      </c>
      <c r="F25">
        <v>0.185</v>
      </c>
      <c r="G25">
        <v>0</v>
      </c>
      <c r="H25">
        <v>0</v>
      </c>
      <c r="I25">
        <v>6</v>
      </c>
      <c r="J25">
        <v>9.0999999999999998E-2</v>
      </c>
      <c r="K25">
        <v>1.6899999999999998E-2</v>
      </c>
      <c r="L25">
        <v>2.5</v>
      </c>
      <c r="M25">
        <v>0.83299999999999996</v>
      </c>
      <c r="N25">
        <v>0.81499999999999995</v>
      </c>
      <c r="O25">
        <v>0.76500000000000001</v>
      </c>
      <c r="P25">
        <v>0.79500000000000004</v>
      </c>
      <c r="Q25">
        <v>0.81399999999999995</v>
      </c>
      <c r="R25">
        <v>3.0999999999999999E-3</v>
      </c>
      <c r="S25">
        <v>7.7</v>
      </c>
      <c r="T25">
        <v>24</v>
      </c>
      <c r="U25" t="s">
        <v>41</v>
      </c>
      <c r="V25" s="4" t="s">
        <v>163</v>
      </c>
      <c r="W25" s="4">
        <v>7.7</v>
      </c>
    </row>
    <row r="26" spans="1:23" x14ac:dyDescent="0.3">
      <c r="A26" t="s">
        <v>235</v>
      </c>
      <c r="B26" t="s">
        <v>236</v>
      </c>
      <c r="C26">
        <v>3</v>
      </c>
      <c r="D26">
        <v>5950</v>
      </c>
      <c r="E26">
        <v>82.4</v>
      </c>
      <c r="F26">
        <v>0.107</v>
      </c>
      <c r="G26">
        <v>0</v>
      </c>
      <c r="H26">
        <v>0</v>
      </c>
      <c r="I26">
        <v>3</v>
      </c>
      <c r="J26">
        <v>7.0000000000000007E-2</v>
      </c>
      <c r="K26">
        <v>7.4999999999999997E-3</v>
      </c>
      <c r="L26">
        <v>1.6</v>
      </c>
      <c r="M26">
        <v>0.53300000000000003</v>
      </c>
      <c r="N26">
        <v>0.89300000000000002</v>
      </c>
      <c r="O26">
        <v>0.82399999999999995</v>
      </c>
      <c r="P26">
        <v>0.86499999999999999</v>
      </c>
      <c r="Q26">
        <v>0.69899999999999995</v>
      </c>
      <c r="R26">
        <v>2.3E-3</v>
      </c>
      <c r="S26">
        <v>5</v>
      </c>
      <c r="T26">
        <v>25</v>
      </c>
      <c r="U26" t="s">
        <v>41</v>
      </c>
      <c r="V26" s="4" t="s">
        <v>235</v>
      </c>
      <c r="W26" s="4">
        <v>5</v>
      </c>
    </row>
    <row r="27" spans="1:23" x14ac:dyDescent="0.3">
      <c r="A27" t="s">
        <v>361</v>
      </c>
      <c r="B27" t="s">
        <v>362</v>
      </c>
      <c r="C27">
        <v>1</v>
      </c>
      <c r="D27">
        <v>6000</v>
      </c>
      <c r="E27">
        <v>69</v>
      </c>
      <c r="F27">
        <v>0.24</v>
      </c>
      <c r="G27">
        <v>0</v>
      </c>
      <c r="H27">
        <v>0</v>
      </c>
      <c r="I27">
        <v>1</v>
      </c>
      <c r="J27">
        <v>2.1000000000000001E-2</v>
      </c>
      <c r="K27">
        <v>5.1000000000000004E-3</v>
      </c>
      <c r="L27">
        <v>2.9</v>
      </c>
      <c r="M27">
        <v>0.96699999999999997</v>
      </c>
      <c r="N27">
        <v>0.76</v>
      </c>
      <c r="O27">
        <v>0.69</v>
      </c>
      <c r="P27">
        <v>0.73199999999999998</v>
      </c>
      <c r="Q27">
        <v>0.84899999999999998</v>
      </c>
      <c r="R27">
        <v>8.0000000000000004E-4</v>
      </c>
      <c r="S27">
        <v>0</v>
      </c>
      <c r="T27">
        <v>26</v>
      </c>
      <c r="U27" t="s">
        <v>41</v>
      </c>
      <c r="V27" s="4" t="s">
        <v>361</v>
      </c>
      <c r="W27" s="4">
        <v>0</v>
      </c>
    </row>
    <row r="28" spans="1:23" x14ac:dyDescent="0.3">
      <c r="A28" s="4" t="s">
        <v>108</v>
      </c>
      <c r="B28" s="4" t="s">
        <v>109</v>
      </c>
      <c r="C28" s="4">
        <v>3</v>
      </c>
      <c r="D28" s="4">
        <v>25000</v>
      </c>
      <c r="E28" s="4">
        <v>73.3</v>
      </c>
      <c r="F28" s="4">
        <v>0.20300000000000001</v>
      </c>
      <c r="G28" s="4">
        <v>0</v>
      </c>
      <c r="H28" s="4">
        <v>0</v>
      </c>
      <c r="I28" s="4">
        <v>3</v>
      </c>
      <c r="J28" s="4">
        <v>0.22700000000000001</v>
      </c>
      <c r="K28" s="4">
        <v>4.6100000000000002E-2</v>
      </c>
      <c r="L28" s="4">
        <v>1.5</v>
      </c>
      <c r="M28" s="4">
        <v>0.5</v>
      </c>
      <c r="N28" s="4">
        <v>0.79700000000000004</v>
      </c>
      <c r="O28" s="4">
        <v>0.73299999999999998</v>
      </c>
      <c r="P28" s="4">
        <v>0.77100000000000002</v>
      </c>
      <c r="Q28" s="4">
        <v>0.63600000000000001</v>
      </c>
      <c r="R28" s="4">
        <v>1.6799999999999999E-2</v>
      </c>
      <c r="S28" s="4">
        <v>100</v>
      </c>
      <c r="T28" s="4">
        <v>1</v>
      </c>
      <c r="U28" s="4" t="s">
        <v>33</v>
      </c>
      <c r="V28" s="4" t="s">
        <v>108</v>
      </c>
      <c r="W28" s="4">
        <v>100</v>
      </c>
    </row>
    <row r="29" spans="1:23" x14ac:dyDescent="0.3">
      <c r="A29" s="4" t="s">
        <v>54</v>
      </c>
      <c r="B29" s="4" t="s">
        <v>55</v>
      </c>
      <c r="C29" s="4">
        <v>3</v>
      </c>
      <c r="D29" s="4">
        <v>71000</v>
      </c>
      <c r="E29" s="4">
        <v>69</v>
      </c>
      <c r="F29" s="4">
        <v>0.254</v>
      </c>
      <c r="G29" s="4">
        <v>1</v>
      </c>
      <c r="H29" s="4">
        <v>0</v>
      </c>
      <c r="I29" s="4">
        <v>2</v>
      </c>
      <c r="J29" s="4">
        <v>0.35499999999999998</v>
      </c>
      <c r="K29" s="4">
        <v>9.0200000000000002E-2</v>
      </c>
      <c r="L29" s="4">
        <v>2.8</v>
      </c>
      <c r="M29" s="4">
        <v>0.93300000000000005</v>
      </c>
      <c r="N29" s="4">
        <v>0.746</v>
      </c>
      <c r="O29" s="4">
        <v>0.69</v>
      </c>
      <c r="P29" s="4">
        <v>0.72399999999999998</v>
      </c>
      <c r="Q29" s="4">
        <v>0.82799999999999996</v>
      </c>
      <c r="R29" s="4">
        <v>1.55E-2</v>
      </c>
      <c r="S29" s="4">
        <v>92</v>
      </c>
      <c r="T29" s="4">
        <v>2</v>
      </c>
      <c r="U29" s="4" t="s">
        <v>33</v>
      </c>
      <c r="V29" s="4" t="s">
        <v>54</v>
      </c>
      <c r="W29" s="4">
        <v>92</v>
      </c>
    </row>
    <row r="30" spans="1:23" x14ac:dyDescent="0.3">
      <c r="A30" s="4" t="s">
        <v>125</v>
      </c>
      <c r="B30" s="4" t="s">
        <v>126</v>
      </c>
      <c r="C30" s="4">
        <v>3</v>
      </c>
      <c r="D30" s="4">
        <v>7500</v>
      </c>
      <c r="E30" s="4">
        <v>64.8</v>
      </c>
      <c r="F30" s="4">
        <v>0.32200000000000001</v>
      </c>
      <c r="G30" s="4">
        <v>0</v>
      </c>
      <c r="H30" s="4">
        <v>0</v>
      </c>
      <c r="I30" s="4">
        <v>3</v>
      </c>
      <c r="J30" s="4">
        <v>7.9000000000000001E-2</v>
      </c>
      <c r="K30" s="4">
        <v>2.5399999999999999E-2</v>
      </c>
      <c r="L30" s="4">
        <v>1.2</v>
      </c>
      <c r="M30" s="4">
        <v>0.4</v>
      </c>
      <c r="N30" s="4">
        <v>0.67800000000000005</v>
      </c>
      <c r="O30" s="4">
        <v>0.64800000000000002</v>
      </c>
      <c r="P30" s="4">
        <v>0.66600000000000004</v>
      </c>
      <c r="Q30" s="4">
        <v>0.53300000000000003</v>
      </c>
      <c r="R30" s="4">
        <v>1.1900000000000001E-2</v>
      </c>
      <c r="S30" s="4">
        <v>69.8</v>
      </c>
      <c r="T30" s="4">
        <v>3</v>
      </c>
      <c r="U30" s="4" t="s">
        <v>33</v>
      </c>
      <c r="V30" s="4" t="s">
        <v>125</v>
      </c>
      <c r="W30" s="4">
        <v>69.8</v>
      </c>
    </row>
    <row r="31" spans="1:23" x14ac:dyDescent="0.3">
      <c r="A31" s="4" t="s">
        <v>168</v>
      </c>
      <c r="B31" s="4" t="s">
        <v>169</v>
      </c>
      <c r="C31" s="4">
        <v>7</v>
      </c>
      <c r="D31" s="4">
        <v>17250</v>
      </c>
      <c r="E31" s="4">
        <v>59.1</v>
      </c>
      <c r="F31" s="4">
        <v>0.42099999999999999</v>
      </c>
      <c r="G31" s="4">
        <v>0</v>
      </c>
      <c r="H31" s="4">
        <v>0</v>
      </c>
      <c r="I31" s="4">
        <v>7</v>
      </c>
      <c r="J31" s="4">
        <v>0.13300000000000001</v>
      </c>
      <c r="K31" s="4">
        <v>5.5899999999999998E-2</v>
      </c>
      <c r="L31" s="4">
        <v>4.2</v>
      </c>
      <c r="M31" s="4">
        <v>1</v>
      </c>
      <c r="N31" s="4">
        <v>0.57899999999999996</v>
      </c>
      <c r="O31" s="4">
        <v>0.59099999999999997</v>
      </c>
      <c r="P31" s="4">
        <v>0.58399999999999996</v>
      </c>
      <c r="Q31" s="4">
        <v>0.79200000000000004</v>
      </c>
      <c r="R31" s="4">
        <v>1.1599999999999999E-2</v>
      </c>
      <c r="S31" s="4">
        <v>67.900000000000006</v>
      </c>
      <c r="T31" s="4">
        <v>4</v>
      </c>
      <c r="U31" s="4" t="s">
        <v>33</v>
      </c>
      <c r="V31" s="4" t="s">
        <v>168</v>
      </c>
      <c r="W31" s="4">
        <v>67.900000000000006</v>
      </c>
    </row>
    <row r="32" spans="1:23" x14ac:dyDescent="0.3">
      <c r="A32" s="4" t="s">
        <v>119</v>
      </c>
      <c r="B32" s="4" t="s">
        <v>120</v>
      </c>
      <c r="C32" s="4">
        <v>4</v>
      </c>
      <c r="D32" s="4">
        <v>19750</v>
      </c>
      <c r="E32" s="4">
        <v>73.900000000000006</v>
      </c>
      <c r="F32" s="4">
        <v>0.20599999999999999</v>
      </c>
      <c r="G32" s="4">
        <v>0</v>
      </c>
      <c r="H32" s="4">
        <v>0</v>
      </c>
      <c r="I32" s="4">
        <v>4</v>
      </c>
      <c r="J32" s="4">
        <v>7.9000000000000001E-2</v>
      </c>
      <c r="K32" s="4">
        <v>1.6299999999999999E-2</v>
      </c>
      <c r="L32" s="4">
        <v>1.8</v>
      </c>
      <c r="M32" s="4">
        <v>0.6</v>
      </c>
      <c r="N32" s="4">
        <v>0.79400000000000004</v>
      </c>
      <c r="O32" s="4">
        <v>0.73899999999999999</v>
      </c>
      <c r="P32" s="4">
        <v>0.77200000000000002</v>
      </c>
      <c r="Q32" s="4">
        <v>0.68600000000000005</v>
      </c>
      <c r="R32" s="4">
        <v>5.1000000000000004E-3</v>
      </c>
      <c r="S32" s="4">
        <v>27.8</v>
      </c>
      <c r="T32" s="4">
        <v>5</v>
      </c>
      <c r="U32" s="4" t="s">
        <v>41</v>
      </c>
      <c r="V32" s="4" t="s">
        <v>119</v>
      </c>
      <c r="W32" s="4">
        <v>27.8</v>
      </c>
    </row>
    <row r="33" spans="1:23" x14ac:dyDescent="0.3">
      <c r="A33" s="4" t="s">
        <v>135</v>
      </c>
      <c r="B33" s="4" t="s">
        <v>136</v>
      </c>
      <c r="C33" s="4">
        <v>7</v>
      </c>
      <c r="D33" s="4">
        <v>45950</v>
      </c>
      <c r="E33" s="4">
        <v>64.5</v>
      </c>
      <c r="F33" s="4">
        <v>0.317</v>
      </c>
      <c r="G33" s="4">
        <v>1</v>
      </c>
      <c r="H33" s="4">
        <v>0</v>
      </c>
      <c r="I33" s="4">
        <v>6</v>
      </c>
      <c r="J33" s="4">
        <v>8.7999999999999995E-2</v>
      </c>
      <c r="K33" s="4">
        <v>2.8000000000000001E-2</v>
      </c>
      <c r="L33" s="4">
        <v>5.6</v>
      </c>
      <c r="M33" s="4">
        <v>1</v>
      </c>
      <c r="N33" s="4">
        <v>0.68300000000000005</v>
      </c>
      <c r="O33" s="4">
        <v>0.64500000000000002</v>
      </c>
      <c r="P33" s="4">
        <v>0.66800000000000004</v>
      </c>
      <c r="Q33" s="4">
        <v>0.83399999999999996</v>
      </c>
      <c r="R33" s="4">
        <v>4.7000000000000002E-3</v>
      </c>
      <c r="S33" s="4">
        <v>25.3</v>
      </c>
      <c r="T33" s="4">
        <v>6</v>
      </c>
      <c r="U33" s="4" t="s">
        <v>41</v>
      </c>
      <c r="V33" s="4" t="s">
        <v>135</v>
      </c>
      <c r="W33" s="4">
        <v>25.3</v>
      </c>
    </row>
    <row r="34" spans="1:23" x14ac:dyDescent="0.3">
      <c r="A34" s="4" t="s">
        <v>38</v>
      </c>
      <c r="B34" s="4" t="s">
        <v>40</v>
      </c>
      <c r="C34" s="4">
        <v>4</v>
      </c>
      <c r="D34" s="4">
        <v>49000</v>
      </c>
      <c r="E34" s="4">
        <v>68.5</v>
      </c>
      <c r="F34" s="4">
        <v>0.26200000000000001</v>
      </c>
      <c r="G34" s="4">
        <v>0</v>
      </c>
      <c r="H34" s="4">
        <v>0</v>
      </c>
      <c r="I34" s="4">
        <v>4</v>
      </c>
      <c r="J34" s="4">
        <v>0.11700000000000001</v>
      </c>
      <c r="K34" s="4">
        <v>3.0599999999999999E-2</v>
      </c>
      <c r="L34" s="4">
        <v>3.4</v>
      </c>
      <c r="M34" s="4">
        <v>1</v>
      </c>
      <c r="N34" s="4">
        <v>0.73799999999999999</v>
      </c>
      <c r="O34" s="4">
        <v>0.68500000000000005</v>
      </c>
      <c r="P34" s="4">
        <v>0.71699999999999997</v>
      </c>
      <c r="Q34" s="4">
        <v>0.85799999999999998</v>
      </c>
      <c r="R34" s="4">
        <v>4.3E-3</v>
      </c>
      <c r="S34" s="4">
        <v>22.8</v>
      </c>
      <c r="T34" s="4">
        <v>7</v>
      </c>
      <c r="U34" s="4" t="s">
        <v>41</v>
      </c>
      <c r="V34" s="4" t="s">
        <v>38</v>
      </c>
      <c r="W34" s="4">
        <v>22.8</v>
      </c>
    </row>
    <row r="35" spans="1:23" x14ac:dyDescent="0.3">
      <c r="A35" s="4" t="s">
        <v>186</v>
      </c>
      <c r="B35" s="4" t="s">
        <v>187</v>
      </c>
      <c r="C35" s="4">
        <v>1</v>
      </c>
      <c r="D35" s="4">
        <v>3500</v>
      </c>
      <c r="E35" s="4">
        <v>55.4</v>
      </c>
      <c r="F35" s="4">
        <v>0.50600000000000001</v>
      </c>
      <c r="G35" s="4">
        <v>0</v>
      </c>
      <c r="H35" s="4">
        <v>0</v>
      </c>
      <c r="I35" s="4">
        <v>1</v>
      </c>
      <c r="J35" s="4">
        <v>2.5000000000000001E-2</v>
      </c>
      <c r="K35" s="4">
        <v>1.2699999999999999E-2</v>
      </c>
      <c r="L35" s="4">
        <v>2.8</v>
      </c>
      <c r="M35" s="4">
        <v>0.93300000000000005</v>
      </c>
      <c r="N35" s="4">
        <v>0.49399999999999999</v>
      </c>
      <c r="O35" s="4">
        <v>0.55400000000000005</v>
      </c>
      <c r="P35" s="4">
        <v>0.51800000000000002</v>
      </c>
      <c r="Q35" s="4">
        <v>0.72599999999999998</v>
      </c>
      <c r="R35" s="4">
        <v>3.5000000000000001E-3</v>
      </c>
      <c r="S35" s="4">
        <v>17.899999999999999</v>
      </c>
      <c r="T35" s="4">
        <v>8</v>
      </c>
      <c r="U35" s="4" t="s">
        <v>41</v>
      </c>
      <c r="V35" s="4" t="s">
        <v>186</v>
      </c>
      <c r="W35" s="4">
        <v>17.899999999999999</v>
      </c>
    </row>
    <row r="36" spans="1:23" x14ac:dyDescent="0.3">
      <c r="A36" s="4" t="s">
        <v>78</v>
      </c>
      <c r="B36" s="4" t="s">
        <v>79</v>
      </c>
      <c r="C36" s="4">
        <v>1</v>
      </c>
      <c r="D36" s="4">
        <v>3500</v>
      </c>
      <c r="E36" s="4">
        <v>58.4</v>
      </c>
      <c r="F36" s="4">
        <v>0.42299999999999999</v>
      </c>
      <c r="G36" s="4">
        <v>0</v>
      </c>
      <c r="H36" s="4">
        <v>0</v>
      </c>
      <c r="I36" s="4">
        <v>1</v>
      </c>
      <c r="J36" s="4">
        <v>2.1999999999999999E-2</v>
      </c>
      <c r="K36" s="4">
        <v>9.2999999999999992E-3</v>
      </c>
      <c r="L36" s="4">
        <v>2.1</v>
      </c>
      <c r="M36" s="4">
        <v>0.7</v>
      </c>
      <c r="N36" s="4">
        <v>0.57699999999999996</v>
      </c>
      <c r="O36" s="4">
        <v>0.58399999999999996</v>
      </c>
      <c r="P36" s="4">
        <v>0.57999999999999996</v>
      </c>
      <c r="Q36" s="4">
        <v>0.64</v>
      </c>
      <c r="R36" s="4">
        <v>3.3E-3</v>
      </c>
      <c r="S36" s="4">
        <v>16.7</v>
      </c>
      <c r="T36" s="4">
        <v>9</v>
      </c>
      <c r="U36" s="4" t="s">
        <v>41</v>
      </c>
      <c r="V36" s="4" t="s">
        <v>78</v>
      </c>
      <c r="W36" s="4">
        <v>16.7</v>
      </c>
    </row>
    <row r="37" spans="1:23" x14ac:dyDescent="0.3">
      <c r="A37" s="4" t="s">
        <v>60</v>
      </c>
      <c r="B37" s="4" t="s">
        <v>61</v>
      </c>
      <c r="C37" s="4">
        <v>3</v>
      </c>
      <c r="D37" s="4">
        <v>11050</v>
      </c>
      <c r="E37" s="4">
        <v>68</v>
      </c>
      <c r="F37" s="4">
        <v>0.27500000000000002</v>
      </c>
      <c r="G37" s="4">
        <v>0</v>
      </c>
      <c r="H37" s="4">
        <v>0</v>
      </c>
      <c r="I37" s="4">
        <v>3</v>
      </c>
      <c r="J37" s="4">
        <v>6.0999999999999999E-2</v>
      </c>
      <c r="K37" s="4">
        <v>1.6899999999999998E-2</v>
      </c>
      <c r="L37" s="4">
        <v>3.1</v>
      </c>
      <c r="M37" s="4">
        <v>1</v>
      </c>
      <c r="N37" s="4">
        <v>0.72499999999999998</v>
      </c>
      <c r="O37" s="4">
        <v>0.68</v>
      </c>
      <c r="P37" s="4">
        <v>0.70699999999999996</v>
      </c>
      <c r="Q37" s="4">
        <v>0.85399999999999998</v>
      </c>
      <c r="R37" s="4">
        <v>2.5000000000000001E-3</v>
      </c>
      <c r="S37" s="4">
        <v>11.7</v>
      </c>
      <c r="T37" s="4">
        <v>10</v>
      </c>
      <c r="U37" s="4" t="s">
        <v>41</v>
      </c>
      <c r="V37" s="4" t="s">
        <v>60</v>
      </c>
      <c r="W37" s="4">
        <v>11.7</v>
      </c>
    </row>
    <row r="38" spans="1:23" x14ac:dyDescent="0.3">
      <c r="A38" s="4" t="s">
        <v>141</v>
      </c>
      <c r="B38" s="4" t="s">
        <v>142</v>
      </c>
      <c r="C38" s="4">
        <v>3</v>
      </c>
      <c r="D38" s="4">
        <v>10250</v>
      </c>
      <c r="E38" s="4">
        <v>78.3</v>
      </c>
      <c r="F38" s="4">
        <v>0.14899999999999999</v>
      </c>
      <c r="G38" s="4">
        <v>0</v>
      </c>
      <c r="H38" s="4">
        <v>0</v>
      </c>
      <c r="I38" s="4">
        <v>3</v>
      </c>
      <c r="J38" s="4">
        <v>4.7E-2</v>
      </c>
      <c r="K38" s="4">
        <v>6.8999999999999999E-3</v>
      </c>
      <c r="L38" s="4">
        <v>1.4</v>
      </c>
      <c r="M38" s="4">
        <v>0.46700000000000003</v>
      </c>
      <c r="N38" s="4">
        <v>0.85099999999999998</v>
      </c>
      <c r="O38" s="4">
        <v>0.78300000000000003</v>
      </c>
      <c r="P38" s="4">
        <v>0.82399999999999995</v>
      </c>
      <c r="Q38" s="4">
        <v>0.64500000000000002</v>
      </c>
      <c r="R38" s="4">
        <v>2.5000000000000001E-3</v>
      </c>
      <c r="S38" s="4">
        <v>11.7</v>
      </c>
      <c r="T38" s="4">
        <v>11</v>
      </c>
      <c r="U38" s="4" t="s">
        <v>41</v>
      </c>
      <c r="V38" s="4" t="s">
        <v>141</v>
      </c>
      <c r="W38" s="4">
        <v>11.7</v>
      </c>
    </row>
    <row r="39" spans="1:23" x14ac:dyDescent="0.3">
      <c r="A39" s="4" t="s">
        <v>99</v>
      </c>
      <c r="B39" s="4" t="s">
        <v>98</v>
      </c>
      <c r="C39" s="4">
        <v>1</v>
      </c>
      <c r="D39" s="4">
        <v>7500</v>
      </c>
      <c r="E39" s="4">
        <v>71</v>
      </c>
      <c r="F39" s="4">
        <v>0.224</v>
      </c>
      <c r="G39" s="4">
        <v>0</v>
      </c>
      <c r="H39" s="4">
        <v>0</v>
      </c>
      <c r="I39" s="4">
        <v>1</v>
      </c>
      <c r="J39" s="4">
        <v>4.2000000000000003E-2</v>
      </c>
      <c r="K39" s="4">
        <v>9.2999999999999992E-3</v>
      </c>
      <c r="L39" s="4">
        <v>2.2000000000000002</v>
      </c>
      <c r="M39" s="4">
        <v>0.73299999999999998</v>
      </c>
      <c r="N39" s="4">
        <v>0.77600000000000002</v>
      </c>
      <c r="O39" s="4">
        <v>0.71</v>
      </c>
      <c r="P39" s="4">
        <v>0.75</v>
      </c>
      <c r="Q39" s="4">
        <v>0.74099999999999999</v>
      </c>
      <c r="R39" s="4">
        <v>2.3999999999999998E-3</v>
      </c>
      <c r="S39" s="4">
        <v>11.1</v>
      </c>
      <c r="T39" s="4">
        <v>12</v>
      </c>
      <c r="U39" s="4" t="s">
        <v>41</v>
      </c>
      <c r="V39" s="4" t="s">
        <v>99</v>
      </c>
      <c r="W39" s="4">
        <v>11.1</v>
      </c>
    </row>
    <row r="40" spans="1:23" x14ac:dyDescent="0.3">
      <c r="A40" s="4" t="s">
        <v>163</v>
      </c>
      <c r="B40" s="4" t="s">
        <v>162</v>
      </c>
      <c r="C40" s="4">
        <v>3</v>
      </c>
      <c r="D40" s="4">
        <v>5050</v>
      </c>
      <c r="E40" s="4">
        <v>73.8</v>
      </c>
      <c r="F40" s="4">
        <v>0.21199999999999999</v>
      </c>
      <c r="G40" s="4">
        <v>0</v>
      </c>
      <c r="H40" s="4">
        <v>0</v>
      </c>
      <c r="I40" s="4">
        <v>3</v>
      </c>
      <c r="J40" s="4">
        <v>4.2000000000000003E-2</v>
      </c>
      <c r="K40" s="4">
        <v>8.8999999999999999E-3</v>
      </c>
      <c r="L40" s="4">
        <v>2.5</v>
      </c>
      <c r="M40" s="4">
        <v>0.83299999999999996</v>
      </c>
      <c r="N40" s="4">
        <v>0.78800000000000003</v>
      </c>
      <c r="O40" s="4">
        <v>0.73799999999999999</v>
      </c>
      <c r="P40" s="4">
        <v>0.76800000000000002</v>
      </c>
      <c r="Q40" s="4">
        <v>0.80100000000000005</v>
      </c>
      <c r="R40" s="4">
        <v>1.8E-3</v>
      </c>
      <c r="S40" s="4">
        <v>7.4</v>
      </c>
      <c r="T40" s="4">
        <v>13</v>
      </c>
      <c r="U40" s="4" t="s">
        <v>41</v>
      </c>
      <c r="V40" s="4" t="s">
        <v>163</v>
      </c>
      <c r="W40" s="4">
        <v>7.4</v>
      </c>
    </row>
    <row r="41" spans="1:23" x14ac:dyDescent="0.3">
      <c r="A41" s="4" t="s">
        <v>114</v>
      </c>
      <c r="B41" s="4" t="s">
        <v>113</v>
      </c>
      <c r="C41" s="4">
        <v>1</v>
      </c>
      <c r="D41" s="4">
        <v>4000</v>
      </c>
      <c r="E41" s="4">
        <v>64.5</v>
      </c>
      <c r="F41" s="4">
        <v>0.29699999999999999</v>
      </c>
      <c r="G41" s="4">
        <v>0</v>
      </c>
      <c r="H41" s="4">
        <v>0</v>
      </c>
      <c r="I41" s="4">
        <v>1</v>
      </c>
      <c r="J41" s="4">
        <v>1.2999999999999999E-2</v>
      </c>
      <c r="K41" s="4">
        <v>4.0000000000000001E-3</v>
      </c>
      <c r="L41" s="4">
        <v>2</v>
      </c>
      <c r="M41" s="4">
        <v>0.66700000000000004</v>
      </c>
      <c r="N41" s="4">
        <v>0.70299999999999996</v>
      </c>
      <c r="O41" s="4">
        <v>0.64500000000000002</v>
      </c>
      <c r="P41" s="4">
        <v>0.68</v>
      </c>
      <c r="Q41" s="4">
        <v>0.67300000000000004</v>
      </c>
      <c r="R41" s="4">
        <v>1.2999999999999999E-3</v>
      </c>
      <c r="S41" s="4">
        <v>4.3</v>
      </c>
      <c r="T41" s="4">
        <v>14</v>
      </c>
      <c r="U41" s="4" t="s">
        <v>41</v>
      </c>
      <c r="V41" s="4" t="s">
        <v>114</v>
      </c>
      <c r="W41" s="4">
        <v>4.3</v>
      </c>
    </row>
    <row r="42" spans="1:23" x14ac:dyDescent="0.3">
      <c r="A42" s="4" t="s">
        <v>361</v>
      </c>
      <c r="B42" s="4" t="s">
        <v>362</v>
      </c>
      <c r="C42" s="4">
        <v>1</v>
      </c>
      <c r="D42" s="4">
        <v>3500</v>
      </c>
      <c r="E42" s="4">
        <v>66.7</v>
      </c>
      <c r="F42" s="4">
        <v>0.28299999999999997</v>
      </c>
      <c r="G42" s="4">
        <v>0</v>
      </c>
      <c r="H42" s="4">
        <v>0</v>
      </c>
      <c r="I42" s="4">
        <v>1</v>
      </c>
      <c r="J42" s="4">
        <v>1.2999999999999999E-2</v>
      </c>
      <c r="K42" s="4">
        <v>3.5000000000000001E-3</v>
      </c>
      <c r="L42" s="4">
        <v>2.9</v>
      </c>
      <c r="M42" s="4">
        <v>0.96699999999999997</v>
      </c>
      <c r="N42" s="4">
        <v>0.71699999999999997</v>
      </c>
      <c r="O42" s="4">
        <v>0.66700000000000004</v>
      </c>
      <c r="P42" s="4">
        <v>0.69699999999999995</v>
      </c>
      <c r="Q42" s="4">
        <v>0.83199999999999996</v>
      </c>
      <c r="R42" s="4">
        <v>5.9999999999999995E-4</v>
      </c>
      <c r="S42" s="4">
        <v>0</v>
      </c>
      <c r="T42" s="4">
        <v>15</v>
      </c>
      <c r="U42" s="4" t="s">
        <v>41</v>
      </c>
      <c r="V42" s="4" t="s">
        <v>361</v>
      </c>
      <c r="W42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components_long (2)</vt:lpstr>
      <vt:lpstr>plants_unified</vt:lpstr>
      <vt:lpstr>components_long</vt:lpstr>
      <vt:lpstr>regions_ravi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Shourjya Samanta</cp:lastModifiedBy>
  <dcterms:created xsi:type="dcterms:W3CDTF">2026-01-22T11:45:29Z</dcterms:created>
  <dcterms:modified xsi:type="dcterms:W3CDTF">2026-01-22T22:59:06Z</dcterms:modified>
</cp:coreProperties>
</file>