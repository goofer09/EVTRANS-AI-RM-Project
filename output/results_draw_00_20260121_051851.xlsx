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wsl.localhost\Ubuntu\home\goofe\RM\output\"/>
    </mc:Choice>
  </mc:AlternateContent>
  <xr:revisionPtr revIDLastSave="0" documentId="13_ncr:1_{7F7C823C-561E-4344-B836-EC7B709F45FA}" xr6:coauthVersionLast="47" xr6:coauthVersionMax="47" xr10:uidLastSave="{00000000-0000-0000-0000-000000000000}"/>
  <bookViews>
    <workbookView xWindow="11424" yWindow="0" windowWidth="11712" windowHeight="12336" firstSheet="5" activeTab="6" xr2:uid="{00000000-000D-0000-FFFF-FFFF00000000}"/>
  </bookViews>
  <sheets>
    <sheet name="Sheet1" sheetId="1" r:id="rId1"/>
    <sheet name="Sheet2" sheetId="2" r:id="rId2"/>
    <sheet name="Sheet3" sheetId="3" r:id="rId3"/>
    <sheet name="Sheet7" sheetId="7" r:id="rId4"/>
    <sheet name="Sheet8" sheetId="8" r:id="rId5"/>
    <sheet name="Sheet6" sheetId="6" r:id="rId6"/>
    <sheet name="Sheet4" sheetId="4" r:id="rId7"/>
    <sheet name="Sheet5" sheetId="5" r:id="rId8"/>
  </sheets>
  <definedNames>
    <definedName name="_xlnm._FilterDatabase" localSheetId="5" hidden="1">Sheet6!$H$1:$H$210</definedName>
  </definedNames>
  <calcPr calcId="191029"/>
  <pivotCaches>
    <pivotCache cacheId="12" r:id="rId9"/>
    <pivotCache cacheId="23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80" i="6" l="1"/>
  <c r="H13" i="6"/>
  <c r="H17" i="6"/>
  <c r="H18" i="6"/>
  <c r="H19" i="6"/>
  <c r="H25" i="6"/>
  <c r="H29" i="6"/>
  <c r="H30" i="6"/>
  <c r="H31" i="6"/>
  <c r="H37" i="6"/>
  <c r="H41" i="6"/>
  <c r="H42" i="6"/>
  <c r="H43" i="6"/>
  <c r="H49" i="6"/>
  <c r="H50" i="6"/>
  <c r="H53" i="6"/>
  <c r="H54" i="6"/>
  <c r="H55" i="6"/>
  <c r="H61" i="6"/>
  <c r="H65" i="6"/>
  <c r="H66" i="6"/>
  <c r="H67" i="6"/>
  <c r="H73" i="6"/>
  <c r="H77" i="6"/>
  <c r="H78" i="6"/>
  <c r="H79" i="6"/>
  <c r="H85" i="6"/>
  <c r="H89" i="6"/>
  <c r="H90" i="6"/>
  <c r="H91" i="6"/>
  <c r="H97" i="6"/>
  <c r="H101" i="6"/>
  <c r="H102" i="6"/>
  <c r="H103" i="6"/>
  <c r="H109" i="6"/>
  <c r="H113" i="6"/>
  <c r="H114" i="6"/>
  <c r="H115" i="6"/>
  <c r="H121" i="6"/>
  <c r="H125" i="6"/>
  <c r="H126" i="6"/>
  <c r="H127" i="6"/>
  <c r="H133" i="6"/>
  <c r="H137" i="6"/>
  <c r="H138" i="6"/>
  <c r="H139" i="6"/>
  <c r="H145" i="6"/>
  <c r="H149" i="6"/>
  <c r="H150" i="6"/>
  <c r="H151" i="6"/>
  <c r="H157" i="6"/>
  <c r="H161" i="6"/>
  <c r="H162" i="6"/>
  <c r="H163" i="6"/>
  <c r="H169" i="6"/>
  <c r="H173" i="6"/>
  <c r="H174" i="6"/>
  <c r="H175" i="6"/>
  <c r="H181" i="6"/>
  <c r="H185" i="6"/>
  <c r="H186" i="6"/>
  <c r="H187" i="6"/>
  <c r="H193" i="6"/>
  <c r="H197" i="6"/>
  <c r="H198" i="6"/>
  <c r="H199" i="6"/>
  <c r="H205" i="6"/>
  <c r="E2" i="6"/>
  <c r="H2" i="6" s="1"/>
  <c r="E3" i="6"/>
  <c r="H3" i="6" s="1"/>
  <c r="F3" i="6"/>
  <c r="G3" i="6"/>
  <c r="E4" i="6"/>
  <c r="H4" i="6" s="1"/>
  <c r="F4" i="6"/>
  <c r="G4" i="6"/>
  <c r="E5" i="6"/>
  <c r="H5" i="6" s="1"/>
  <c r="F5" i="6"/>
  <c r="G5" i="6"/>
  <c r="E6" i="6"/>
  <c r="H6" i="6" s="1"/>
  <c r="F6" i="6"/>
  <c r="G6" i="6"/>
  <c r="E7" i="6"/>
  <c r="H7" i="6" s="1"/>
  <c r="F7" i="6"/>
  <c r="G7" i="6"/>
  <c r="E8" i="6"/>
  <c r="H8" i="6" s="1"/>
  <c r="F8" i="6"/>
  <c r="G8" i="6"/>
  <c r="E9" i="6"/>
  <c r="H9" i="6" s="1"/>
  <c r="F9" i="6"/>
  <c r="G9" i="6"/>
  <c r="E10" i="6"/>
  <c r="H10" i="6" s="1"/>
  <c r="F10" i="6"/>
  <c r="G10" i="6"/>
  <c r="E11" i="6"/>
  <c r="H11" i="6" s="1"/>
  <c r="F11" i="6"/>
  <c r="G11" i="6"/>
  <c r="E12" i="6"/>
  <c r="H12" i="6" s="1"/>
  <c r="F12" i="6"/>
  <c r="G12" i="6"/>
  <c r="E13" i="6"/>
  <c r="F13" i="6"/>
  <c r="G13" i="6"/>
  <c r="E14" i="6"/>
  <c r="F14" i="6"/>
  <c r="G14" i="6"/>
  <c r="H14" i="6" s="1"/>
  <c r="E15" i="6"/>
  <c r="H15" i="6" s="1"/>
  <c r="F15" i="6"/>
  <c r="G15" i="6"/>
  <c r="E16" i="6"/>
  <c r="H16" i="6" s="1"/>
  <c r="F16" i="6"/>
  <c r="G16" i="6"/>
  <c r="E17" i="6"/>
  <c r="F17" i="6"/>
  <c r="G17" i="6"/>
  <c r="E18" i="6"/>
  <c r="F18" i="6"/>
  <c r="G18" i="6"/>
  <c r="E19" i="6"/>
  <c r="F19" i="6"/>
  <c r="G19" i="6"/>
  <c r="E20" i="6"/>
  <c r="F20" i="6"/>
  <c r="G20" i="6"/>
  <c r="H20" i="6" s="1"/>
  <c r="E21" i="6"/>
  <c r="H21" i="6" s="1"/>
  <c r="F21" i="6"/>
  <c r="G21" i="6"/>
  <c r="E22" i="6"/>
  <c r="H22" i="6" s="1"/>
  <c r="F22" i="6"/>
  <c r="G22" i="6"/>
  <c r="E23" i="6"/>
  <c r="H23" i="6" s="1"/>
  <c r="F23" i="6"/>
  <c r="G23" i="6"/>
  <c r="E24" i="6"/>
  <c r="H24" i="6" s="1"/>
  <c r="F24" i="6"/>
  <c r="G24" i="6"/>
  <c r="E25" i="6"/>
  <c r="F25" i="6"/>
  <c r="G25" i="6"/>
  <c r="E26" i="6"/>
  <c r="F26" i="6"/>
  <c r="G26" i="6"/>
  <c r="H26" i="6" s="1"/>
  <c r="E27" i="6"/>
  <c r="H27" i="6" s="1"/>
  <c r="F27" i="6"/>
  <c r="G27" i="6"/>
  <c r="E28" i="6"/>
  <c r="H28" i="6" s="1"/>
  <c r="F28" i="6"/>
  <c r="G28" i="6"/>
  <c r="E29" i="6"/>
  <c r="F29" i="6"/>
  <c r="G29" i="6"/>
  <c r="E30" i="6"/>
  <c r="F30" i="6"/>
  <c r="G30" i="6"/>
  <c r="E31" i="6"/>
  <c r="F31" i="6"/>
  <c r="G31" i="6"/>
  <c r="E32" i="6"/>
  <c r="F32" i="6"/>
  <c r="G32" i="6"/>
  <c r="H32" i="6" s="1"/>
  <c r="E33" i="6"/>
  <c r="H33" i="6" s="1"/>
  <c r="F33" i="6"/>
  <c r="G33" i="6"/>
  <c r="E34" i="6"/>
  <c r="H34" i="6" s="1"/>
  <c r="F34" i="6"/>
  <c r="G34" i="6"/>
  <c r="E35" i="6"/>
  <c r="H35" i="6" s="1"/>
  <c r="F35" i="6"/>
  <c r="G35" i="6"/>
  <c r="E36" i="6"/>
  <c r="H36" i="6" s="1"/>
  <c r="F36" i="6"/>
  <c r="G36" i="6"/>
  <c r="E37" i="6"/>
  <c r="F37" i="6"/>
  <c r="G37" i="6"/>
  <c r="E38" i="6"/>
  <c r="F38" i="6"/>
  <c r="G38" i="6"/>
  <c r="H38" i="6" s="1"/>
  <c r="E39" i="6"/>
  <c r="H39" i="6" s="1"/>
  <c r="F39" i="6"/>
  <c r="G39" i="6"/>
  <c r="E40" i="6"/>
  <c r="H40" i="6" s="1"/>
  <c r="F40" i="6"/>
  <c r="G40" i="6"/>
  <c r="E41" i="6"/>
  <c r="F41" i="6"/>
  <c r="G41" i="6"/>
  <c r="E42" i="6"/>
  <c r="F42" i="6"/>
  <c r="G42" i="6"/>
  <c r="E43" i="6"/>
  <c r="F43" i="6"/>
  <c r="G43" i="6"/>
  <c r="E44" i="6"/>
  <c r="F44" i="6"/>
  <c r="G44" i="6"/>
  <c r="H44" i="6" s="1"/>
  <c r="E45" i="6"/>
  <c r="H45" i="6" s="1"/>
  <c r="F45" i="6"/>
  <c r="G45" i="6"/>
  <c r="E46" i="6"/>
  <c r="H46" i="6" s="1"/>
  <c r="F46" i="6"/>
  <c r="G46" i="6"/>
  <c r="E47" i="6"/>
  <c r="H47" i="6" s="1"/>
  <c r="F47" i="6"/>
  <c r="G47" i="6"/>
  <c r="E48" i="6"/>
  <c r="H48" i="6" s="1"/>
  <c r="F48" i="6"/>
  <c r="G48" i="6"/>
  <c r="E49" i="6"/>
  <c r="F49" i="6"/>
  <c r="G49" i="6"/>
  <c r="E50" i="6"/>
  <c r="F50" i="6"/>
  <c r="G50" i="6"/>
  <c r="E51" i="6"/>
  <c r="H51" i="6" s="1"/>
  <c r="F51" i="6"/>
  <c r="G51" i="6"/>
  <c r="E52" i="6"/>
  <c r="H52" i="6" s="1"/>
  <c r="F52" i="6"/>
  <c r="G52" i="6"/>
  <c r="E53" i="6"/>
  <c r="F53" i="6"/>
  <c r="G53" i="6"/>
  <c r="E54" i="6"/>
  <c r="F54" i="6"/>
  <c r="G54" i="6"/>
  <c r="E55" i="6"/>
  <c r="F55" i="6"/>
  <c r="G55" i="6"/>
  <c r="E56" i="6"/>
  <c r="F56" i="6"/>
  <c r="G56" i="6"/>
  <c r="H56" i="6" s="1"/>
  <c r="E57" i="6"/>
  <c r="H57" i="6" s="1"/>
  <c r="F57" i="6"/>
  <c r="G57" i="6"/>
  <c r="E58" i="6"/>
  <c r="H58" i="6" s="1"/>
  <c r="F58" i="6"/>
  <c r="G58" i="6"/>
  <c r="E59" i="6"/>
  <c r="H59" i="6" s="1"/>
  <c r="F59" i="6"/>
  <c r="G59" i="6"/>
  <c r="E60" i="6"/>
  <c r="H60" i="6" s="1"/>
  <c r="F60" i="6"/>
  <c r="G60" i="6"/>
  <c r="E61" i="6"/>
  <c r="F61" i="6"/>
  <c r="G61" i="6"/>
  <c r="E62" i="6"/>
  <c r="F62" i="6"/>
  <c r="G62" i="6"/>
  <c r="H62" i="6" s="1"/>
  <c r="E63" i="6"/>
  <c r="H63" i="6" s="1"/>
  <c r="F63" i="6"/>
  <c r="G63" i="6"/>
  <c r="E64" i="6"/>
  <c r="H64" i="6" s="1"/>
  <c r="F64" i="6"/>
  <c r="G64" i="6"/>
  <c r="E65" i="6"/>
  <c r="F65" i="6"/>
  <c r="G65" i="6"/>
  <c r="E66" i="6"/>
  <c r="F66" i="6"/>
  <c r="G66" i="6"/>
  <c r="E67" i="6"/>
  <c r="F67" i="6"/>
  <c r="G67" i="6"/>
  <c r="E68" i="6"/>
  <c r="F68" i="6"/>
  <c r="G68" i="6"/>
  <c r="H68" i="6" s="1"/>
  <c r="E69" i="6"/>
  <c r="H69" i="6" s="1"/>
  <c r="F69" i="6"/>
  <c r="G69" i="6"/>
  <c r="E70" i="6"/>
  <c r="H70" i="6" s="1"/>
  <c r="F70" i="6"/>
  <c r="G70" i="6"/>
  <c r="E71" i="6"/>
  <c r="H71" i="6" s="1"/>
  <c r="F71" i="6"/>
  <c r="G71" i="6"/>
  <c r="E72" i="6"/>
  <c r="H72" i="6" s="1"/>
  <c r="F72" i="6"/>
  <c r="G72" i="6"/>
  <c r="E73" i="6"/>
  <c r="F73" i="6"/>
  <c r="G73" i="6"/>
  <c r="E74" i="6"/>
  <c r="F74" i="6"/>
  <c r="G74" i="6"/>
  <c r="H74" i="6" s="1"/>
  <c r="E75" i="6"/>
  <c r="H75" i="6" s="1"/>
  <c r="F75" i="6"/>
  <c r="G75" i="6"/>
  <c r="E76" i="6"/>
  <c r="H76" i="6" s="1"/>
  <c r="F76" i="6"/>
  <c r="G76" i="6"/>
  <c r="E77" i="6"/>
  <c r="F77" i="6"/>
  <c r="G77" i="6"/>
  <c r="E78" i="6"/>
  <c r="F78" i="6"/>
  <c r="G78" i="6"/>
  <c r="E79" i="6"/>
  <c r="F79" i="6"/>
  <c r="G79" i="6"/>
  <c r="E80" i="6"/>
  <c r="F80" i="6"/>
  <c r="G80" i="6"/>
  <c r="H80" i="6" s="1"/>
  <c r="E81" i="6"/>
  <c r="H81" i="6" s="1"/>
  <c r="F81" i="6"/>
  <c r="G81" i="6"/>
  <c r="E82" i="6"/>
  <c r="H82" i="6" s="1"/>
  <c r="F82" i="6"/>
  <c r="G82" i="6"/>
  <c r="E83" i="6"/>
  <c r="H83" i="6" s="1"/>
  <c r="F83" i="6"/>
  <c r="G83" i="6"/>
  <c r="E84" i="6"/>
  <c r="H84" i="6" s="1"/>
  <c r="F84" i="6"/>
  <c r="G84" i="6"/>
  <c r="E85" i="6"/>
  <c r="F85" i="6"/>
  <c r="G85" i="6"/>
  <c r="E86" i="6"/>
  <c r="F86" i="6"/>
  <c r="G86" i="6"/>
  <c r="H86" i="6" s="1"/>
  <c r="E87" i="6"/>
  <c r="H87" i="6" s="1"/>
  <c r="F87" i="6"/>
  <c r="G87" i="6"/>
  <c r="E88" i="6"/>
  <c r="H88" i="6" s="1"/>
  <c r="F88" i="6"/>
  <c r="G88" i="6"/>
  <c r="E89" i="6"/>
  <c r="F89" i="6"/>
  <c r="G89" i="6"/>
  <c r="E90" i="6"/>
  <c r="F90" i="6"/>
  <c r="G90" i="6"/>
  <c r="E91" i="6"/>
  <c r="F91" i="6"/>
  <c r="G91" i="6"/>
  <c r="E92" i="6"/>
  <c r="F92" i="6"/>
  <c r="G92" i="6"/>
  <c r="H92" i="6" s="1"/>
  <c r="E93" i="6"/>
  <c r="H93" i="6" s="1"/>
  <c r="F93" i="6"/>
  <c r="G93" i="6"/>
  <c r="E94" i="6"/>
  <c r="H94" i="6" s="1"/>
  <c r="F94" i="6"/>
  <c r="G94" i="6"/>
  <c r="E95" i="6"/>
  <c r="H95" i="6" s="1"/>
  <c r="F95" i="6"/>
  <c r="G95" i="6"/>
  <c r="E96" i="6"/>
  <c r="H96" i="6" s="1"/>
  <c r="F96" i="6"/>
  <c r="G96" i="6"/>
  <c r="E97" i="6"/>
  <c r="F97" i="6"/>
  <c r="G97" i="6"/>
  <c r="E98" i="6"/>
  <c r="F98" i="6"/>
  <c r="G98" i="6"/>
  <c r="H98" i="6" s="1"/>
  <c r="E99" i="6"/>
  <c r="H99" i="6" s="1"/>
  <c r="F99" i="6"/>
  <c r="G99" i="6"/>
  <c r="E100" i="6"/>
  <c r="H100" i="6" s="1"/>
  <c r="F100" i="6"/>
  <c r="G100" i="6"/>
  <c r="E101" i="6"/>
  <c r="F101" i="6"/>
  <c r="G101" i="6"/>
  <c r="E102" i="6"/>
  <c r="F102" i="6"/>
  <c r="G102" i="6"/>
  <c r="E103" i="6"/>
  <c r="F103" i="6"/>
  <c r="G103" i="6"/>
  <c r="E104" i="6"/>
  <c r="F104" i="6"/>
  <c r="G104" i="6"/>
  <c r="H104" i="6" s="1"/>
  <c r="E105" i="6"/>
  <c r="H105" i="6" s="1"/>
  <c r="F105" i="6"/>
  <c r="G105" i="6"/>
  <c r="E106" i="6"/>
  <c r="H106" i="6" s="1"/>
  <c r="F106" i="6"/>
  <c r="G106" i="6"/>
  <c r="E107" i="6"/>
  <c r="H107" i="6" s="1"/>
  <c r="F107" i="6"/>
  <c r="G107" i="6"/>
  <c r="E108" i="6"/>
  <c r="H108" i="6" s="1"/>
  <c r="F108" i="6"/>
  <c r="G108" i="6"/>
  <c r="E109" i="6"/>
  <c r="F109" i="6"/>
  <c r="G109" i="6"/>
  <c r="E110" i="6"/>
  <c r="F110" i="6"/>
  <c r="G110" i="6"/>
  <c r="H110" i="6" s="1"/>
  <c r="E111" i="6"/>
  <c r="H111" i="6" s="1"/>
  <c r="F111" i="6"/>
  <c r="G111" i="6"/>
  <c r="E112" i="6"/>
  <c r="H112" i="6" s="1"/>
  <c r="F112" i="6"/>
  <c r="G112" i="6"/>
  <c r="E113" i="6"/>
  <c r="F113" i="6"/>
  <c r="G113" i="6"/>
  <c r="E114" i="6"/>
  <c r="F114" i="6"/>
  <c r="G114" i="6"/>
  <c r="E115" i="6"/>
  <c r="F115" i="6"/>
  <c r="G115" i="6"/>
  <c r="E116" i="6"/>
  <c r="F116" i="6"/>
  <c r="G116" i="6"/>
  <c r="H116" i="6" s="1"/>
  <c r="E117" i="6"/>
  <c r="H117" i="6" s="1"/>
  <c r="F117" i="6"/>
  <c r="G117" i="6"/>
  <c r="E118" i="6"/>
  <c r="H118" i="6" s="1"/>
  <c r="F118" i="6"/>
  <c r="G118" i="6"/>
  <c r="E119" i="6"/>
  <c r="H119" i="6" s="1"/>
  <c r="F119" i="6"/>
  <c r="G119" i="6"/>
  <c r="E120" i="6"/>
  <c r="H120" i="6" s="1"/>
  <c r="F120" i="6"/>
  <c r="G120" i="6"/>
  <c r="E121" i="6"/>
  <c r="F121" i="6"/>
  <c r="G121" i="6"/>
  <c r="E122" i="6"/>
  <c r="F122" i="6"/>
  <c r="G122" i="6"/>
  <c r="H122" i="6" s="1"/>
  <c r="E123" i="6"/>
  <c r="H123" i="6" s="1"/>
  <c r="F123" i="6"/>
  <c r="G123" i="6"/>
  <c r="E124" i="6"/>
  <c r="H124" i="6" s="1"/>
  <c r="F124" i="6"/>
  <c r="G124" i="6"/>
  <c r="E125" i="6"/>
  <c r="F125" i="6"/>
  <c r="G125" i="6"/>
  <c r="E126" i="6"/>
  <c r="F126" i="6"/>
  <c r="G126" i="6"/>
  <c r="E127" i="6"/>
  <c r="F127" i="6"/>
  <c r="G127" i="6"/>
  <c r="E128" i="6"/>
  <c r="F128" i="6"/>
  <c r="G128" i="6"/>
  <c r="H128" i="6" s="1"/>
  <c r="E129" i="6"/>
  <c r="H129" i="6" s="1"/>
  <c r="F129" i="6"/>
  <c r="G129" i="6"/>
  <c r="E130" i="6"/>
  <c r="H130" i="6" s="1"/>
  <c r="F130" i="6"/>
  <c r="G130" i="6"/>
  <c r="E131" i="6"/>
  <c r="H131" i="6" s="1"/>
  <c r="F131" i="6"/>
  <c r="G131" i="6"/>
  <c r="E132" i="6"/>
  <c r="H132" i="6" s="1"/>
  <c r="F132" i="6"/>
  <c r="G132" i="6"/>
  <c r="E133" i="6"/>
  <c r="F133" i="6"/>
  <c r="G133" i="6"/>
  <c r="E134" i="6"/>
  <c r="F134" i="6"/>
  <c r="G134" i="6"/>
  <c r="H134" i="6" s="1"/>
  <c r="E135" i="6"/>
  <c r="H135" i="6" s="1"/>
  <c r="F135" i="6"/>
  <c r="G135" i="6"/>
  <c r="E136" i="6"/>
  <c r="H136" i="6" s="1"/>
  <c r="F136" i="6"/>
  <c r="G136" i="6"/>
  <c r="E137" i="6"/>
  <c r="F137" i="6"/>
  <c r="G137" i="6"/>
  <c r="E138" i="6"/>
  <c r="F138" i="6"/>
  <c r="G138" i="6"/>
  <c r="E139" i="6"/>
  <c r="F139" i="6"/>
  <c r="G139" i="6"/>
  <c r="E140" i="6"/>
  <c r="F140" i="6"/>
  <c r="G140" i="6"/>
  <c r="H140" i="6" s="1"/>
  <c r="E141" i="6"/>
  <c r="H141" i="6" s="1"/>
  <c r="F141" i="6"/>
  <c r="G141" i="6"/>
  <c r="E142" i="6"/>
  <c r="H142" i="6" s="1"/>
  <c r="F142" i="6"/>
  <c r="G142" i="6"/>
  <c r="E143" i="6"/>
  <c r="H143" i="6" s="1"/>
  <c r="F143" i="6"/>
  <c r="G143" i="6"/>
  <c r="E144" i="6"/>
  <c r="H144" i="6" s="1"/>
  <c r="F144" i="6"/>
  <c r="G144" i="6"/>
  <c r="E145" i="6"/>
  <c r="F145" i="6"/>
  <c r="G145" i="6"/>
  <c r="E146" i="6"/>
  <c r="F146" i="6"/>
  <c r="G146" i="6"/>
  <c r="H146" i="6" s="1"/>
  <c r="E147" i="6"/>
  <c r="H147" i="6" s="1"/>
  <c r="F147" i="6"/>
  <c r="G147" i="6"/>
  <c r="E148" i="6"/>
  <c r="H148" i="6" s="1"/>
  <c r="F148" i="6"/>
  <c r="G148" i="6"/>
  <c r="E149" i="6"/>
  <c r="F149" i="6"/>
  <c r="G149" i="6"/>
  <c r="E150" i="6"/>
  <c r="F150" i="6"/>
  <c r="G150" i="6"/>
  <c r="E151" i="6"/>
  <c r="F151" i="6"/>
  <c r="G151" i="6"/>
  <c r="E152" i="6"/>
  <c r="F152" i="6"/>
  <c r="G152" i="6"/>
  <c r="H152" i="6" s="1"/>
  <c r="E153" i="6"/>
  <c r="H153" i="6" s="1"/>
  <c r="F153" i="6"/>
  <c r="G153" i="6"/>
  <c r="E154" i="6"/>
  <c r="H154" i="6" s="1"/>
  <c r="F154" i="6"/>
  <c r="G154" i="6"/>
  <c r="E155" i="6"/>
  <c r="H155" i="6" s="1"/>
  <c r="F155" i="6"/>
  <c r="G155" i="6"/>
  <c r="E156" i="6"/>
  <c r="H156" i="6" s="1"/>
  <c r="F156" i="6"/>
  <c r="G156" i="6"/>
  <c r="E157" i="6"/>
  <c r="F157" i="6"/>
  <c r="G157" i="6"/>
  <c r="E158" i="6"/>
  <c r="F158" i="6"/>
  <c r="G158" i="6"/>
  <c r="H158" i="6" s="1"/>
  <c r="E159" i="6"/>
  <c r="H159" i="6" s="1"/>
  <c r="F159" i="6"/>
  <c r="G159" i="6"/>
  <c r="E160" i="6"/>
  <c r="H160" i="6" s="1"/>
  <c r="F160" i="6"/>
  <c r="G160" i="6"/>
  <c r="E161" i="6"/>
  <c r="F161" i="6"/>
  <c r="G161" i="6"/>
  <c r="E162" i="6"/>
  <c r="F162" i="6"/>
  <c r="G162" i="6"/>
  <c r="E163" i="6"/>
  <c r="F163" i="6"/>
  <c r="G163" i="6"/>
  <c r="E164" i="6"/>
  <c r="F164" i="6"/>
  <c r="G164" i="6"/>
  <c r="H164" i="6" s="1"/>
  <c r="E165" i="6"/>
  <c r="H165" i="6" s="1"/>
  <c r="F165" i="6"/>
  <c r="G165" i="6"/>
  <c r="E166" i="6"/>
  <c r="H166" i="6" s="1"/>
  <c r="F166" i="6"/>
  <c r="G166" i="6"/>
  <c r="E167" i="6"/>
  <c r="H167" i="6" s="1"/>
  <c r="F167" i="6"/>
  <c r="G167" i="6"/>
  <c r="E168" i="6"/>
  <c r="H168" i="6" s="1"/>
  <c r="F168" i="6"/>
  <c r="G168" i="6"/>
  <c r="E169" i="6"/>
  <c r="F169" i="6"/>
  <c r="G169" i="6"/>
  <c r="E170" i="6"/>
  <c r="F170" i="6"/>
  <c r="G170" i="6"/>
  <c r="H170" i="6" s="1"/>
  <c r="E171" i="6"/>
  <c r="H171" i="6" s="1"/>
  <c r="F171" i="6"/>
  <c r="G171" i="6"/>
  <c r="E172" i="6"/>
  <c r="H172" i="6" s="1"/>
  <c r="F172" i="6"/>
  <c r="G172" i="6"/>
  <c r="E173" i="6"/>
  <c r="F173" i="6"/>
  <c r="G173" i="6"/>
  <c r="E174" i="6"/>
  <c r="F174" i="6"/>
  <c r="G174" i="6"/>
  <c r="E175" i="6"/>
  <c r="F175" i="6"/>
  <c r="G175" i="6"/>
  <c r="E176" i="6"/>
  <c r="F176" i="6"/>
  <c r="G176" i="6"/>
  <c r="H176" i="6" s="1"/>
  <c r="E177" i="6"/>
  <c r="H177" i="6" s="1"/>
  <c r="F177" i="6"/>
  <c r="G177" i="6"/>
  <c r="E178" i="6"/>
  <c r="H178" i="6" s="1"/>
  <c r="F178" i="6"/>
  <c r="G178" i="6"/>
  <c r="E179" i="6"/>
  <c r="H179" i="6" s="1"/>
  <c r="F179" i="6"/>
  <c r="G179" i="6"/>
  <c r="E180" i="6"/>
  <c r="H180" i="6" s="1"/>
  <c r="F180" i="6"/>
  <c r="G180" i="6"/>
  <c r="E181" i="6"/>
  <c r="F181" i="6"/>
  <c r="G181" i="6"/>
  <c r="E182" i="6"/>
  <c r="F182" i="6"/>
  <c r="G182" i="6"/>
  <c r="H182" i="6" s="1"/>
  <c r="E183" i="6"/>
  <c r="H183" i="6" s="1"/>
  <c r="F183" i="6"/>
  <c r="G183" i="6"/>
  <c r="E184" i="6"/>
  <c r="H184" i="6" s="1"/>
  <c r="F184" i="6"/>
  <c r="G184" i="6"/>
  <c r="E185" i="6"/>
  <c r="F185" i="6"/>
  <c r="G185" i="6"/>
  <c r="E186" i="6"/>
  <c r="F186" i="6"/>
  <c r="G186" i="6"/>
  <c r="E187" i="6"/>
  <c r="F187" i="6"/>
  <c r="G187" i="6"/>
  <c r="E188" i="6"/>
  <c r="F188" i="6"/>
  <c r="G188" i="6"/>
  <c r="H188" i="6" s="1"/>
  <c r="E189" i="6"/>
  <c r="H189" i="6" s="1"/>
  <c r="F189" i="6"/>
  <c r="G189" i="6"/>
  <c r="E190" i="6"/>
  <c r="H190" i="6" s="1"/>
  <c r="F190" i="6"/>
  <c r="G190" i="6"/>
  <c r="E191" i="6"/>
  <c r="H191" i="6" s="1"/>
  <c r="F191" i="6"/>
  <c r="G191" i="6"/>
  <c r="E192" i="6"/>
  <c r="H192" i="6" s="1"/>
  <c r="F192" i="6"/>
  <c r="G192" i="6"/>
  <c r="E193" i="6"/>
  <c r="F193" i="6"/>
  <c r="G193" i="6"/>
  <c r="E194" i="6"/>
  <c r="F194" i="6"/>
  <c r="G194" i="6"/>
  <c r="H194" i="6" s="1"/>
  <c r="E195" i="6"/>
  <c r="H195" i="6" s="1"/>
  <c r="F195" i="6"/>
  <c r="G195" i="6"/>
  <c r="E196" i="6"/>
  <c r="H196" i="6" s="1"/>
  <c r="F196" i="6"/>
  <c r="G196" i="6"/>
  <c r="E197" i="6"/>
  <c r="F197" i="6"/>
  <c r="G197" i="6"/>
  <c r="E198" i="6"/>
  <c r="F198" i="6"/>
  <c r="G198" i="6"/>
  <c r="E199" i="6"/>
  <c r="F199" i="6"/>
  <c r="G199" i="6"/>
  <c r="E200" i="6"/>
  <c r="F200" i="6"/>
  <c r="G200" i="6"/>
  <c r="H200" i="6" s="1"/>
  <c r="E201" i="6"/>
  <c r="H201" i="6" s="1"/>
  <c r="F201" i="6"/>
  <c r="G201" i="6"/>
  <c r="E202" i="6"/>
  <c r="H202" i="6" s="1"/>
  <c r="F202" i="6"/>
  <c r="G202" i="6"/>
  <c r="E203" i="6"/>
  <c r="H203" i="6" s="1"/>
  <c r="F203" i="6"/>
  <c r="G203" i="6"/>
  <c r="E204" i="6"/>
  <c r="H204" i="6" s="1"/>
  <c r="F204" i="6"/>
  <c r="G204" i="6"/>
  <c r="E205" i="6"/>
  <c r="F205" i="6"/>
  <c r="G205" i="6"/>
  <c r="G2" i="6"/>
  <c r="G206" i="6" s="1"/>
  <c r="F2" i="6"/>
  <c r="F206" i="6" s="1"/>
  <c r="L212" i="4"/>
  <c r="M212" i="4"/>
  <c r="K21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M2" i="4"/>
  <c r="L2" i="4"/>
  <c r="K2" i="4"/>
  <c r="AM205" i="4"/>
  <c r="AM204" i="4"/>
  <c r="AM203" i="4"/>
  <c r="AM202" i="4"/>
  <c r="AM201" i="4"/>
  <c r="AM200" i="4"/>
  <c r="AM199" i="4"/>
  <c r="AM198" i="4"/>
  <c r="AM197" i="4"/>
  <c r="AM196" i="4"/>
  <c r="AM195" i="4"/>
  <c r="AM194" i="4"/>
  <c r="AM193" i="4"/>
  <c r="AM192" i="4"/>
  <c r="AM191" i="4"/>
  <c r="AM190" i="4"/>
  <c r="AM189" i="4"/>
  <c r="AM188" i="4"/>
  <c r="AM187" i="4"/>
  <c r="AM186" i="4"/>
  <c r="AM185" i="4"/>
  <c r="AM184" i="4"/>
  <c r="AM183" i="4"/>
  <c r="AM182" i="4"/>
  <c r="AM181" i="4"/>
  <c r="AM180" i="4"/>
  <c r="AM179" i="4"/>
  <c r="AM178" i="4"/>
  <c r="AM177" i="4"/>
  <c r="AM176" i="4"/>
  <c r="AM175" i="4"/>
  <c r="AM174" i="4"/>
  <c r="AM173" i="4"/>
  <c r="AM172" i="4"/>
  <c r="AM171" i="4"/>
  <c r="AM170" i="4"/>
  <c r="AM169" i="4"/>
  <c r="AM168" i="4"/>
  <c r="AM167" i="4"/>
  <c r="AM166" i="4"/>
  <c r="AM165" i="4"/>
  <c r="AM164" i="4"/>
  <c r="AM163" i="4"/>
  <c r="AM162" i="4"/>
  <c r="AM161" i="4"/>
  <c r="AM160" i="4"/>
  <c r="AM159" i="4"/>
  <c r="AM158" i="4"/>
  <c r="AM157" i="4"/>
  <c r="AM156" i="4"/>
  <c r="AM155" i="4"/>
  <c r="AM154" i="4"/>
  <c r="AM153" i="4"/>
  <c r="AM152" i="4"/>
  <c r="AM151" i="4"/>
  <c r="AM150" i="4"/>
  <c r="AM149" i="4"/>
  <c r="AM148" i="4"/>
  <c r="AM147" i="4"/>
  <c r="AM146" i="4"/>
  <c r="AM145" i="4"/>
  <c r="AM144" i="4"/>
  <c r="AM143" i="4"/>
  <c r="AM142" i="4"/>
  <c r="AM141" i="4"/>
  <c r="AM140" i="4"/>
  <c r="AM139" i="4"/>
  <c r="AM138" i="4"/>
  <c r="AM137" i="4"/>
  <c r="AM136" i="4"/>
  <c r="AM135" i="4"/>
  <c r="AM134" i="4"/>
  <c r="AM133" i="4"/>
  <c r="AM132" i="4"/>
  <c r="AM131" i="4"/>
  <c r="AM130" i="4"/>
  <c r="AM129" i="4"/>
  <c r="AM128" i="4"/>
  <c r="AM127" i="4"/>
  <c r="AM126" i="4"/>
  <c r="AM125" i="4"/>
  <c r="AM124" i="4"/>
  <c r="AM123" i="4"/>
  <c r="AM122" i="4"/>
  <c r="AM121" i="4"/>
  <c r="AM120" i="4"/>
  <c r="AM119" i="4"/>
  <c r="AM118" i="4"/>
  <c r="AM117" i="4"/>
  <c r="AM116" i="4"/>
  <c r="AM115" i="4"/>
  <c r="AM114" i="4"/>
  <c r="AM113" i="4"/>
  <c r="AM112" i="4"/>
  <c r="AM111" i="4"/>
  <c r="AM110" i="4"/>
  <c r="AM109" i="4"/>
  <c r="AM108" i="4"/>
  <c r="AM107" i="4"/>
  <c r="AM106" i="4"/>
  <c r="AM105" i="4"/>
  <c r="AM104" i="4"/>
  <c r="AM103" i="4"/>
  <c r="AM102" i="4"/>
  <c r="AM101" i="4"/>
  <c r="AM100" i="4"/>
  <c r="AM99" i="4"/>
  <c r="AM98" i="4"/>
  <c r="AM97" i="4"/>
  <c r="AM96" i="4"/>
  <c r="AM95" i="4"/>
  <c r="AM94" i="4"/>
  <c r="AM93" i="4"/>
  <c r="AM92" i="4"/>
  <c r="AM91" i="4"/>
  <c r="AM90" i="4"/>
  <c r="AM89" i="4"/>
  <c r="AM88" i="4"/>
  <c r="AM87" i="4"/>
  <c r="AM86" i="4"/>
  <c r="AM85" i="4"/>
  <c r="AM84" i="4"/>
  <c r="AM83" i="4"/>
  <c r="AM82" i="4"/>
  <c r="AM81" i="4"/>
  <c r="AM80" i="4"/>
  <c r="AM79" i="4"/>
  <c r="AM78" i="4"/>
  <c r="AM77" i="4"/>
  <c r="AM76" i="4"/>
  <c r="AM75" i="4"/>
  <c r="AM74" i="4"/>
  <c r="AM73" i="4"/>
  <c r="AM72" i="4"/>
  <c r="AM71" i="4"/>
  <c r="AM70" i="4"/>
  <c r="AM69" i="4"/>
  <c r="AM68" i="4"/>
  <c r="AM67" i="4"/>
  <c r="AM66" i="4"/>
  <c r="AM65" i="4"/>
  <c r="AM64" i="4"/>
  <c r="AM63" i="4"/>
  <c r="AM62" i="4"/>
  <c r="AM61" i="4"/>
  <c r="AM60" i="4"/>
  <c r="AM59" i="4"/>
  <c r="AM58" i="4"/>
  <c r="AM57" i="4"/>
  <c r="AM56" i="4"/>
  <c r="AM55" i="4"/>
  <c r="AM54" i="4"/>
  <c r="AM53" i="4"/>
  <c r="AM52" i="4"/>
  <c r="AM51" i="4"/>
  <c r="AM50" i="4"/>
  <c r="AM49" i="4"/>
  <c r="AM48" i="4"/>
  <c r="AM47" i="4"/>
  <c r="AM46" i="4"/>
  <c r="AM45" i="4"/>
  <c r="AM44" i="4"/>
  <c r="AM43" i="4"/>
  <c r="AM42" i="4"/>
  <c r="AM41" i="4"/>
  <c r="AM40" i="4"/>
  <c r="AM39" i="4"/>
  <c r="AM38" i="4"/>
  <c r="AM37" i="4"/>
  <c r="AM36" i="4"/>
  <c r="AM35" i="4"/>
  <c r="AM34" i="4"/>
  <c r="AM33" i="4"/>
  <c r="AM32" i="4"/>
  <c r="AM31" i="4"/>
  <c r="AM30" i="4"/>
  <c r="AM29" i="4"/>
  <c r="AM28" i="4"/>
  <c r="AM27" i="4"/>
  <c r="AM26" i="4"/>
  <c r="AM25" i="4"/>
  <c r="AM24" i="4"/>
  <c r="AM23" i="4"/>
  <c r="AM22" i="4"/>
  <c r="AM21" i="4"/>
  <c r="AM20" i="4"/>
  <c r="AM19" i="4"/>
  <c r="AM18" i="4"/>
  <c r="AM17" i="4"/>
  <c r="AM16" i="4"/>
  <c r="AM15" i="4"/>
  <c r="AM14" i="4"/>
  <c r="AM13" i="4"/>
  <c r="AM12" i="4"/>
  <c r="AM11" i="4"/>
  <c r="AM10" i="4"/>
  <c r="AM9" i="4"/>
  <c r="AM8" i="4"/>
  <c r="AM7" i="4"/>
  <c r="AM6" i="4"/>
  <c r="AM5" i="4"/>
  <c r="AM4" i="4"/>
  <c r="AM3" i="4"/>
  <c r="AM2" i="4"/>
  <c r="AN13" i="4"/>
  <c r="AN25" i="4"/>
  <c r="AN37" i="4"/>
  <c r="AN49" i="4"/>
  <c r="AN61" i="4"/>
  <c r="AN73" i="4"/>
  <c r="AN85" i="4"/>
  <c r="AN97" i="4"/>
  <c r="AN109" i="4"/>
  <c r="AN121" i="4"/>
  <c r="AN133" i="4"/>
  <c r="AN145" i="4"/>
  <c r="AN157" i="4"/>
  <c r="AN169" i="4"/>
  <c r="AN181" i="4"/>
  <c r="AN193" i="4"/>
  <c r="AN205" i="4"/>
  <c r="AG3" i="4"/>
  <c r="AN3" i="4" s="1"/>
  <c r="AH3" i="4"/>
  <c r="AI3" i="4"/>
  <c r="AJ3" i="4"/>
  <c r="AK3" i="4"/>
  <c r="AL3" i="4"/>
  <c r="AG4" i="4"/>
  <c r="AH4" i="4"/>
  <c r="AN4" i="4" s="1"/>
  <c r="AI4" i="4"/>
  <c r="AJ4" i="4"/>
  <c r="AK4" i="4"/>
  <c r="AL4" i="4"/>
  <c r="AG5" i="4"/>
  <c r="AN5" i="4" s="1"/>
  <c r="AH5" i="4"/>
  <c r="AI5" i="4"/>
  <c r="AJ5" i="4"/>
  <c r="AK5" i="4"/>
  <c r="AL5" i="4"/>
  <c r="AG6" i="4"/>
  <c r="AN6" i="4" s="1"/>
  <c r="AH6" i="4"/>
  <c r="AI6" i="4"/>
  <c r="AJ6" i="4"/>
  <c r="AK6" i="4"/>
  <c r="AL6" i="4"/>
  <c r="AG7" i="4"/>
  <c r="AN7" i="4" s="1"/>
  <c r="AH7" i="4"/>
  <c r="AI7" i="4"/>
  <c r="AJ7" i="4"/>
  <c r="AK7" i="4"/>
  <c r="AL7" i="4"/>
  <c r="AG8" i="4"/>
  <c r="AN8" i="4" s="1"/>
  <c r="AH8" i="4"/>
  <c r="AI8" i="4"/>
  <c r="AJ8" i="4"/>
  <c r="AK8" i="4"/>
  <c r="AL8" i="4"/>
  <c r="AG9" i="4"/>
  <c r="AN9" i="4" s="1"/>
  <c r="AH9" i="4"/>
  <c r="AI9" i="4"/>
  <c r="AJ9" i="4"/>
  <c r="AK9" i="4"/>
  <c r="AL9" i="4"/>
  <c r="AG10" i="4"/>
  <c r="AH10" i="4"/>
  <c r="AN10" i="4" s="1"/>
  <c r="AI10" i="4"/>
  <c r="AJ10" i="4"/>
  <c r="AK10" i="4"/>
  <c r="AL10" i="4"/>
  <c r="AG11" i="4"/>
  <c r="AN11" i="4" s="1"/>
  <c r="AH11" i="4"/>
  <c r="AI11" i="4"/>
  <c r="AJ11" i="4"/>
  <c r="AK11" i="4"/>
  <c r="AL11" i="4"/>
  <c r="AG12" i="4"/>
  <c r="AH12" i="4"/>
  <c r="AI12" i="4"/>
  <c r="AJ12" i="4"/>
  <c r="AK12" i="4"/>
  <c r="AN12" i="4" s="1"/>
  <c r="AL12" i="4"/>
  <c r="AG13" i="4"/>
  <c r="AH13" i="4"/>
  <c r="AI13" i="4"/>
  <c r="AJ13" i="4"/>
  <c r="AK13" i="4"/>
  <c r="AL13" i="4"/>
  <c r="AG14" i="4"/>
  <c r="AH14" i="4"/>
  <c r="AN14" i="4" s="1"/>
  <c r="AI14" i="4"/>
  <c r="AJ14" i="4"/>
  <c r="AK14" i="4"/>
  <c r="AL14" i="4"/>
  <c r="AG15" i="4"/>
  <c r="AN15" i="4" s="1"/>
  <c r="AH15" i="4"/>
  <c r="AI15" i="4"/>
  <c r="AJ15" i="4"/>
  <c r="AK15" i="4"/>
  <c r="AL15" i="4"/>
  <c r="AG16" i="4"/>
  <c r="AH16" i="4"/>
  <c r="AN16" i="4" s="1"/>
  <c r="AI16" i="4"/>
  <c r="AJ16" i="4"/>
  <c r="AK16" i="4"/>
  <c r="AL16" i="4"/>
  <c r="AG17" i="4"/>
  <c r="AN17" i="4" s="1"/>
  <c r="AH17" i="4"/>
  <c r="AI17" i="4"/>
  <c r="AJ17" i="4"/>
  <c r="AK17" i="4"/>
  <c r="AL17" i="4"/>
  <c r="AG18" i="4"/>
  <c r="AN18" i="4" s="1"/>
  <c r="AH18" i="4"/>
  <c r="AI18" i="4"/>
  <c r="AJ18" i="4"/>
  <c r="AK18" i="4"/>
  <c r="AL18" i="4"/>
  <c r="AG19" i="4"/>
  <c r="AN19" i="4" s="1"/>
  <c r="AH19" i="4"/>
  <c r="AI19" i="4"/>
  <c r="AJ19" i="4"/>
  <c r="AK19" i="4"/>
  <c r="AL19" i="4"/>
  <c r="AG20" i="4"/>
  <c r="AN20" i="4" s="1"/>
  <c r="AH20" i="4"/>
  <c r="AI20" i="4"/>
  <c r="AJ20" i="4"/>
  <c r="AK20" i="4"/>
  <c r="AL20" i="4"/>
  <c r="AG21" i="4"/>
  <c r="AN21" i="4" s="1"/>
  <c r="AH21" i="4"/>
  <c r="AI21" i="4"/>
  <c r="AJ21" i="4"/>
  <c r="AK21" i="4"/>
  <c r="AL21" i="4"/>
  <c r="AG22" i="4"/>
  <c r="AN22" i="4" s="1"/>
  <c r="AH22" i="4"/>
  <c r="AI22" i="4"/>
  <c r="AJ22" i="4"/>
  <c r="AK22" i="4"/>
  <c r="AL22" i="4"/>
  <c r="AG23" i="4"/>
  <c r="AN23" i="4" s="1"/>
  <c r="AH23" i="4"/>
  <c r="AI23" i="4"/>
  <c r="AJ23" i="4"/>
  <c r="AK23" i="4"/>
  <c r="AL23" i="4"/>
  <c r="AG24" i="4"/>
  <c r="AH24" i="4"/>
  <c r="AI24" i="4"/>
  <c r="AJ24" i="4"/>
  <c r="AK24" i="4"/>
  <c r="AN24" i="4" s="1"/>
  <c r="AL24" i="4"/>
  <c r="AG25" i="4"/>
  <c r="AH25" i="4"/>
  <c r="AI25" i="4"/>
  <c r="AJ25" i="4"/>
  <c r="AK25" i="4"/>
  <c r="AL25" i="4"/>
  <c r="AG26" i="4"/>
  <c r="AH26" i="4"/>
  <c r="AN26" i="4" s="1"/>
  <c r="AI26" i="4"/>
  <c r="AJ26" i="4"/>
  <c r="AK26" i="4"/>
  <c r="AL26" i="4"/>
  <c r="AG27" i="4"/>
  <c r="AN27" i="4" s="1"/>
  <c r="AH27" i="4"/>
  <c r="AI27" i="4"/>
  <c r="AJ27" i="4"/>
  <c r="AK27" i="4"/>
  <c r="AL27" i="4"/>
  <c r="AG28" i="4"/>
  <c r="AH28" i="4"/>
  <c r="AN28" i="4" s="1"/>
  <c r="AI28" i="4"/>
  <c r="AJ28" i="4"/>
  <c r="AK28" i="4"/>
  <c r="AL28" i="4"/>
  <c r="AG29" i="4"/>
  <c r="AN29" i="4" s="1"/>
  <c r="AH29" i="4"/>
  <c r="AI29" i="4"/>
  <c r="AJ29" i="4"/>
  <c r="AK29" i="4"/>
  <c r="AL29" i="4"/>
  <c r="AG30" i="4"/>
  <c r="AN30" i="4" s="1"/>
  <c r="AH30" i="4"/>
  <c r="AI30" i="4"/>
  <c r="AJ30" i="4"/>
  <c r="AK30" i="4"/>
  <c r="AL30" i="4"/>
  <c r="AG31" i="4"/>
  <c r="AN31" i="4" s="1"/>
  <c r="AH31" i="4"/>
  <c r="AI31" i="4"/>
  <c r="AJ31" i="4"/>
  <c r="AK31" i="4"/>
  <c r="AL31" i="4"/>
  <c r="AG32" i="4"/>
  <c r="AN32" i="4" s="1"/>
  <c r="AH32" i="4"/>
  <c r="AI32" i="4"/>
  <c r="AJ32" i="4"/>
  <c r="AK32" i="4"/>
  <c r="AL32" i="4"/>
  <c r="AG33" i="4"/>
  <c r="AN33" i="4" s="1"/>
  <c r="AH33" i="4"/>
  <c r="AI33" i="4"/>
  <c r="AJ33" i="4"/>
  <c r="AK33" i="4"/>
  <c r="AL33" i="4"/>
  <c r="AG34" i="4"/>
  <c r="AN34" i="4" s="1"/>
  <c r="AH34" i="4"/>
  <c r="AI34" i="4"/>
  <c r="AJ34" i="4"/>
  <c r="AK34" i="4"/>
  <c r="AL34" i="4"/>
  <c r="AG35" i="4"/>
  <c r="AN35" i="4" s="1"/>
  <c r="AH35" i="4"/>
  <c r="AI35" i="4"/>
  <c r="AJ35" i="4"/>
  <c r="AK35" i="4"/>
  <c r="AL35" i="4"/>
  <c r="AG36" i="4"/>
  <c r="AH36" i="4"/>
  <c r="AI36" i="4"/>
  <c r="AJ36" i="4"/>
  <c r="AK36" i="4"/>
  <c r="AN36" i="4" s="1"/>
  <c r="AL36" i="4"/>
  <c r="AG37" i="4"/>
  <c r="AH37" i="4"/>
  <c r="AI37" i="4"/>
  <c r="AJ37" i="4"/>
  <c r="AK37" i="4"/>
  <c r="AL37" i="4"/>
  <c r="AG38" i="4"/>
  <c r="AH38" i="4"/>
  <c r="AN38" i="4" s="1"/>
  <c r="AI38" i="4"/>
  <c r="AJ38" i="4"/>
  <c r="AK38" i="4"/>
  <c r="AL38" i="4"/>
  <c r="AG39" i="4"/>
  <c r="AN39" i="4" s="1"/>
  <c r="AH39" i="4"/>
  <c r="AI39" i="4"/>
  <c r="AJ39" i="4"/>
  <c r="AK39" i="4"/>
  <c r="AL39" i="4"/>
  <c r="AG40" i="4"/>
  <c r="AH40" i="4"/>
  <c r="AN40" i="4" s="1"/>
  <c r="AI40" i="4"/>
  <c r="AJ40" i="4"/>
  <c r="AK40" i="4"/>
  <c r="AL40" i="4"/>
  <c r="AG41" i="4"/>
  <c r="AN41" i="4" s="1"/>
  <c r="AH41" i="4"/>
  <c r="AI41" i="4"/>
  <c r="AJ41" i="4"/>
  <c r="AK41" i="4"/>
  <c r="AL41" i="4"/>
  <c r="AG42" i="4"/>
  <c r="AN42" i="4" s="1"/>
  <c r="AH42" i="4"/>
  <c r="AI42" i="4"/>
  <c r="AJ42" i="4"/>
  <c r="AK42" i="4"/>
  <c r="AL42" i="4"/>
  <c r="AG43" i="4"/>
  <c r="AN43" i="4" s="1"/>
  <c r="AH43" i="4"/>
  <c r="AI43" i="4"/>
  <c r="AJ43" i="4"/>
  <c r="AK43" i="4"/>
  <c r="AL43" i="4"/>
  <c r="AG44" i="4"/>
  <c r="AN44" i="4" s="1"/>
  <c r="AH44" i="4"/>
  <c r="AI44" i="4"/>
  <c r="AJ44" i="4"/>
  <c r="AK44" i="4"/>
  <c r="AL44" i="4"/>
  <c r="AG45" i="4"/>
  <c r="AN45" i="4" s="1"/>
  <c r="AH45" i="4"/>
  <c r="AI45" i="4"/>
  <c r="AJ45" i="4"/>
  <c r="AK45" i="4"/>
  <c r="AL45" i="4"/>
  <c r="AG46" i="4"/>
  <c r="AN46" i="4" s="1"/>
  <c r="AH46" i="4"/>
  <c r="AI46" i="4"/>
  <c r="AJ46" i="4"/>
  <c r="AK46" i="4"/>
  <c r="AL46" i="4"/>
  <c r="AG47" i="4"/>
  <c r="AN47" i="4" s="1"/>
  <c r="AH47" i="4"/>
  <c r="AI47" i="4"/>
  <c r="AJ47" i="4"/>
  <c r="AK47" i="4"/>
  <c r="AL47" i="4"/>
  <c r="AG48" i="4"/>
  <c r="AH48" i="4"/>
  <c r="AI48" i="4"/>
  <c r="AJ48" i="4"/>
  <c r="AK48" i="4"/>
  <c r="AN48" i="4" s="1"/>
  <c r="AL48" i="4"/>
  <c r="AG49" i="4"/>
  <c r="AH49" i="4"/>
  <c r="AI49" i="4"/>
  <c r="AJ49" i="4"/>
  <c r="AK49" i="4"/>
  <c r="AL49" i="4"/>
  <c r="AG50" i="4"/>
  <c r="AH50" i="4"/>
  <c r="AN50" i="4" s="1"/>
  <c r="AI50" i="4"/>
  <c r="AJ50" i="4"/>
  <c r="AK50" i="4"/>
  <c r="AL50" i="4"/>
  <c r="AG51" i="4"/>
  <c r="AN51" i="4" s="1"/>
  <c r="AH51" i="4"/>
  <c r="AI51" i="4"/>
  <c r="AJ51" i="4"/>
  <c r="AK51" i="4"/>
  <c r="AL51" i="4"/>
  <c r="AG52" i="4"/>
  <c r="AN52" i="4" s="1"/>
  <c r="AH52" i="4"/>
  <c r="AI52" i="4"/>
  <c r="AJ52" i="4"/>
  <c r="AK52" i="4"/>
  <c r="AL52" i="4"/>
  <c r="AG53" i="4"/>
  <c r="AN53" i="4" s="1"/>
  <c r="AH53" i="4"/>
  <c r="AI53" i="4"/>
  <c r="AJ53" i="4"/>
  <c r="AK53" i="4"/>
  <c r="AL53" i="4"/>
  <c r="AG54" i="4"/>
  <c r="AN54" i="4" s="1"/>
  <c r="AH54" i="4"/>
  <c r="AI54" i="4"/>
  <c r="AJ54" i="4"/>
  <c r="AK54" i="4"/>
  <c r="AL54" i="4"/>
  <c r="AG55" i="4"/>
  <c r="AN55" i="4" s="1"/>
  <c r="AH55" i="4"/>
  <c r="AI55" i="4"/>
  <c r="AJ55" i="4"/>
  <c r="AK55" i="4"/>
  <c r="AL55" i="4"/>
  <c r="AG56" i="4"/>
  <c r="AN56" i="4" s="1"/>
  <c r="AH56" i="4"/>
  <c r="AI56" i="4"/>
  <c r="AJ56" i="4"/>
  <c r="AK56" i="4"/>
  <c r="AL56" i="4"/>
  <c r="AG57" i="4"/>
  <c r="AN57" i="4" s="1"/>
  <c r="AH57" i="4"/>
  <c r="AI57" i="4"/>
  <c r="AJ57" i="4"/>
  <c r="AK57" i="4"/>
  <c r="AL57" i="4"/>
  <c r="AG58" i="4"/>
  <c r="AN58" i="4" s="1"/>
  <c r="AH58" i="4"/>
  <c r="AI58" i="4"/>
  <c r="AJ58" i="4"/>
  <c r="AK58" i="4"/>
  <c r="AL58" i="4"/>
  <c r="AG59" i="4"/>
  <c r="AN59" i="4" s="1"/>
  <c r="AH59" i="4"/>
  <c r="AI59" i="4"/>
  <c r="AJ59" i="4"/>
  <c r="AK59" i="4"/>
  <c r="AL59" i="4"/>
  <c r="AG60" i="4"/>
  <c r="AH60" i="4"/>
  <c r="AI60" i="4"/>
  <c r="AJ60" i="4"/>
  <c r="AK60" i="4"/>
  <c r="AN60" i="4" s="1"/>
  <c r="AL60" i="4"/>
  <c r="AG61" i="4"/>
  <c r="AH61" i="4"/>
  <c r="AI61" i="4"/>
  <c r="AJ61" i="4"/>
  <c r="AK61" i="4"/>
  <c r="AL61" i="4"/>
  <c r="AG62" i="4"/>
  <c r="AH62" i="4"/>
  <c r="AN62" i="4" s="1"/>
  <c r="AI62" i="4"/>
  <c r="AJ62" i="4"/>
  <c r="AK62" i="4"/>
  <c r="AL62" i="4"/>
  <c r="AG63" i="4"/>
  <c r="AN63" i="4" s="1"/>
  <c r="AH63" i="4"/>
  <c r="AI63" i="4"/>
  <c r="AJ63" i="4"/>
  <c r="AK63" i="4"/>
  <c r="AL63" i="4"/>
  <c r="AG64" i="4"/>
  <c r="AN64" i="4" s="1"/>
  <c r="AH64" i="4"/>
  <c r="AI64" i="4"/>
  <c r="AJ64" i="4"/>
  <c r="AK64" i="4"/>
  <c r="AL64" i="4"/>
  <c r="AG65" i="4"/>
  <c r="AN65" i="4" s="1"/>
  <c r="AH65" i="4"/>
  <c r="AI65" i="4"/>
  <c r="AJ65" i="4"/>
  <c r="AK65" i="4"/>
  <c r="AL65" i="4"/>
  <c r="AG66" i="4"/>
  <c r="AN66" i="4" s="1"/>
  <c r="AH66" i="4"/>
  <c r="AI66" i="4"/>
  <c r="AJ66" i="4"/>
  <c r="AK66" i="4"/>
  <c r="AL66" i="4"/>
  <c r="AG67" i="4"/>
  <c r="AN67" i="4" s="1"/>
  <c r="AH67" i="4"/>
  <c r="AI67" i="4"/>
  <c r="AJ67" i="4"/>
  <c r="AK67" i="4"/>
  <c r="AL67" i="4"/>
  <c r="AG68" i="4"/>
  <c r="AN68" i="4" s="1"/>
  <c r="AH68" i="4"/>
  <c r="AI68" i="4"/>
  <c r="AJ68" i="4"/>
  <c r="AK68" i="4"/>
  <c r="AL68" i="4"/>
  <c r="AG69" i="4"/>
  <c r="AN69" i="4" s="1"/>
  <c r="AH69" i="4"/>
  <c r="AI69" i="4"/>
  <c r="AJ69" i="4"/>
  <c r="AK69" i="4"/>
  <c r="AL69" i="4"/>
  <c r="AG70" i="4"/>
  <c r="AN70" i="4" s="1"/>
  <c r="AH70" i="4"/>
  <c r="AI70" i="4"/>
  <c r="AJ70" i="4"/>
  <c r="AK70" i="4"/>
  <c r="AL70" i="4"/>
  <c r="AG71" i="4"/>
  <c r="AN71" i="4" s="1"/>
  <c r="AH71" i="4"/>
  <c r="AI71" i="4"/>
  <c r="AJ71" i="4"/>
  <c r="AK71" i="4"/>
  <c r="AL71" i="4"/>
  <c r="AG72" i="4"/>
  <c r="AH72" i="4"/>
  <c r="AI72" i="4"/>
  <c r="AJ72" i="4"/>
  <c r="AK72" i="4"/>
  <c r="AN72" i="4" s="1"/>
  <c r="AL72" i="4"/>
  <c r="AG73" i="4"/>
  <c r="AH73" i="4"/>
  <c r="AI73" i="4"/>
  <c r="AJ73" i="4"/>
  <c r="AK73" i="4"/>
  <c r="AL73" i="4"/>
  <c r="AG74" i="4"/>
  <c r="AH74" i="4"/>
  <c r="AN74" i="4" s="1"/>
  <c r="AI74" i="4"/>
  <c r="AJ74" i="4"/>
  <c r="AK74" i="4"/>
  <c r="AL74" i="4"/>
  <c r="AG75" i="4"/>
  <c r="AN75" i="4" s="1"/>
  <c r="AH75" i="4"/>
  <c r="AI75" i="4"/>
  <c r="AJ75" i="4"/>
  <c r="AK75" i="4"/>
  <c r="AL75" i="4"/>
  <c r="AG76" i="4"/>
  <c r="AN76" i="4" s="1"/>
  <c r="AH76" i="4"/>
  <c r="AI76" i="4"/>
  <c r="AJ76" i="4"/>
  <c r="AK76" i="4"/>
  <c r="AL76" i="4"/>
  <c r="AG77" i="4"/>
  <c r="AN77" i="4" s="1"/>
  <c r="AH77" i="4"/>
  <c r="AI77" i="4"/>
  <c r="AJ77" i="4"/>
  <c r="AK77" i="4"/>
  <c r="AL77" i="4"/>
  <c r="AG78" i="4"/>
  <c r="AN78" i="4" s="1"/>
  <c r="AH78" i="4"/>
  <c r="AI78" i="4"/>
  <c r="AJ78" i="4"/>
  <c r="AK78" i="4"/>
  <c r="AL78" i="4"/>
  <c r="AG79" i="4"/>
  <c r="AN79" i="4" s="1"/>
  <c r="AH79" i="4"/>
  <c r="AI79" i="4"/>
  <c r="AJ79" i="4"/>
  <c r="AK79" i="4"/>
  <c r="AL79" i="4"/>
  <c r="AG80" i="4"/>
  <c r="AN80" i="4" s="1"/>
  <c r="AH80" i="4"/>
  <c r="AI80" i="4"/>
  <c r="AJ80" i="4"/>
  <c r="AK80" i="4"/>
  <c r="AL80" i="4"/>
  <c r="AG81" i="4"/>
  <c r="AN81" i="4" s="1"/>
  <c r="AH81" i="4"/>
  <c r="AI81" i="4"/>
  <c r="AJ81" i="4"/>
  <c r="AK81" i="4"/>
  <c r="AL81" i="4"/>
  <c r="AG82" i="4"/>
  <c r="AN82" i="4" s="1"/>
  <c r="AH82" i="4"/>
  <c r="AI82" i="4"/>
  <c r="AJ82" i="4"/>
  <c r="AK82" i="4"/>
  <c r="AL82" i="4"/>
  <c r="AG83" i="4"/>
  <c r="AN83" i="4" s="1"/>
  <c r="AH83" i="4"/>
  <c r="AI83" i="4"/>
  <c r="AJ83" i="4"/>
  <c r="AK83" i="4"/>
  <c r="AL83" i="4"/>
  <c r="AG84" i="4"/>
  <c r="AH84" i="4"/>
  <c r="AI84" i="4"/>
  <c r="AJ84" i="4"/>
  <c r="AK84" i="4"/>
  <c r="AN84" i="4" s="1"/>
  <c r="AL84" i="4"/>
  <c r="AG85" i="4"/>
  <c r="AH85" i="4"/>
  <c r="AI85" i="4"/>
  <c r="AJ85" i="4"/>
  <c r="AK85" i="4"/>
  <c r="AL85" i="4"/>
  <c r="AG86" i="4"/>
  <c r="AH86" i="4"/>
  <c r="AN86" i="4" s="1"/>
  <c r="AI86" i="4"/>
  <c r="AJ86" i="4"/>
  <c r="AK86" i="4"/>
  <c r="AL86" i="4"/>
  <c r="AG87" i="4"/>
  <c r="AN87" i="4" s="1"/>
  <c r="AH87" i="4"/>
  <c r="AI87" i="4"/>
  <c r="AJ87" i="4"/>
  <c r="AK87" i="4"/>
  <c r="AL87" i="4"/>
  <c r="AG88" i="4"/>
  <c r="AN88" i="4" s="1"/>
  <c r="AH88" i="4"/>
  <c r="AI88" i="4"/>
  <c r="AJ88" i="4"/>
  <c r="AK88" i="4"/>
  <c r="AL88" i="4"/>
  <c r="AG89" i="4"/>
  <c r="AN89" i="4" s="1"/>
  <c r="AH89" i="4"/>
  <c r="AI89" i="4"/>
  <c r="AJ89" i="4"/>
  <c r="AK89" i="4"/>
  <c r="AL89" i="4"/>
  <c r="AG90" i="4"/>
  <c r="AN90" i="4" s="1"/>
  <c r="AH90" i="4"/>
  <c r="AI90" i="4"/>
  <c r="AJ90" i="4"/>
  <c r="AK90" i="4"/>
  <c r="AL90" i="4"/>
  <c r="AG91" i="4"/>
  <c r="AN91" i="4" s="1"/>
  <c r="AH91" i="4"/>
  <c r="AI91" i="4"/>
  <c r="AJ91" i="4"/>
  <c r="AK91" i="4"/>
  <c r="AL91" i="4"/>
  <c r="AG92" i="4"/>
  <c r="AN92" i="4" s="1"/>
  <c r="AH92" i="4"/>
  <c r="AI92" i="4"/>
  <c r="AJ92" i="4"/>
  <c r="AK92" i="4"/>
  <c r="AL92" i="4"/>
  <c r="AG93" i="4"/>
  <c r="AN93" i="4" s="1"/>
  <c r="AH93" i="4"/>
  <c r="AI93" i="4"/>
  <c r="AJ93" i="4"/>
  <c r="AK93" i="4"/>
  <c r="AL93" i="4"/>
  <c r="AG94" i="4"/>
  <c r="AN94" i="4" s="1"/>
  <c r="AH94" i="4"/>
  <c r="AI94" i="4"/>
  <c r="AJ94" i="4"/>
  <c r="AK94" i="4"/>
  <c r="AL94" i="4"/>
  <c r="AG95" i="4"/>
  <c r="AN95" i="4" s="1"/>
  <c r="AH95" i="4"/>
  <c r="AI95" i="4"/>
  <c r="AJ95" i="4"/>
  <c r="AK95" i="4"/>
  <c r="AL95" i="4"/>
  <c r="AG96" i="4"/>
  <c r="AH96" i="4"/>
  <c r="AI96" i="4"/>
  <c r="AJ96" i="4"/>
  <c r="AK96" i="4"/>
  <c r="AN96" i="4" s="1"/>
  <c r="AL96" i="4"/>
  <c r="AG97" i="4"/>
  <c r="AH97" i="4"/>
  <c r="AI97" i="4"/>
  <c r="AJ97" i="4"/>
  <c r="AK97" i="4"/>
  <c r="AL97" i="4"/>
  <c r="AG98" i="4"/>
  <c r="AN98" i="4" s="1"/>
  <c r="AH98" i="4"/>
  <c r="AI98" i="4"/>
  <c r="AJ98" i="4"/>
  <c r="AK98" i="4"/>
  <c r="AL98" i="4"/>
  <c r="AG99" i="4"/>
  <c r="AN99" i="4" s="1"/>
  <c r="AH99" i="4"/>
  <c r="AI99" i="4"/>
  <c r="AJ99" i="4"/>
  <c r="AK99" i="4"/>
  <c r="AL99" i="4"/>
  <c r="AG100" i="4"/>
  <c r="AN100" i="4" s="1"/>
  <c r="AH100" i="4"/>
  <c r="AI100" i="4"/>
  <c r="AJ100" i="4"/>
  <c r="AK100" i="4"/>
  <c r="AL100" i="4"/>
  <c r="AG101" i="4"/>
  <c r="AN101" i="4" s="1"/>
  <c r="AH101" i="4"/>
  <c r="AI101" i="4"/>
  <c r="AJ101" i="4"/>
  <c r="AK101" i="4"/>
  <c r="AL101" i="4"/>
  <c r="AG102" i="4"/>
  <c r="AN102" i="4" s="1"/>
  <c r="AH102" i="4"/>
  <c r="AI102" i="4"/>
  <c r="AJ102" i="4"/>
  <c r="AK102" i="4"/>
  <c r="AL102" i="4"/>
  <c r="AG103" i="4"/>
  <c r="AN103" i="4" s="1"/>
  <c r="AH103" i="4"/>
  <c r="AI103" i="4"/>
  <c r="AJ103" i="4"/>
  <c r="AK103" i="4"/>
  <c r="AL103" i="4"/>
  <c r="AG104" i="4"/>
  <c r="AN104" i="4" s="1"/>
  <c r="AH104" i="4"/>
  <c r="AI104" i="4"/>
  <c r="AJ104" i="4"/>
  <c r="AK104" i="4"/>
  <c r="AL104" i="4"/>
  <c r="AG105" i="4"/>
  <c r="AN105" i="4" s="1"/>
  <c r="AH105" i="4"/>
  <c r="AI105" i="4"/>
  <c r="AJ105" i="4"/>
  <c r="AK105" i="4"/>
  <c r="AL105" i="4"/>
  <c r="AG106" i="4"/>
  <c r="AN106" i="4" s="1"/>
  <c r="AH106" i="4"/>
  <c r="AI106" i="4"/>
  <c r="AJ106" i="4"/>
  <c r="AK106" i="4"/>
  <c r="AL106" i="4"/>
  <c r="AG107" i="4"/>
  <c r="AN107" i="4" s="1"/>
  <c r="AH107" i="4"/>
  <c r="AI107" i="4"/>
  <c r="AJ107" i="4"/>
  <c r="AK107" i="4"/>
  <c r="AL107" i="4"/>
  <c r="AG108" i="4"/>
  <c r="AH108" i="4"/>
  <c r="AI108" i="4"/>
  <c r="AJ108" i="4"/>
  <c r="AK108" i="4"/>
  <c r="AN108" i="4" s="1"/>
  <c r="AL108" i="4"/>
  <c r="AG109" i="4"/>
  <c r="AH109" i="4"/>
  <c r="AI109" i="4"/>
  <c r="AJ109" i="4"/>
  <c r="AK109" i="4"/>
  <c r="AL109" i="4"/>
  <c r="AG110" i="4"/>
  <c r="AN110" i="4" s="1"/>
  <c r="AH110" i="4"/>
  <c r="AI110" i="4"/>
  <c r="AJ110" i="4"/>
  <c r="AK110" i="4"/>
  <c r="AL110" i="4"/>
  <c r="AG111" i="4"/>
  <c r="AN111" i="4" s="1"/>
  <c r="AH111" i="4"/>
  <c r="AI111" i="4"/>
  <c r="AJ111" i="4"/>
  <c r="AK111" i="4"/>
  <c r="AL111" i="4"/>
  <c r="AG112" i="4"/>
  <c r="AN112" i="4" s="1"/>
  <c r="AH112" i="4"/>
  <c r="AI112" i="4"/>
  <c r="AJ112" i="4"/>
  <c r="AK112" i="4"/>
  <c r="AL112" i="4"/>
  <c r="AG113" i="4"/>
  <c r="AN113" i="4" s="1"/>
  <c r="AH113" i="4"/>
  <c r="AI113" i="4"/>
  <c r="AJ113" i="4"/>
  <c r="AK113" i="4"/>
  <c r="AL113" i="4"/>
  <c r="AG114" i="4"/>
  <c r="AN114" i="4" s="1"/>
  <c r="AH114" i="4"/>
  <c r="AI114" i="4"/>
  <c r="AJ114" i="4"/>
  <c r="AK114" i="4"/>
  <c r="AL114" i="4"/>
  <c r="AG115" i="4"/>
  <c r="AN115" i="4" s="1"/>
  <c r="AH115" i="4"/>
  <c r="AI115" i="4"/>
  <c r="AJ115" i="4"/>
  <c r="AK115" i="4"/>
  <c r="AL115" i="4"/>
  <c r="AG116" i="4"/>
  <c r="AN116" i="4" s="1"/>
  <c r="AH116" i="4"/>
  <c r="AI116" i="4"/>
  <c r="AJ116" i="4"/>
  <c r="AK116" i="4"/>
  <c r="AL116" i="4"/>
  <c r="AG117" i="4"/>
  <c r="AN117" i="4" s="1"/>
  <c r="AH117" i="4"/>
  <c r="AI117" i="4"/>
  <c r="AJ117" i="4"/>
  <c r="AK117" i="4"/>
  <c r="AL117" i="4"/>
  <c r="AG118" i="4"/>
  <c r="AN118" i="4" s="1"/>
  <c r="AH118" i="4"/>
  <c r="AI118" i="4"/>
  <c r="AJ118" i="4"/>
  <c r="AK118" i="4"/>
  <c r="AL118" i="4"/>
  <c r="AG119" i="4"/>
  <c r="AN119" i="4" s="1"/>
  <c r="AH119" i="4"/>
  <c r="AI119" i="4"/>
  <c r="AJ119" i="4"/>
  <c r="AK119" i="4"/>
  <c r="AL119" i="4"/>
  <c r="AG120" i="4"/>
  <c r="AH120" i="4"/>
  <c r="AI120" i="4"/>
  <c r="AJ120" i="4"/>
  <c r="AK120" i="4"/>
  <c r="AN120" i="4" s="1"/>
  <c r="AL120" i="4"/>
  <c r="AG121" i="4"/>
  <c r="AH121" i="4"/>
  <c r="AI121" i="4"/>
  <c r="AJ121" i="4"/>
  <c r="AK121" i="4"/>
  <c r="AL121" i="4"/>
  <c r="AG122" i="4"/>
  <c r="AN122" i="4" s="1"/>
  <c r="AH122" i="4"/>
  <c r="AI122" i="4"/>
  <c r="AJ122" i="4"/>
  <c r="AK122" i="4"/>
  <c r="AL122" i="4"/>
  <c r="AG123" i="4"/>
  <c r="AN123" i="4" s="1"/>
  <c r="AH123" i="4"/>
  <c r="AI123" i="4"/>
  <c r="AJ123" i="4"/>
  <c r="AK123" i="4"/>
  <c r="AL123" i="4"/>
  <c r="AG124" i="4"/>
  <c r="AN124" i="4" s="1"/>
  <c r="AH124" i="4"/>
  <c r="AI124" i="4"/>
  <c r="AJ124" i="4"/>
  <c r="AK124" i="4"/>
  <c r="AL124" i="4"/>
  <c r="AG125" i="4"/>
  <c r="AN125" i="4" s="1"/>
  <c r="AH125" i="4"/>
  <c r="AI125" i="4"/>
  <c r="AJ125" i="4"/>
  <c r="AK125" i="4"/>
  <c r="AL125" i="4"/>
  <c r="AG126" i="4"/>
  <c r="AN126" i="4" s="1"/>
  <c r="AH126" i="4"/>
  <c r="AI126" i="4"/>
  <c r="AJ126" i="4"/>
  <c r="AK126" i="4"/>
  <c r="AL126" i="4"/>
  <c r="AG127" i="4"/>
  <c r="AN127" i="4" s="1"/>
  <c r="AH127" i="4"/>
  <c r="AI127" i="4"/>
  <c r="AJ127" i="4"/>
  <c r="AK127" i="4"/>
  <c r="AL127" i="4"/>
  <c r="AG128" i="4"/>
  <c r="AN128" i="4" s="1"/>
  <c r="AH128" i="4"/>
  <c r="AI128" i="4"/>
  <c r="AJ128" i="4"/>
  <c r="AK128" i="4"/>
  <c r="AL128" i="4"/>
  <c r="AG129" i="4"/>
  <c r="AN129" i="4" s="1"/>
  <c r="AH129" i="4"/>
  <c r="AI129" i="4"/>
  <c r="AJ129" i="4"/>
  <c r="AK129" i="4"/>
  <c r="AL129" i="4"/>
  <c r="AG130" i="4"/>
  <c r="AN130" i="4" s="1"/>
  <c r="AH130" i="4"/>
  <c r="AI130" i="4"/>
  <c r="AJ130" i="4"/>
  <c r="AK130" i="4"/>
  <c r="AL130" i="4"/>
  <c r="AG131" i="4"/>
  <c r="AN131" i="4" s="1"/>
  <c r="AH131" i="4"/>
  <c r="AI131" i="4"/>
  <c r="AJ131" i="4"/>
  <c r="AK131" i="4"/>
  <c r="AL131" i="4"/>
  <c r="AG132" i="4"/>
  <c r="AH132" i="4"/>
  <c r="AI132" i="4"/>
  <c r="AJ132" i="4"/>
  <c r="AK132" i="4"/>
  <c r="AN132" i="4" s="1"/>
  <c r="AL132" i="4"/>
  <c r="AG133" i="4"/>
  <c r="AH133" i="4"/>
  <c r="AI133" i="4"/>
  <c r="AJ133" i="4"/>
  <c r="AK133" i="4"/>
  <c r="AL133" i="4"/>
  <c r="AG134" i="4"/>
  <c r="AN134" i="4" s="1"/>
  <c r="AH134" i="4"/>
  <c r="AI134" i="4"/>
  <c r="AJ134" i="4"/>
  <c r="AK134" i="4"/>
  <c r="AL134" i="4"/>
  <c r="AG135" i="4"/>
  <c r="AN135" i="4" s="1"/>
  <c r="AH135" i="4"/>
  <c r="AI135" i="4"/>
  <c r="AJ135" i="4"/>
  <c r="AK135" i="4"/>
  <c r="AL135" i="4"/>
  <c r="AG136" i="4"/>
  <c r="AN136" i="4" s="1"/>
  <c r="AH136" i="4"/>
  <c r="AI136" i="4"/>
  <c r="AJ136" i="4"/>
  <c r="AK136" i="4"/>
  <c r="AL136" i="4"/>
  <c r="AG137" i="4"/>
  <c r="AN137" i="4" s="1"/>
  <c r="AH137" i="4"/>
  <c r="AI137" i="4"/>
  <c r="AJ137" i="4"/>
  <c r="AK137" i="4"/>
  <c r="AL137" i="4"/>
  <c r="AG138" i="4"/>
  <c r="AN138" i="4" s="1"/>
  <c r="AH138" i="4"/>
  <c r="AI138" i="4"/>
  <c r="AJ138" i="4"/>
  <c r="AK138" i="4"/>
  <c r="AL138" i="4"/>
  <c r="AG139" i="4"/>
  <c r="AN139" i="4" s="1"/>
  <c r="AH139" i="4"/>
  <c r="AI139" i="4"/>
  <c r="AJ139" i="4"/>
  <c r="AK139" i="4"/>
  <c r="AL139" i="4"/>
  <c r="AG140" i="4"/>
  <c r="AN140" i="4" s="1"/>
  <c r="AH140" i="4"/>
  <c r="AI140" i="4"/>
  <c r="AJ140" i="4"/>
  <c r="AK140" i="4"/>
  <c r="AL140" i="4"/>
  <c r="AG141" i="4"/>
  <c r="AN141" i="4" s="1"/>
  <c r="AH141" i="4"/>
  <c r="AI141" i="4"/>
  <c r="AJ141" i="4"/>
  <c r="AK141" i="4"/>
  <c r="AL141" i="4"/>
  <c r="AG142" i="4"/>
  <c r="AN142" i="4" s="1"/>
  <c r="AH142" i="4"/>
  <c r="AI142" i="4"/>
  <c r="AJ142" i="4"/>
  <c r="AK142" i="4"/>
  <c r="AL142" i="4"/>
  <c r="AG143" i="4"/>
  <c r="AN143" i="4" s="1"/>
  <c r="AH143" i="4"/>
  <c r="AI143" i="4"/>
  <c r="AJ143" i="4"/>
  <c r="AK143" i="4"/>
  <c r="AL143" i="4"/>
  <c r="AG144" i="4"/>
  <c r="AH144" i="4"/>
  <c r="AI144" i="4"/>
  <c r="AJ144" i="4"/>
  <c r="AK144" i="4"/>
  <c r="AN144" i="4" s="1"/>
  <c r="AL144" i="4"/>
  <c r="AG145" i="4"/>
  <c r="AH145" i="4"/>
  <c r="AI145" i="4"/>
  <c r="AJ145" i="4"/>
  <c r="AK145" i="4"/>
  <c r="AL145" i="4"/>
  <c r="AG146" i="4"/>
  <c r="AN146" i="4" s="1"/>
  <c r="AH146" i="4"/>
  <c r="AI146" i="4"/>
  <c r="AJ146" i="4"/>
  <c r="AK146" i="4"/>
  <c r="AL146" i="4"/>
  <c r="AG147" i="4"/>
  <c r="AN147" i="4" s="1"/>
  <c r="AH147" i="4"/>
  <c r="AI147" i="4"/>
  <c r="AJ147" i="4"/>
  <c r="AK147" i="4"/>
  <c r="AL147" i="4"/>
  <c r="AG148" i="4"/>
  <c r="AN148" i="4" s="1"/>
  <c r="AH148" i="4"/>
  <c r="AI148" i="4"/>
  <c r="AJ148" i="4"/>
  <c r="AK148" i="4"/>
  <c r="AL148" i="4"/>
  <c r="AG149" i="4"/>
  <c r="AN149" i="4" s="1"/>
  <c r="AH149" i="4"/>
  <c r="AI149" i="4"/>
  <c r="AJ149" i="4"/>
  <c r="AK149" i="4"/>
  <c r="AL149" i="4"/>
  <c r="AG150" i="4"/>
  <c r="AN150" i="4" s="1"/>
  <c r="AH150" i="4"/>
  <c r="AI150" i="4"/>
  <c r="AJ150" i="4"/>
  <c r="AK150" i="4"/>
  <c r="AL150" i="4"/>
  <c r="AG151" i="4"/>
  <c r="AN151" i="4" s="1"/>
  <c r="AH151" i="4"/>
  <c r="AI151" i="4"/>
  <c r="AJ151" i="4"/>
  <c r="AK151" i="4"/>
  <c r="AL151" i="4"/>
  <c r="AG152" i="4"/>
  <c r="AN152" i="4" s="1"/>
  <c r="AH152" i="4"/>
  <c r="AI152" i="4"/>
  <c r="AJ152" i="4"/>
  <c r="AK152" i="4"/>
  <c r="AL152" i="4"/>
  <c r="AG153" i="4"/>
  <c r="AN153" i="4" s="1"/>
  <c r="AH153" i="4"/>
  <c r="AI153" i="4"/>
  <c r="AJ153" i="4"/>
  <c r="AK153" i="4"/>
  <c r="AL153" i="4"/>
  <c r="AG154" i="4"/>
  <c r="AN154" i="4" s="1"/>
  <c r="AH154" i="4"/>
  <c r="AI154" i="4"/>
  <c r="AJ154" i="4"/>
  <c r="AK154" i="4"/>
  <c r="AL154" i="4"/>
  <c r="AG155" i="4"/>
  <c r="AN155" i="4" s="1"/>
  <c r="AH155" i="4"/>
  <c r="AI155" i="4"/>
  <c r="AJ155" i="4"/>
  <c r="AK155" i="4"/>
  <c r="AL155" i="4"/>
  <c r="AG156" i="4"/>
  <c r="AH156" i="4"/>
  <c r="AI156" i="4"/>
  <c r="AJ156" i="4"/>
  <c r="AK156" i="4"/>
  <c r="AN156" i="4" s="1"/>
  <c r="AL156" i="4"/>
  <c r="AG157" i="4"/>
  <c r="AH157" i="4"/>
  <c r="AI157" i="4"/>
  <c r="AJ157" i="4"/>
  <c r="AK157" i="4"/>
  <c r="AL157" i="4"/>
  <c r="AG158" i="4"/>
  <c r="AN158" i="4" s="1"/>
  <c r="AH158" i="4"/>
  <c r="AI158" i="4"/>
  <c r="AJ158" i="4"/>
  <c r="AK158" i="4"/>
  <c r="AL158" i="4"/>
  <c r="AG159" i="4"/>
  <c r="AN159" i="4" s="1"/>
  <c r="AH159" i="4"/>
  <c r="AI159" i="4"/>
  <c r="AJ159" i="4"/>
  <c r="AK159" i="4"/>
  <c r="AL159" i="4"/>
  <c r="AG160" i="4"/>
  <c r="AN160" i="4" s="1"/>
  <c r="AH160" i="4"/>
  <c r="AI160" i="4"/>
  <c r="AJ160" i="4"/>
  <c r="AK160" i="4"/>
  <c r="AL160" i="4"/>
  <c r="AG161" i="4"/>
  <c r="AN161" i="4" s="1"/>
  <c r="AH161" i="4"/>
  <c r="AI161" i="4"/>
  <c r="AJ161" i="4"/>
  <c r="AK161" i="4"/>
  <c r="AL161" i="4"/>
  <c r="AG162" i="4"/>
  <c r="AN162" i="4" s="1"/>
  <c r="AH162" i="4"/>
  <c r="AI162" i="4"/>
  <c r="AJ162" i="4"/>
  <c r="AK162" i="4"/>
  <c r="AL162" i="4"/>
  <c r="AG163" i="4"/>
  <c r="AN163" i="4" s="1"/>
  <c r="AH163" i="4"/>
  <c r="AI163" i="4"/>
  <c r="AJ163" i="4"/>
  <c r="AK163" i="4"/>
  <c r="AL163" i="4"/>
  <c r="AG164" i="4"/>
  <c r="AN164" i="4" s="1"/>
  <c r="AH164" i="4"/>
  <c r="AI164" i="4"/>
  <c r="AJ164" i="4"/>
  <c r="AK164" i="4"/>
  <c r="AL164" i="4"/>
  <c r="AG165" i="4"/>
  <c r="AN165" i="4" s="1"/>
  <c r="AH165" i="4"/>
  <c r="AI165" i="4"/>
  <c r="AJ165" i="4"/>
  <c r="AK165" i="4"/>
  <c r="AL165" i="4"/>
  <c r="AG166" i="4"/>
  <c r="AN166" i="4" s="1"/>
  <c r="AH166" i="4"/>
  <c r="AI166" i="4"/>
  <c r="AJ166" i="4"/>
  <c r="AK166" i="4"/>
  <c r="AL166" i="4"/>
  <c r="AG167" i="4"/>
  <c r="AN167" i="4" s="1"/>
  <c r="AH167" i="4"/>
  <c r="AI167" i="4"/>
  <c r="AJ167" i="4"/>
  <c r="AK167" i="4"/>
  <c r="AL167" i="4"/>
  <c r="AG168" i="4"/>
  <c r="AH168" i="4"/>
  <c r="AI168" i="4"/>
  <c r="AJ168" i="4"/>
  <c r="AK168" i="4"/>
  <c r="AN168" i="4" s="1"/>
  <c r="AL168" i="4"/>
  <c r="AG169" i="4"/>
  <c r="AH169" i="4"/>
  <c r="AI169" i="4"/>
  <c r="AJ169" i="4"/>
  <c r="AK169" i="4"/>
  <c r="AL169" i="4"/>
  <c r="AG170" i="4"/>
  <c r="AN170" i="4" s="1"/>
  <c r="AH170" i="4"/>
  <c r="AI170" i="4"/>
  <c r="AJ170" i="4"/>
  <c r="AK170" i="4"/>
  <c r="AL170" i="4"/>
  <c r="AG171" i="4"/>
  <c r="AN171" i="4" s="1"/>
  <c r="AH171" i="4"/>
  <c r="AI171" i="4"/>
  <c r="AJ171" i="4"/>
  <c r="AK171" i="4"/>
  <c r="AL171" i="4"/>
  <c r="AG172" i="4"/>
  <c r="AN172" i="4" s="1"/>
  <c r="AH172" i="4"/>
  <c r="AI172" i="4"/>
  <c r="AJ172" i="4"/>
  <c r="AK172" i="4"/>
  <c r="AL172" i="4"/>
  <c r="AG173" i="4"/>
  <c r="AN173" i="4" s="1"/>
  <c r="AH173" i="4"/>
  <c r="AI173" i="4"/>
  <c r="AJ173" i="4"/>
  <c r="AK173" i="4"/>
  <c r="AL173" i="4"/>
  <c r="AG174" i="4"/>
  <c r="AN174" i="4" s="1"/>
  <c r="AH174" i="4"/>
  <c r="AI174" i="4"/>
  <c r="AJ174" i="4"/>
  <c r="AK174" i="4"/>
  <c r="AL174" i="4"/>
  <c r="AG175" i="4"/>
  <c r="AN175" i="4" s="1"/>
  <c r="AH175" i="4"/>
  <c r="AI175" i="4"/>
  <c r="AJ175" i="4"/>
  <c r="AK175" i="4"/>
  <c r="AL175" i="4"/>
  <c r="AG176" i="4"/>
  <c r="AN176" i="4" s="1"/>
  <c r="AH176" i="4"/>
  <c r="AI176" i="4"/>
  <c r="AJ176" i="4"/>
  <c r="AK176" i="4"/>
  <c r="AL176" i="4"/>
  <c r="AG177" i="4"/>
  <c r="AN177" i="4" s="1"/>
  <c r="AH177" i="4"/>
  <c r="AI177" i="4"/>
  <c r="AJ177" i="4"/>
  <c r="AK177" i="4"/>
  <c r="AL177" i="4"/>
  <c r="AG178" i="4"/>
  <c r="AN178" i="4" s="1"/>
  <c r="AH178" i="4"/>
  <c r="AI178" i="4"/>
  <c r="AJ178" i="4"/>
  <c r="AK178" i="4"/>
  <c r="AL178" i="4"/>
  <c r="AG179" i="4"/>
  <c r="AN179" i="4" s="1"/>
  <c r="AH179" i="4"/>
  <c r="AI179" i="4"/>
  <c r="AJ179" i="4"/>
  <c r="AK179" i="4"/>
  <c r="AL179" i="4"/>
  <c r="AG180" i="4"/>
  <c r="AH180" i="4"/>
  <c r="AI180" i="4"/>
  <c r="AJ180" i="4"/>
  <c r="AK180" i="4"/>
  <c r="AN180" i="4" s="1"/>
  <c r="AL180" i="4"/>
  <c r="AG181" i="4"/>
  <c r="AH181" i="4"/>
  <c r="AI181" i="4"/>
  <c r="AJ181" i="4"/>
  <c r="AK181" i="4"/>
  <c r="AL181" i="4"/>
  <c r="AG182" i="4"/>
  <c r="AN182" i="4" s="1"/>
  <c r="AH182" i="4"/>
  <c r="AI182" i="4"/>
  <c r="AJ182" i="4"/>
  <c r="AK182" i="4"/>
  <c r="AL182" i="4"/>
  <c r="AG183" i="4"/>
  <c r="AN183" i="4" s="1"/>
  <c r="AH183" i="4"/>
  <c r="AI183" i="4"/>
  <c r="AJ183" i="4"/>
  <c r="AK183" i="4"/>
  <c r="AL183" i="4"/>
  <c r="AG184" i="4"/>
  <c r="AN184" i="4" s="1"/>
  <c r="AH184" i="4"/>
  <c r="AI184" i="4"/>
  <c r="AJ184" i="4"/>
  <c r="AK184" i="4"/>
  <c r="AL184" i="4"/>
  <c r="AG185" i="4"/>
  <c r="AN185" i="4" s="1"/>
  <c r="AH185" i="4"/>
  <c r="AI185" i="4"/>
  <c r="AJ185" i="4"/>
  <c r="AK185" i="4"/>
  <c r="AL185" i="4"/>
  <c r="AG186" i="4"/>
  <c r="AN186" i="4" s="1"/>
  <c r="AH186" i="4"/>
  <c r="AI186" i="4"/>
  <c r="AJ186" i="4"/>
  <c r="AK186" i="4"/>
  <c r="AL186" i="4"/>
  <c r="AG187" i="4"/>
  <c r="AN187" i="4" s="1"/>
  <c r="AH187" i="4"/>
  <c r="AI187" i="4"/>
  <c r="AJ187" i="4"/>
  <c r="AK187" i="4"/>
  <c r="AL187" i="4"/>
  <c r="AG188" i="4"/>
  <c r="AN188" i="4" s="1"/>
  <c r="AH188" i="4"/>
  <c r="AI188" i="4"/>
  <c r="AJ188" i="4"/>
  <c r="AK188" i="4"/>
  <c r="AL188" i="4"/>
  <c r="AG189" i="4"/>
  <c r="AN189" i="4" s="1"/>
  <c r="AH189" i="4"/>
  <c r="AI189" i="4"/>
  <c r="AJ189" i="4"/>
  <c r="AK189" i="4"/>
  <c r="AL189" i="4"/>
  <c r="AG190" i="4"/>
  <c r="AN190" i="4" s="1"/>
  <c r="AH190" i="4"/>
  <c r="AI190" i="4"/>
  <c r="AJ190" i="4"/>
  <c r="AK190" i="4"/>
  <c r="AL190" i="4"/>
  <c r="AG191" i="4"/>
  <c r="AN191" i="4" s="1"/>
  <c r="AH191" i="4"/>
  <c r="AI191" i="4"/>
  <c r="AJ191" i="4"/>
  <c r="AK191" i="4"/>
  <c r="AL191" i="4"/>
  <c r="AG192" i="4"/>
  <c r="AH192" i="4"/>
  <c r="AI192" i="4"/>
  <c r="AJ192" i="4"/>
  <c r="AK192" i="4"/>
  <c r="AN192" i="4" s="1"/>
  <c r="AL192" i="4"/>
  <c r="AG193" i="4"/>
  <c r="AH193" i="4"/>
  <c r="AI193" i="4"/>
  <c r="AJ193" i="4"/>
  <c r="AK193" i="4"/>
  <c r="AL193" i="4"/>
  <c r="AG194" i="4"/>
  <c r="AN194" i="4" s="1"/>
  <c r="AH194" i="4"/>
  <c r="AI194" i="4"/>
  <c r="AJ194" i="4"/>
  <c r="AK194" i="4"/>
  <c r="AL194" i="4"/>
  <c r="AG195" i="4"/>
  <c r="AN195" i="4" s="1"/>
  <c r="AH195" i="4"/>
  <c r="AI195" i="4"/>
  <c r="AJ195" i="4"/>
  <c r="AK195" i="4"/>
  <c r="AL195" i="4"/>
  <c r="AG196" i="4"/>
  <c r="AN196" i="4" s="1"/>
  <c r="AH196" i="4"/>
  <c r="AI196" i="4"/>
  <c r="AJ196" i="4"/>
  <c r="AK196" i="4"/>
  <c r="AL196" i="4"/>
  <c r="AG197" i="4"/>
  <c r="AN197" i="4" s="1"/>
  <c r="AH197" i="4"/>
  <c r="AI197" i="4"/>
  <c r="AJ197" i="4"/>
  <c r="AK197" i="4"/>
  <c r="AL197" i="4"/>
  <c r="AG198" i="4"/>
  <c r="AN198" i="4" s="1"/>
  <c r="AH198" i="4"/>
  <c r="AI198" i="4"/>
  <c r="AJ198" i="4"/>
  <c r="AK198" i="4"/>
  <c r="AL198" i="4"/>
  <c r="AG199" i="4"/>
  <c r="AN199" i="4" s="1"/>
  <c r="AH199" i="4"/>
  <c r="AI199" i="4"/>
  <c r="AJ199" i="4"/>
  <c r="AK199" i="4"/>
  <c r="AL199" i="4"/>
  <c r="AG200" i="4"/>
  <c r="AN200" i="4" s="1"/>
  <c r="AH200" i="4"/>
  <c r="AI200" i="4"/>
  <c r="AJ200" i="4"/>
  <c r="AK200" i="4"/>
  <c r="AL200" i="4"/>
  <c r="AG201" i="4"/>
  <c r="AN201" i="4" s="1"/>
  <c r="AH201" i="4"/>
  <c r="AI201" i="4"/>
  <c r="AJ201" i="4"/>
  <c r="AK201" i="4"/>
  <c r="AL201" i="4"/>
  <c r="AG202" i="4"/>
  <c r="AN202" i="4" s="1"/>
  <c r="AH202" i="4"/>
  <c r="AI202" i="4"/>
  <c r="AJ202" i="4"/>
  <c r="AK202" i="4"/>
  <c r="AL202" i="4"/>
  <c r="AG203" i="4"/>
  <c r="AN203" i="4" s="1"/>
  <c r="AH203" i="4"/>
  <c r="AI203" i="4"/>
  <c r="AJ203" i="4"/>
  <c r="AK203" i="4"/>
  <c r="AL203" i="4"/>
  <c r="AG204" i="4"/>
  <c r="AH204" i="4"/>
  <c r="AI204" i="4"/>
  <c r="AJ204" i="4"/>
  <c r="AK204" i="4"/>
  <c r="AN204" i="4" s="1"/>
  <c r="AL204" i="4"/>
  <c r="AG205" i="4"/>
  <c r="AH205" i="4"/>
  <c r="AI205" i="4"/>
  <c r="AJ205" i="4"/>
  <c r="AK205" i="4"/>
  <c r="AL205" i="4"/>
  <c r="AL2" i="4"/>
  <c r="AK2" i="4"/>
  <c r="AJ2" i="4"/>
  <c r="AI2" i="4"/>
  <c r="AH2" i="4"/>
  <c r="AG2" i="4"/>
  <c r="AN2" i="4" s="1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" i="4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" i="1"/>
  <c r="H210" i="6" l="1"/>
  <c r="E206" i="6"/>
  <c r="M207" i="4"/>
  <c r="M209" i="4" s="1"/>
  <c r="M211" i="4" s="1"/>
  <c r="L207" i="4" l="1"/>
  <c r="L209" i="4" s="1"/>
  <c r="L211" i="4" s="1"/>
  <c r="K207" i="4"/>
  <c r="K209" i="4" s="1"/>
  <c r="K211" i="4" s="1"/>
  <c r="E210" i="6"/>
</calcChain>
</file>

<file path=xl/sharedStrings.xml><?xml version="1.0" encoding="utf-8"?>
<sst xmlns="http://schemas.openxmlformats.org/spreadsheetml/2006/main" count="6857" uniqueCount="1391">
  <si>
    <t>HS_Code</t>
  </si>
  <si>
    <t>Description</t>
  </si>
  <si>
    <t>Component</t>
  </si>
  <si>
    <t>Function</t>
  </si>
  <si>
    <t>Subsystem</t>
  </si>
  <si>
    <t>Classification</t>
  </si>
  <si>
    <t>Similarity</t>
  </si>
  <si>
    <t>Tech</t>
  </si>
  <si>
    <t>Manufacturing</t>
  </si>
  <si>
    <t>Supply_Chain</t>
  </si>
  <si>
    <t>Demand</t>
  </si>
  <si>
    <t>Value</t>
  </si>
  <si>
    <t>Regulatory</t>
  </si>
  <si>
    <t>TFS_Score</t>
  </si>
  <si>
    <t>Timeline</t>
  </si>
  <si>
    <t>Status</t>
  </si>
  <si>
    <t>851240</t>
  </si>
  <si>
    <t>Windscreen wipers, defrosters and demisters; electrical, of kinds used for cycles or motor vehicles</t>
  </si>
  <si>
    <t>Electric wiper motor</t>
  </si>
  <si>
    <t>Provides rotary torque and integrated reduction to drive the wiper linkage and produce oscillatory motion</t>
  </si>
  <si>
    <t>Windscreen wiper system</t>
  </si>
  <si>
    <t>SHARED</t>
  </si>
  <si>
    <t>1-2 years</t>
  </si>
  <si>
    <t>SUCCESS</t>
  </si>
  <si>
    <t>Wiper linkage and gearbox</t>
  </si>
  <si>
    <t>Converts motor rotation into synchronized reciprocating motion and transmits torque to wiper arms</t>
  </si>
  <si>
    <t>Wiper arm assembly</t>
  </si>
  <si>
    <t>Transfers linkage motion to the blade carrier and applies spring preload to maintain blade contact with glazing</t>
  </si>
  <si>
    <t>2-3 years</t>
  </si>
  <si>
    <t>Windshield heating element (conductive grid or film)</t>
  </si>
  <si>
    <t>Produces distributed resistive heat across glazing to demist/defrost and remove condensation or ice</t>
  </si>
  <si>
    <t>Heating, Ventilation and Air Conditioning (HVAC) - defrosting</t>
  </si>
  <si>
    <t>870310</t>
  </si>
  <si>
    <t>Vehicles; specially designed for travelling on snow, golf cars and similar vehicles</t>
  </si>
  <si>
    <t>Vehicle frame (structural chassis)</t>
  </si>
  <si>
    <t>Provide the primary load-bearing structure, mounting points for drivetrain, suspension, bodywork and occupants, and transmit static and dynamic forces</t>
  </si>
  <si>
    <t>Structural/Chassis</t>
  </si>
  <si>
    <t>Driven axle assembly (final drive and differential)</t>
  </si>
  <si>
    <t>Transmit torque from the transmission to the wheels, accommodate speed differences between wheels and provide gear reduction for traction</t>
  </si>
  <si>
    <t>Drivetrain</t>
  </si>
  <si>
    <t>Suspension assembly (springs and dampers with control arms or solid-axle linkages)</t>
  </si>
  <si>
    <t>Support vehicle weight, control wheel movement, absorb shocks and maintain tire contact and vehicle stability over terrain</t>
  </si>
  <si>
    <t>Suspension</t>
  </si>
  <si>
    <t>Hydraulic braking assembly (brake calipers/rotors or drums and shoes)</t>
  </si>
  <si>
    <t>Convert kinetic energy into heat to decelerate or hold the vehicle by applying frictional force to the wheels</t>
  </si>
  <si>
    <t>Brake system</t>
  </si>
  <si>
    <t>870321</t>
  </si>
  <si>
    <t>Vehicles; spark-ignition internal combustion reciprocating piston engine, cylinder capacity not exceeding 1000cc</t>
  </si>
  <si>
    <t>Engine assembly</t>
  </si>
  <si>
    <t>Convert chemical energy of fuel into rotational torque via reciprocating pistons, connecting rods and crankshaft; provide mounting interface for ancillary systems</t>
  </si>
  <si>
    <t>Powertrain</t>
  </si>
  <si>
    <t>ICE_ONLY</t>
  </si>
  <si>
    <t>Manual transaxle assembly</t>
  </si>
  <si>
    <t>Transmit and modulate rotational torque from the engine to the drive shafts through selectable gear ratios and integrate the differential to distribute torque to drive wheels</t>
  </si>
  <si>
    <t>Body-in-white (complete vehicle body shell)</t>
  </si>
  <si>
    <t>Provide primary structural chassis, occupant containment, mounting points for mechanical subsystems and perform crash energy management</t>
  </si>
  <si>
    <t>Body</t>
  </si>
  <si>
    <t>Front suspension assembly</t>
  </si>
  <si>
    <t>Support vehicle mass, control wheel kinematics and alignment, and transmit vertical and lateral loads between wheels and chassis to control ride and handling</t>
  </si>
  <si>
    <t>870870</t>
  </si>
  <si>
    <t>Vehicles; road wheels and parts and accessories thereof</t>
  </si>
  <si>
    <t>Wheel rim</t>
  </si>
  <si>
    <t>Provides the annular seating for the tire bead, supports radial and lateral loads, and contributes to wheel stiffness and geometry</t>
  </si>
  <si>
    <t>Wheel and axle subsystem</t>
  </si>
  <si>
    <t>Wheel disc (wheel center)</t>
  </si>
  <si>
    <t>Structural web that connects rim to hub, transmits loads and torque between hub and rim, and maintains wheel geometry</t>
  </si>
  <si>
    <t>Wheel hub (hub flange/assembly)</t>
  </si>
  <si>
    <t>Mounting interface to the axle, houses bearing seats, and transmits axle torque to the wheel while locating the wheel laterally and radially</t>
  </si>
  <si>
    <t>Brake disc (rotor)</t>
  </si>
  <si>
    <t>Rotating friction surface engaged by brake pads to convert kinetic energy to heat and produce braking torque on the wheel</t>
  </si>
  <si>
    <t>Braking system</t>
  </si>
  <si>
    <t>3-5 years</t>
  </si>
  <si>
    <t>870880</t>
  </si>
  <si>
    <t>Vehicles; parts, suspension shock-absorbers</t>
  </si>
  <si>
    <t>Cylinder body (pressure/reservoir tube)</t>
  </si>
  <si>
    <t>Provides the sealed structural housing for hydraulic fluid, contains internal pressure, and guides piston travel</t>
  </si>
  <si>
    <t>Suspension system</t>
  </si>
  <si>
    <t>Piston and valve assembly (metering valve stack)</t>
  </si>
  <si>
    <t>Meters fluid flow between chambers through calibrated valve passages to generate controlled damping force</t>
  </si>
  <si>
    <t>Piston rod (shaft)</t>
  </si>
  <si>
    <t>Transmits axial loads between the piston and vehicle mounts and provides a sliding interface through the cylinder head</t>
  </si>
  <si>
    <t>Gas pressure chamber / gas reservoir (accumulator)</t>
  </si>
  <si>
    <t>Maintains a pressurized gas charge separated from hydraulic fluid to prevent cavitation and stabilize damping characteristics</t>
  </si>
  <si>
    <t>870894</t>
  </si>
  <si>
    <t>Vehicles; parts, steering wheels, columns and boxes</t>
  </si>
  <si>
    <t>Steering wheel</t>
  </si>
  <si>
    <t>Driver torque input interface that transmits rotational input to the steering column and provides mechanical mounting for the hub</t>
  </si>
  <si>
    <t>Steering system</t>
  </si>
  <si>
    <t>Steering column main shaft</t>
  </si>
  <si>
    <t>Rotational shaft that transmits steering torque from the steering wheel to downstream coupling/gear assemblies while supporting column bearings and collapse/telescopic features</t>
  </si>
  <si>
    <t>Intermediate steering shaft (with universal joints)</t>
  </si>
  <si>
    <t>Flexible torque-transmission shaft that accommodates angular misalignment and vehicle movement using universal/cardán joints and splined couplings</t>
  </si>
  <si>
    <t>Steering gear (steering box) housing</t>
  </si>
  <si>
    <t>Encloses the gearset (rack-and-pinion or worm-and-sector) that converts rotational input into lateral motion for the steering linkage and provides structural mounting points</t>
  </si>
  <si>
    <t>870892</t>
  </si>
  <si>
    <t>Vehicles; parts, silencers and exhaust pipes</t>
  </si>
  <si>
    <t>Silencer (muffler) assembly</t>
  </si>
  <si>
    <t>Attenuates exhaust noise by dissipating and cancelling pressure pulses via internal chambers, baffles and perforated tubes</t>
  </si>
  <si>
    <t>Exhaust system</t>
  </si>
  <si>
    <t>5+ years</t>
  </si>
  <si>
    <t>Exhaust pipe (intermediate/connector pipe)</t>
  </si>
  <si>
    <t>Conveys exhaust gases between exhaust components while preserving designed flow cross-section and backpressure characteristics</t>
  </si>
  <si>
    <t>Resonator (tuned chamber)</t>
  </si>
  <si>
    <t>Provides frequency-specific noise attenuation and smooths pressure pulsations to complement the silencer</t>
  </si>
  <si>
    <t>Flexible exhaust connector (flex pipe/expansion joint)</t>
  </si>
  <si>
    <t>Absorbs thermal expansion, torsional and vibrational movement between fixed exhaust sections to prevent fatigue and leakage</t>
  </si>
  <si>
    <t>870891</t>
  </si>
  <si>
    <t>Vehicles; parts, radiators</t>
  </si>
  <si>
    <t>Radiator core (tube-and-fin)</t>
  </si>
  <si>
    <t>Transmits heat from circulating coolant to ambient air via coolant-filled tubes and surrounding fins to enable convective heat rejection</t>
  </si>
  <si>
    <t>Engine cooling system</t>
  </si>
  <si>
    <t>End tanks (header tanks)</t>
  </si>
  <si>
    <t>Collects and distributes coolant to/from the radiator core, seals the core assembly and provides mounting ports for inlet/outlet passages</t>
  </si>
  <si>
    <t>Coolant inlet/outlet neck assemblies</t>
  </si>
  <si>
    <t>Provides sealed mechanical interfaces for coolant hoses and directs bulk coolant flow into and out of the core</t>
  </si>
  <si>
    <t>Radiator pressure cap (filler cap)</t>
  </si>
  <si>
    <t>Maintains system pressure setpoint, allows controlled venting and return of coolant to the expansion reservoir and provides a service fill/vent point</t>
  </si>
  <si>
    <t>870831</t>
  </si>
  <si>
    <t>Vehicles; parts, mounted brake linings</t>
  </si>
  <si>
    <t>Friction lining</t>
  </si>
  <si>
    <t>Provide the wear surface that converts kinetic energy to heat and generates braking force through friction against rotor or drum</t>
  </si>
  <si>
    <t>Pad backing plate</t>
  </si>
  <si>
    <t>Rigid metal carrier that supports the friction lining, transmits caliper actuation loads and secures the lining geometry</t>
  </si>
  <si>
    <t>Lined brake shoe</t>
  </si>
  <si>
    <t>Curved metal shoe that carries an attached friction lining and transmits actuator force radially to expand the lining against the drum to produce braking torque</t>
  </si>
  <si>
    <t>Anti‑vibration shim</t>
  </si>
  <si>
    <t>Elastic/damped plate bonded to the backing plate to absorb vibrational energy and reduce noise and harshness between pad and caliper</t>
  </si>
  <si>
    <t>870840</t>
  </si>
  <si>
    <t>Vehicles; parts, gear boxes</t>
  </si>
  <si>
    <t>Input shaft</t>
  </si>
  <si>
    <t>Transmits torque from the vehicle input coupling into the gearbox and supports the rotational positioning of input gears</t>
  </si>
  <si>
    <t>Powertrain - Transmission</t>
  </si>
  <si>
    <t>Countershaft (layshaft)</t>
  </si>
  <si>
    <t>Carries an array of driven gears that mesh with mainshaft gears to establish gear ratios and transmit torque between input and output shafts</t>
  </si>
  <si>
    <t>Mainshaft (output shaft)</t>
  </si>
  <si>
    <t>Houses output gears and transmits selected gear torque to the transmission output coupling while supporting axial and radial loads</t>
  </si>
  <si>
    <t>Gear set (meshed spur/helical gear pairs)</t>
  </si>
  <si>
    <t>Provides discrete gear ratios and torque transfer between shafts through meshed gear teeth (including pinions and companion gears)</t>
  </si>
  <si>
    <t>870850</t>
  </si>
  <si>
    <t>Vehicles; parts, drive-axles with differential, whether or not provided with other transmission components</t>
  </si>
  <si>
    <t>Differential carrier (differential case)</t>
  </si>
  <si>
    <t>Encloses and supports internal differential gears and bearings; transmits split torque to axle shafts while permitting wheel speed differential</t>
  </si>
  <si>
    <t>Drivetrain (final drive)</t>
  </si>
  <si>
    <t>Ring gear</t>
  </si>
  <si>
    <t>Mates with the drive pinion to convert input rotation into rotational motion of the differential case and provide final drive reduction</t>
  </si>
  <si>
    <t>Pinion gear (drive pinion)</t>
  </si>
  <si>
    <t>Accepts input torque from the driveshaft and transmits it to the ring gear, establishing final drive ratio and rotational direction</t>
  </si>
  <si>
    <t>Axle shaft (half shaft / drive axle shaft)</t>
  </si>
  <si>
    <t>Transmits torque from the differential side gears to the wheel hub and supports torsional and some axial loads</t>
  </si>
  <si>
    <t>Drivetrain (axles)</t>
  </si>
  <si>
    <t>870821</t>
  </si>
  <si>
    <t>Vehicles; parts of bodies, safety seat belts</t>
  </si>
  <si>
    <t>Seat belt webbing</t>
  </si>
  <si>
    <t>Woven flexible strap that restrains occupant motion and distributes impact loads across the pelvis and torso</t>
  </si>
  <si>
    <t>Occupant restraint system</t>
  </si>
  <si>
    <t>Retractor assembly</t>
  </si>
  <si>
    <t>Spring‑loaded spool with inertial locking mechanism that stores belt webbing and locks to arrest payout during rapid deceleration</t>
  </si>
  <si>
    <t>Buckle assembly (receiver)</t>
  </si>
  <si>
    <t>Mechanical receptacle providing a positive latch and controlled release for the tongue to secure the belt</t>
  </si>
  <si>
    <t>Lower anchor bracket</t>
  </si>
  <si>
    <t>Rigid mounting bracket that secures the belt/webbing to vehicle structure and transfers restraint loads into the body</t>
  </si>
  <si>
    <t>870829</t>
  </si>
  <si>
    <t>Vehicles; parts and accessories, of bodies, other than safety seat belts</t>
  </si>
  <si>
    <t>Door assembly (outer skin and inner reinforcement)</t>
  </si>
  <si>
    <t>Provides occupant ingress/egress, forms side-impact load path and mounts for hinges/latch, and contributes to body stiffness</t>
  </si>
  <si>
    <t>Body closures and exterior panels</t>
  </si>
  <si>
    <t>Hood (bonnet) panel assembly</t>
  </si>
  <si>
    <t>Covers and grants access to the engine bay, provides front structural stiffness and contributes to frontal energy dispersion</t>
  </si>
  <si>
    <t>Front bumper assembly (reinforcement beam and cover)</t>
  </si>
  <si>
    <t>Absorbs and distributes low-speed impact energy and protects front structural members and mounting interfaces</t>
  </si>
  <si>
    <t>Front-end structure and impact energy management</t>
  </si>
  <si>
    <t>Floor pan assembly (underbody structural sheetmetal)</t>
  </si>
  <si>
    <t>Forms the vehicle floor, provides primary load-bearing structure for seats and mounts, and imparts torsional stiffness to the body-in-white</t>
  </si>
  <si>
    <t>Body-in-white structural system</t>
  </si>
  <si>
    <t>870899</t>
  </si>
  <si>
    <t>Vehicles; parts and accessories, n.e.s. in heading no. 8708</t>
  </si>
  <si>
    <t>Transmission (gearbox) assembly</t>
  </si>
  <si>
    <t>Convert and transmit rotational torque through selectable gear ratios to output shafts, enabling vehicle speed and tractive effort control</t>
  </si>
  <si>
    <t>Differential (final‑drive) assembly</t>
  </si>
  <si>
    <t>Distribute input torque between left and right drive shafts while permitting differential wheel speeds during cornering and providing torque biasing in limited‑slip designs</t>
  </si>
  <si>
    <t>Drivetrain (final drive/axle)</t>
  </si>
  <si>
    <t>Rack-and-pinion steering assembly</t>
  </si>
  <si>
    <t>Translate steering column rotation into lateral rack motion, establishing steering ratio and providing tie‑rod attachment to steer front wheels</t>
  </si>
  <si>
    <t>Hydraulic disc brake caliper</t>
  </si>
  <si>
    <t>Generate clamping force on brake pads to press against the rotor, converting kinetic energy to thermal energy to decelerate the vehicle under hydraulic control</t>
  </si>
  <si>
    <t>870860</t>
  </si>
  <si>
    <t>Vehicles; non-driving axles and parts thereof</t>
  </si>
  <si>
    <t>Solid axle beam</t>
  </si>
  <si>
    <t>Structural member spanning the vehicle that transmits static and dynamic loads between wheels and chassis and locates wheelsets laterally and longitudinally</t>
  </si>
  <si>
    <t>Axle housing / tube assembly</t>
  </si>
  <si>
    <t>Tubular or cast enclosure that supports bearing bores, provides mounting locations for wheel-end components and suspension attachments, and absorbs bending and torsional loads</t>
  </si>
  <si>
    <t>Chassis</t>
  </si>
  <si>
    <t>Wheel hub (flanged hub with bearing races)</t>
  </si>
  <si>
    <t>Wheel mounting flange incorporating bearing race surfaces to support wheel rotation and transmit radial and axial loads to the axle</t>
  </si>
  <si>
    <t>Wheel-end assembly</t>
  </si>
  <si>
    <t>Stub axle / spindle</t>
  </si>
  <si>
    <t>Short axle shaft or spindle that supports the wheel hub and bearing assembly and provides pivot/mounting surfaces for steering or suspension linkages</t>
  </si>
  <si>
    <t>Steering and suspension system</t>
  </si>
  <si>
    <t>870893</t>
  </si>
  <si>
    <t>Vehicles; clutches and parts</t>
  </si>
  <si>
    <t>Clutch friction disc (driven plate)</t>
  </si>
  <si>
    <t>Transfers torque from the flywheel to the transmission input shaft via friction facings and torsional damper; permits slip during engagement/disengagement</t>
  </si>
  <si>
    <t>Transmission system</t>
  </si>
  <si>
    <t>Clutch pressure plate assembly</t>
  </si>
  <si>
    <t>Provides axial clamping force via diaphragm or coil springs to press the friction disc against the flywheel for engagement and releases that force for disengagement</t>
  </si>
  <si>
    <t>Flywheel</t>
  </si>
  <si>
    <t>Provides a hardened friction surface for the clutch disc, stores rotational inertia, and mounts to the crankshaft to deliver torque into the clutch assembly</t>
  </si>
  <si>
    <t>Clutch release bearing (throw-out bearing)</t>
  </si>
  <si>
    <t>Transmits axial movement from the clutch actuator to the pressure plate diaphragm, allowing controlled disengagement of the clutch</t>
  </si>
  <si>
    <t>870810</t>
  </si>
  <si>
    <t>Vehicles; bumpers and parts thereof, for the vehicles of heading no. 8701 to 8705</t>
  </si>
  <si>
    <t>Bumper reinforcement beam</t>
  </si>
  <si>
    <t>Primary structural impact member that spans vehicle width to absorb and distribute collision loads to the body structure</t>
  </si>
  <si>
    <t>Body structure (crash management)</t>
  </si>
  <si>
    <t>Crash energy absorber</t>
  </si>
  <si>
    <t>Controlled-deformation element (foam, honeycomb, or polymer crush core) that dissipates kinetic energy during low- to medium-speed impacts</t>
  </si>
  <si>
    <t>Passive safety (crash energy management)</t>
  </si>
  <si>
    <t>Bumper cover (fascia)</t>
  </si>
  <si>
    <t>Exterior plastic or composite skin providing aerodynamic surface, styling, and minor impact deflection while retaining underlying components</t>
  </si>
  <si>
    <t>Exterior bodywork</t>
  </si>
  <si>
    <t>Bumper mounting brackets/supports</t>
  </si>
  <si>
    <t>Rigid attachment components that locate and secure the bumper assembly to the vehicle body and transmit impact loads to the chassis</t>
  </si>
  <si>
    <t>Body attachment system</t>
  </si>
  <si>
    <t>870839</t>
  </si>
  <si>
    <t>Vehicles; brakes, servo brakes and parts, not mounted brake linings</t>
  </si>
  <si>
    <t>Brake master cylinder</t>
  </si>
  <si>
    <t>Converts driver pedal force into pressurized hydraulic fluid and distributes pressure to front/rear wheel circuits</t>
  </si>
  <si>
    <t>Hydraulic braking system</t>
  </si>
  <si>
    <t>Brake booster (servo)</t>
  </si>
  <si>
    <t>Amplifies driver pedal input using vacuum or pressure differential to increase force applied to the master cylinder pushrod</t>
  </si>
  <si>
    <t>Brake power-assist system</t>
  </si>
  <si>
    <t>Brake caliper</t>
  </si>
  <si>
    <t>Houses pistons that actuate to clamp brake pads onto the rotor, converting hydraulic pressure into clamping force and braking torque</t>
  </si>
  <si>
    <t>Provides the rotating friction surface that pads engage to convert vehicle kinetic energy into heat and generate braking torque</t>
  </si>
  <si>
    <t>Friction braking subsystem</t>
  </si>
  <si>
    <t>870710</t>
  </si>
  <si>
    <t>Vehicles; bodies (including cabs) for the motor vehicles of heading no. 8703</t>
  </si>
  <si>
    <t>Monocoque (body shell)</t>
  </si>
  <si>
    <t>Primary load-bearing structural enclosure that integrates mounting points for suspension, drivetrain components and exterior panels while protecting occupants</t>
  </si>
  <si>
    <t>Body-in-White (BIW) Structure</t>
  </si>
  <si>
    <t>Cab assembly (driver/passenger cabin shell)</t>
  </si>
  <si>
    <t>Enclosed occupant compartment providing structural crash protection, driver/operator workspace and mounting interfaces for controls and seating</t>
  </si>
  <si>
    <t>Cab/Passenger Compartment Structure</t>
  </si>
  <si>
    <t>Door assembly (outer and inner door panels with reinforcement beam)</t>
  </si>
  <si>
    <t>Provides occupant access and egress, lateral structural support and side-impact energy management while accommodating window and latch interfaces</t>
  </si>
  <si>
    <t>Exterior Closure System</t>
  </si>
  <si>
    <t>Floor pan and sill assembly</t>
  </si>
  <si>
    <t>Forms the vehicle floor, transfers vertical and torsional loads into the structure, and provides mounting surfaces for seats and interior components</t>
  </si>
  <si>
    <t>Interior Floor Structure</t>
  </si>
  <si>
    <t>870790</t>
  </si>
  <si>
    <t>Vehicles; bodies (including cabs) for the motor vehicles of heading no. 8701, 8702, 8704 or 8705</t>
  </si>
  <si>
    <t>Body‑in‑white (BIW) assembly</t>
  </si>
  <si>
    <t>Primary load‑bearing structural shell that provides global stiffness, crash energy management and mounting interfaces for drivetrain, suspension and interior systems</t>
  </si>
  <si>
    <t>Body structure</t>
  </si>
  <si>
    <t>Cab floorpan assembly (including transmission tunnel and crossmembers)</t>
  </si>
  <si>
    <t>Transmits chassis and occupant loads, provides mounting surfaces for seats, pedals and interior components and contributes to torsional rigidity</t>
  </si>
  <si>
    <t>Complete door assembly (outer skin and inner reinforcement panel)</t>
  </si>
  <si>
    <t>Provides ingress/egress, lateral impact protection, weather sealing and structural support for window and latch mechanisms</t>
  </si>
  <si>
    <t>Exterior body</t>
  </si>
  <si>
    <t>Roof assembly with A/B/C pillars</t>
  </si>
  <si>
    <t>Maintains roof strength and vehicle integrity, provides rollover protection and contributes to overall body stiffness</t>
  </si>
  <si>
    <t>851230</t>
  </si>
  <si>
    <t>Sound signalling equipment; electrical, used on cycles or motor vehicles (excluding articles of heading no. 8539)</t>
  </si>
  <si>
    <t>Diaphragm (acoustic membrane)</t>
  </si>
  <si>
    <t>Vibrates in response to mechanical drive to convert oscillatory motion into pressure waves (audible tone)</t>
  </si>
  <si>
    <t>Warning and signalling system (audible)</t>
  </si>
  <si>
    <t>Electromagnet coil and armature assembly</t>
  </si>
  <si>
    <t>Produces a magnetic field and movable armature that provides the mechanical drive force to excite the diaphragm or contacts</t>
  </si>
  <si>
    <t>Make-and-break (oscillating) contact assembly</t>
  </si>
  <si>
    <t>Periodically interrupts and restores current to the electromagnet to establish and maintain the oscillation frequency</t>
  </si>
  <si>
    <t>Horn trumpet (acoustic resonator)</t>
  </si>
  <si>
    <t>Impedance-matches diaphragm output to ambient air and shapes the frequency response and directivity to increase emitted sound level</t>
  </si>
  <si>
    <t>401110</t>
  </si>
  <si>
    <t>Rubber; new pneumatic tyres, of a kind used on motor cars (including station wagons and racing cars)</t>
  </si>
  <si>
    <t>Tread</t>
  </si>
  <si>
    <t>Road-contact rubber layer providing traction, braking surface and wear resistance; includes grooves for water evacuation</t>
  </si>
  <si>
    <t>Wheel and Tire System</t>
  </si>
  <si>
    <t>Belt package (steel belts)</t>
  </si>
  <si>
    <t>High-tensile reinforcement under the tread that stabilizes the crown, controls footprint shape and resists puncture</t>
  </si>
  <si>
    <t>Carcass plies (body ply)</t>
  </si>
  <si>
    <t>Textile cord layers forming the tyre carcass that bear static and dynamic loads and allow controlled flexing between bead and tread</t>
  </si>
  <si>
    <t>Bead (bead core and filler)</t>
  </si>
  <si>
    <t>Steel wire bundle and filler that anchors the tyre to the wheel rim, ensures airtight seating and transmits mounting, cornering and braking loads</t>
  </si>
  <si>
    <t>401310</t>
  </si>
  <si>
    <t>Rubber; inner tubes, of a kind used on motorcars (including station wagons and racing cars), buses and lorries</t>
  </si>
  <si>
    <t>Butyl rubber tube bladder</t>
  </si>
  <si>
    <t>Elastomeric airtight enclosure that retains and distributes inflation pressure within the tire cavity</t>
  </si>
  <si>
    <t>Tire and wheel subsystem</t>
  </si>
  <si>
    <t>Valve stem assembly (Schrader-type)</t>
  </si>
  <si>
    <t>Serviceable inflation/deflation interface that provides a sealed passage through the tube for pressurization and pressure retention</t>
  </si>
  <si>
    <t>Valve core (spring-loaded poppet)</t>
  </si>
  <si>
    <t>Removable one‑way sealing element inside the valve stem that permits inflation while preventing air leakage</t>
  </si>
  <si>
    <t>Textile reinforcement ply (nylon/polyester cord)</t>
  </si>
  <si>
    <t>Circumferential reinforcement layer embedded in the tube wall to increase dimensional stability, resistance to pinch/abrasion and load distribution</t>
  </si>
  <si>
    <t>401390</t>
  </si>
  <si>
    <t>Rubber; inner tubes, n.e.s. in heading no. 4013</t>
  </si>
  <si>
    <t>Inner tube carcass (butyl rubber bladder)</t>
  </si>
  <si>
    <t>Primary air-retaining toroidal body that contains pressurized air and transmits internal pressure loads to the tyre casing</t>
  </si>
  <si>
    <t>Wheel and tyre assembly</t>
  </si>
  <si>
    <t>Valve assembly (Schrader valve stem with removable core)</t>
  </si>
  <si>
    <t>Provides a sealed access port for inflation and deflation and prevents air leakage under operating pressures</t>
  </si>
  <si>
    <t>Valve-seat reinforcement patch (fabric-reinforced rubber)</t>
  </si>
  <si>
    <t>Localized bonded reinforcement around the valve to prevent tearing, extrusion, and leakage at the valve-seat interface</t>
  </si>
  <si>
    <t>Carcass reinforcement ply (nylon/rayon fabric layer)</t>
  </si>
  <si>
    <t>Embedded fabric layer that supplies tensile strength, dimensional stability and improved puncture resistance to the tube wall</t>
  </si>
  <si>
    <t>401211</t>
  </si>
  <si>
    <t>Retreaded tyres ; of a kind used on motor cars (including station wagons and racing cars)</t>
  </si>
  <si>
    <t>Tread (retread rubber cap)</t>
  </si>
  <si>
    <t>Provides the primary road-contact surface for traction, braking and wear resistance; restores rubber profile and tread pattern on a used casing</t>
  </si>
  <si>
    <t>Tire and Wheel</t>
  </si>
  <si>
    <t>Carcass (casing plies)</t>
  </si>
  <si>
    <t>Structural load-bearing component composed of textile plies that supports vehicle weight, contains inflation pressure and provides flexibility</t>
  </si>
  <si>
    <t>Belt package (steel or fabric belts)</t>
  </si>
  <si>
    <t>Circumferential reinforcement layer under the tread that controls tread deformation, improves stability and resists puncture and impact</t>
  </si>
  <si>
    <t>Bead assembly (bead core and filler)</t>
  </si>
  <si>
    <t>Reinforced ring that secures the tyre to the wheel rim, transmits lateral and radial loads and creates an air-tight seal at the rim seat</t>
  </si>
  <si>
    <t>852729</t>
  </si>
  <si>
    <t>Radio-broadcast receivers; (not operational without external power source), without sound recording or reproducing apparatus, including apparatus capable of receiving radio-telephony or radio-telegraphy</t>
  </si>
  <si>
    <t>RF tuner module</t>
  </si>
  <si>
    <t>Selective RF front-end that receives, filters and demodulates broadcast radio signals to produce baseband audio or IF output</t>
  </si>
  <si>
    <t>Infotainment/Radio subsystem</t>
  </si>
  <si>
    <t>Audio power amplifier module</t>
  </si>
  <si>
    <t>Amplifies low-level audio signals from the receiver to drive vehicle speaker loads at specified power and impedance</t>
  </si>
  <si>
    <t>Infotainment/Audio subsystem</t>
  </si>
  <si>
    <t>Vehicle-mounted antenna assembly</t>
  </si>
  <si>
    <t>Vehicle external RF radiator/receiver that captures broadcast electromagnetic waves and provides a impedance-matched feed to the receiver</t>
  </si>
  <si>
    <t>Antenna/Communications subsystem</t>
  </si>
  <si>
    <t>Head unit front-panel and enclosure assembly</t>
  </si>
  <si>
    <t>User-facing mechanical enclosure with controls, display and connector interfaces that provides operator input, structural mounting and EMI shielding for the receiver</t>
  </si>
  <si>
    <t>Infotainment/Interior subsystem</t>
  </si>
  <si>
    <t>852721</t>
  </si>
  <si>
    <t>Radio-broadcast receivers; (not operational without external power source), combined with sound recording or reproducing apparatus, including apparatus capable of receiving radio-telephony or radio-telegraphy</t>
  </si>
  <si>
    <t>Head unit chassis (radio receiver enclosure)</t>
  </si>
  <si>
    <t>Structural enclosure that houses the receiver/tuner, control interface, power/filtering modules and provides mounting and EMI shielding for internal assemblies</t>
  </si>
  <si>
    <t>Infotainment System</t>
  </si>
  <si>
    <t>Speaker driver (loudspeaker assembly)</t>
  </si>
  <si>
    <t>Electro-mechanical transducer that converts amplified electrical audio signals into acoustic sound, comprising cone, voice coil, magnet and frame</t>
  </si>
  <si>
    <t>Audio System</t>
  </si>
  <si>
    <t>Antenna assembly (roof/mast or embedded antenna with feed)</t>
  </si>
  <si>
    <t>RF front-end element that captures broadcast radio signals and conveys them via a coaxial/feed line to the receiver with impedance matching and grounding provisions</t>
  </si>
  <si>
    <t>Antenna System</t>
  </si>
  <si>
    <t>Optical-disc transport mechanism (CD/DVD media drive)</t>
  </si>
  <si>
    <t>Mechanical subsystem that loads, clamps, spins and positions optical media and the laser pickup assembly to read/write audio data for playback or recording</t>
  </si>
  <si>
    <t>830230</t>
  </si>
  <si>
    <t>Mountings, fittings and similar articles; for motor vehicles, of base metal</t>
  </si>
  <si>
    <t>Engine mounting bracket</t>
  </si>
  <si>
    <t>Rigidly secures the engine/transmission assembly to the vehicle frame and transmits static and dynamic powertrain loads into the chassis</t>
  </si>
  <si>
    <t>Bumper mounting bracket</t>
  </si>
  <si>
    <t>Locates and supports the bumper beam to the body structure and transfers impact and crash loads into the vehicle frame</t>
  </si>
  <si>
    <t>Seat rail mounting bracket</t>
  </si>
  <si>
    <t>Anchors the seat assembly to the vehicle floor, provides longitudinal adjustment guidance and carries occupant crash loads to the body structure</t>
  </si>
  <si>
    <t>Seating system</t>
  </si>
  <si>
    <t>Tow hitch receiver mounting plate</t>
  </si>
  <si>
    <t>Provides a structural attachment interface for a trailer receiver and transfers towing shear, tensile and bending loads into the chassis</t>
  </si>
  <si>
    <t>851220</t>
  </si>
  <si>
    <t>Lighting or visual signalling equipment; electrical, of a kind used on motor vehicles (excluding articles of heading no. 8539)</t>
  </si>
  <si>
    <t>Light source module</t>
  </si>
  <si>
    <t>Convert electrical energy into visible light to provide illumination or signaling (e.g., filament bulb, halogen capsule, LED array)</t>
  </si>
  <si>
    <t>Exterior lighting system</t>
  </si>
  <si>
    <t>Reflector assembly</t>
  </si>
  <si>
    <t>Collect and redirect emitted light to form the required beam pattern and intensity distribution</t>
  </si>
  <si>
    <t>Optical lens (outer cover)</t>
  </si>
  <si>
    <t>Transmit and refract light to shape the beam/cutoff while providing a sealed optical surface</t>
  </si>
  <si>
    <t>Lamp housing / body</t>
  </si>
  <si>
    <t>Provide structural support and mounting interfaces, enclose optical components, and manage mechanical and thermal loads</t>
  </si>
  <si>
    <t>853910</t>
  </si>
  <si>
    <t>Lamps; sealed beam units</t>
  </si>
  <si>
    <t>Sealed glass lens</t>
  </si>
  <si>
    <t>Optically shapes and transmits the beam while forming a hermetic front surface to protect internal elements</t>
  </si>
  <si>
    <t>Lighting system</t>
  </si>
  <si>
    <t>Parabolic metalized reflector</t>
  </si>
  <si>
    <t>Collects light from the source and redirects it into a controlled, focused beam pattern</t>
  </si>
  <si>
    <t>Incandescent/halogen filament lamp</t>
  </si>
  <si>
    <t>Primary radiative element that converts electrical energy into visible light within the sealed unit</t>
  </si>
  <si>
    <t>Insulated mounting flange and terminal base</t>
  </si>
  <si>
    <t>Provides mechanical mounting, hermetic sealing at the rear of the unit and the electrical contact interface</t>
  </si>
  <si>
    <t>854430</t>
  </si>
  <si>
    <t>Insulated electric conductors; ignition wiring sets and other wiring sets of a kind used in vehicles, aircraft or ships</t>
  </si>
  <si>
    <t>Insulated conductor (wire/cable)</t>
  </si>
  <si>
    <t>Transmit electrical power and signals between vehicle components while providing dielectric insulation and defined conductor cross‑section</t>
  </si>
  <si>
    <t>Vehicle electrical distribution system</t>
  </si>
  <si>
    <t>Molded connector housing (multi‑pin)</t>
  </si>
  <si>
    <t>Provide mechanical support, polarization and environmental sealing for grouped conductors and enable detachable electrical connections</t>
  </si>
  <si>
    <t>Electrical terminal contact (crimp/solder pin)</t>
  </si>
  <si>
    <t>Establish a low‑resistance electrical interface between an insulated conductor and a connector housing or mating contact</t>
  </si>
  <si>
    <t>Insulation boot (spark plug / coil boot)</t>
  </si>
  <si>
    <t>Provide localized dielectric insulation, mechanical strain relief and environmental sealing at ignition conductor terminations to prevent arcing</t>
  </si>
  <si>
    <t>Ignition system</t>
  </si>
  <si>
    <t>851140</t>
  </si>
  <si>
    <t>Ignition or starting equipment; starter motors and dual purpose starter-generators, of a kind used for spark or compression-ignition internal combustion engines</t>
  </si>
  <si>
    <t>Armature (rotor)</t>
  </si>
  <si>
    <t>Rotating electromagnetic assembly that generates torque when current passes through windings and transmits torque to the starter drive</t>
  </si>
  <si>
    <t>Starting system</t>
  </si>
  <si>
    <t>Field coil / stator assembly</t>
  </si>
  <si>
    <t>Stationary magnetic field generator (wound coils or permanent magnets) that interacts with the armature to produce rotational torque</t>
  </si>
  <si>
    <t>Brush and commutator assembly</t>
  </si>
  <si>
    <t>Sliding electrical contact system that conducts current to armature windings and provides commutation for torque-producing current reversal</t>
  </si>
  <si>
    <t>Starter drive (pinion/Bendix) assembly</t>
  </si>
  <si>
    <t>Mechanical engagement mechanism that meshes the starter pinion with the engine ring gear to transmit torque and automatically disengage after cranking</t>
  </si>
  <si>
    <t>851110</t>
  </si>
  <si>
    <t>Ignition or starting equipment; spark plugs, of a kind used for spark or compression-ignition internal combustion engines</t>
  </si>
  <si>
    <t>Spark plug</t>
  </si>
  <si>
    <t>Generate a timed high-voltage electrical discharge across a precise electrode gap to initiate combustion in the engine cylinder</t>
  </si>
  <si>
    <t>Unknown</t>
  </si>
  <si>
    <t>Ignition coil</t>
  </si>
  <si>
    <t>Step up low-voltage battery supply into high-voltage pulses and deliver energy to spark plugs at ignition timing</t>
  </si>
  <si>
    <t>Glow plug</t>
  </si>
  <si>
    <t>Provide localized electrical heating of the combustion chamber to raise temperature for reliable fuel ignition during cold start</t>
  </si>
  <si>
    <t>Starter motor</t>
  </si>
  <si>
    <t>Convert electrical energy into rotational torque to crank the engine crankshaft and initiate engine start</t>
  </si>
  <si>
    <t>851190</t>
  </si>
  <si>
    <t>Ignition or starting equipment; parts of the equipment of heading no. 8511, for use in spark-ignition or compression-ignition internal combustion engines</t>
  </si>
  <si>
    <t>Starter motor assembly</t>
  </si>
  <si>
    <t>Converts electrical energy into rotational torque and transmits it via a pinion to engage the flywheel and crank the engine</t>
  </si>
  <si>
    <t>Step-up transformer that converts low-voltage supply pulses into high-voltage pulses required to generate an ignition spark</t>
  </si>
  <si>
    <t>Provides a controlled high-voltage spark across an electrode gap to initiate combustion of the air–fuel mixture</t>
  </si>
  <si>
    <t>Resistive heating element inserted into the combustion chamber or pre-chamber to raise local temperature and assist cold starting in compression-ignition engines</t>
  </si>
  <si>
    <t>Starting system (compression-ignition)</t>
  </si>
  <si>
    <t>851180</t>
  </si>
  <si>
    <t>Ignition or starting equipment; n.e.s. in heading no. 8511, of a kind used for spark or compression-ignition internal combustion engines</t>
  </si>
  <si>
    <t>Converts electrical energy into rotational torque to crank the engine and initiate rotation of the crankshaft</t>
  </si>
  <si>
    <t>Produces a timed high-voltage discharge across an electrode gap to ignite the air–fuel mixture in the combustion chamber</t>
  </si>
  <si>
    <t>High-voltage step-up transformer that converts the vehicle low-voltage supply into rapid high-voltage pulses for spark generation</t>
  </si>
  <si>
    <t>Resistive heating element that elevates local combustion-chamber temperature to support cold starting and reliable ignition of compression-ignited fuel</t>
  </si>
  <si>
    <t>851120</t>
  </si>
  <si>
    <t>Ignition or starting equipment; ignition magnetos, magneto-dynamos and magnetic flywheels, of a kind used for spark or compression-ignition internal combustion engines</t>
  </si>
  <si>
    <t>High-voltage transformer that steps up vehicle low-voltage supply to short-duration high-voltage pulses for spark generation</t>
  </si>
  <si>
    <t>Magnetic flywheel (magneto rotor)</t>
  </si>
  <si>
    <t>Rotating permanent-magnet rotor that produces a time-varying magnetic field and provides mechanical coupling to the engine crankshaft</t>
  </si>
  <si>
    <t>Magneto stator (coil/armature assembly)</t>
  </si>
  <si>
    <t>Stationary multi-turn coil and armature assembly in which the rotating magnetic field induces ignition voltage and supplies high-tension outputs</t>
  </si>
  <si>
    <t>Electric motor with integrated drive that converts electrical energy into torque to rotate the engine crankshaft for starting</t>
  </si>
  <si>
    <t>851150</t>
  </si>
  <si>
    <t>Ignition or starting equipment; generators n.e.s. in heading no. 8511, of a kind used for spark or compression-ignition internal combustion engines</t>
  </si>
  <si>
    <t>Converts electrical energy into rotational torque to crank the engine via an engagement mechanism</t>
  </si>
  <si>
    <t>Starter drive (pinion and overrunning clutch / Bendix drive)</t>
  </si>
  <si>
    <t>Transmits torque from the starter to the ring gear, engages and disengages the pinion and allows overrunning after start</t>
  </si>
  <si>
    <t>Alternator (rotating electrical generator)</t>
  </si>
  <si>
    <t>Converts mechanical rotational energy into electrical power to charge the battery and supply vehicle electrical loads</t>
  </si>
  <si>
    <t>Charging system</t>
  </si>
  <si>
    <t>Ignition coil (high-voltage transformer)</t>
  </si>
  <si>
    <t>Steps up low-voltage electrical energy to high voltage required to create a spark at the combustion chamber</t>
  </si>
  <si>
    <t>851130</t>
  </si>
  <si>
    <t>Ignition or starting equipment; distributors and ignition coils of a kind used for spark-ignition or compression-ignition internal combustion engines</t>
  </si>
  <si>
    <t>Ignition coil (primary-secondary coil assembly)</t>
  </si>
  <si>
    <t>Steps up low-voltage supply into high-voltage pulses via electromagnetic induction to deliver ignition energy to spark plugs</t>
  </si>
  <si>
    <t>Distributor cap</t>
  </si>
  <si>
    <t>Insulated housing containing terminal contacts that routes high-voltage from the rotor to individual ignition leads and isolates the distribution circuit</t>
  </si>
  <si>
    <t>Distributor rotor</t>
  </si>
  <si>
    <t>Rotating conductive contact that sequentially transfers high-voltage from the coil output to distributor cap terminals in timed order</t>
  </si>
  <si>
    <t>High-tension ignition lead (spark plug wire)</t>
  </si>
  <si>
    <t>High-voltage conductor with insulation and impedance control that transmits ignition pulses from distributor/coil to spark plugs while minimizing leakage and EMI</t>
  </si>
  <si>
    <t>840731</t>
  </si>
  <si>
    <t>Engines; reciprocating piston engines, of a kind used for the propulsion of vehicles of chapter 87, of a cylinder capacity not exceeding 50cc</t>
  </si>
  <si>
    <t>Crankcase (cylinder block)</t>
  </si>
  <si>
    <t>Supports and locates the crankshaft and main bearings, forms the crankcase volume and oil galleries, and provides structural mounting interfaces for the engine assembly.</t>
  </si>
  <si>
    <t>Powertrain - Engine mechanical</t>
  </si>
  <si>
    <t>Crankshaft</t>
  </si>
  <si>
    <t>Converts reciprocating piston forces into continuous rotational torque, transmits torque to the drivetrain, and provides journals and counterweights to balance rotating and reciprocating masses.</t>
  </si>
  <si>
    <t>Piston assembly (piston, piston rings, piston pin)</t>
  </si>
  <si>
    <t>Converts combustion/pressure forces into reciprocating motion, seals the combustion chamber via piston rings, and transmits load to the connecting rod through the piston pin.</t>
  </si>
  <si>
    <t>Cylinder head</t>
  </si>
  <si>
    <t>Forms the combustion chamber and porting, provides sealing to the crankcase, and supports valve/port hardware and spark plug mounting to control intake/exhaust and combustion events.</t>
  </si>
  <si>
    <t>840732</t>
  </si>
  <si>
    <t>Engines; reciprocating piston engines, of a kind used for the propulsion of vehicles of chapter 87, of a cylinder capacity exceeding 50cc but not exceeding 250cc</t>
  </si>
  <si>
    <t>Converts reciprocating motion of connecting rods into rotational torque via main and rod journals and transmits output to the transmission input flange</t>
  </si>
  <si>
    <t>Powertrain (engine)</t>
  </si>
  <si>
    <t>Cylinder block / Crankcase</t>
  </si>
  <si>
    <t>Structural housing that contains cylinder bores, supports main bearings, integrates oil passages and mounting points, and forms the lower enclosure of the engine</t>
  </si>
  <si>
    <t>Provides the sealed combustion chamber roof, accommodates intake and exhaust ports and valve seats/guides, and supports camshafts and cooling passages</t>
  </si>
  <si>
    <t>Piston assembly (piston, rings, wrist pin)</t>
  </si>
  <si>
    <t>Transmits gas pressure into reciprocating motion, maintains combustion sealing via piston rings, and transfers inertial and combustion loads to the connecting rod through the wrist pin</t>
  </si>
  <si>
    <t>840733</t>
  </si>
  <si>
    <t>Engines; reciprocating piston engines, of a kind used for the propulsion of vehicles of chapter 87, of a cylinder capacity exceeding 250cc but not exceeding 1000cc</t>
  </si>
  <si>
    <t>Cylinder block (engine block / crankcase)</t>
  </si>
  <si>
    <t>Provides the structural framework with machined cylinder bores and crankcase, supports main bearings and locates cylinders; contains coolant passages and oil galleries.</t>
  </si>
  <si>
    <t>Powertrain (engine mechanical)</t>
  </si>
  <si>
    <t>Seals the top of the cylinder bores and forms the combustion chamber; contains intake/exhaust ports, valve seats and mounting interfaces for the valve train and coolant passages.</t>
  </si>
  <si>
    <t>Converts reciprocating piston/connecting rod motion into rotational torque, transmits output to the transmission, and is supported by main bearings with counterweights for balance.</t>
  </si>
  <si>
    <t>Piston assembly</t>
  </si>
  <si>
    <t>Transmits combustion gas forces to the connecting rod via the wrist pin, maintains cylinder sealing with piston rings, and transfers heat to the cylinder walls.</t>
  </si>
  <si>
    <t>840734</t>
  </si>
  <si>
    <t>Engines; reciprocating piston engines, of a kind used for the propulsion of vehicles of chapter 87, of a cylinder capacity exceeding 1000cc</t>
  </si>
  <si>
    <t>Cylinder block</t>
  </si>
  <si>
    <t>Structural housing for cylinder bores; contains coolant passages and oil galleries; supports main bearings and mounts for ancillary components</t>
  </si>
  <si>
    <t>Powertrain - Engine</t>
  </si>
  <si>
    <t>Seals the top of the cylinders to form combustion chambers; provides ports and passages for intake/exhaust and coolant; mounts valve train components</t>
  </si>
  <si>
    <t>Converts reciprocating piston motion into rotational torque, transmits torque to the driveline, and is supported by main bearings</t>
  </si>
  <si>
    <t>Transfers combustion forces to the connecting rod, seals the combustion chamber via piston rings, and accommodates the wrist pin for reciprocation</t>
  </si>
  <si>
    <t>840991</t>
  </si>
  <si>
    <t>Engines; parts, suitable for use solely or principally with spark-ignition internal combustion piston engines (for other than aircraft)</t>
  </si>
  <si>
    <t>Structural housing for cylinders and main bearings; supports and locates the crankshaft, contains coolant and oil galleries, and provides mounting interfaces for ancillary components</t>
  </si>
  <si>
    <t>Engine block / crankcase</t>
  </si>
  <si>
    <t>Forms the upper closure of the combustion chamber, provides intake and exhaust ports and valve seats, and provides mounting surfaces for camshafts and valve train components</t>
  </si>
  <si>
    <t>Cylinder head / valvetrain</t>
  </si>
  <si>
    <t>Converts reciprocating piston motion into rotational torque, transmits torque to the flywheel/drivetrain, and is supported by main journals and counterweights for balance</t>
  </si>
  <si>
    <t>Rotating assembly (cranktrain)</t>
  </si>
  <si>
    <t>Piston</t>
  </si>
  <si>
    <t>Reciprocating element that transmits gas pressure to the connecting rod via the piston pin, maintains combustion sealing with piston rings, and resists thermal and mechanical loads</t>
  </si>
  <si>
    <t>Reciprocating assembly</t>
  </si>
  <si>
    <t>840999</t>
  </si>
  <si>
    <t>Engines; parts for internal combustion piston engines (excluding spark-ignition)</t>
  </si>
  <si>
    <t>Engine cylinder block (crankcase)</t>
  </si>
  <si>
    <t>Structural housing for cylinders and integrated coolant/oil galleries; supports main bearings and locates rotating and reciprocating components</t>
  </si>
  <si>
    <t>Powertrain — Engine crankcase</t>
  </si>
  <si>
    <t>Houses combustion chambers, valve seats/guides and intake/exhaust ports; provides sealing surface to the block and mounting for the valvetrain</t>
  </si>
  <si>
    <t>Powertrain — Cylinder head/valvetrain</t>
  </si>
  <si>
    <t>Converts reciprocating piston motion into rotational torque and transmits that torque through main and thrust bearing journals</t>
  </si>
  <si>
    <t>Powertrain — Cranktrain (bottom end)</t>
  </si>
  <si>
    <t>Transmits combustion gas loads to the connecting rod, seals the combustion chamber and controls oil film via piston rings</t>
  </si>
  <si>
    <t>Powertrain — Reciprocating assembly</t>
  </si>
  <si>
    <t>840820</t>
  </si>
  <si>
    <t>Engines; compression-ignition internal combustion piston engines (diesel or semi-diesel engines), of a kind used for the propulsion of vehicles of chapter 87</t>
  </si>
  <si>
    <t>Cylinder block (engine block)</t>
  </si>
  <si>
    <t>Structural housing for engine cylinders and crankcase that locates cylinder bores, supports main bearings, and contains integrated coolant and oil passages</t>
  </si>
  <si>
    <t>Powertrain — Engine Block Assembly</t>
  </si>
  <si>
    <t>Converts reciprocating piston and connecting-rod motion into rotational torque and transmits output through the flywheel; supports main and rod journals</t>
  </si>
  <si>
    <t>Powertrain — Cranktrain</t>
  </si>
  <si>
    <t>Cylinder head (with valvetrain)</t>
  </si>
  <si>
    <t>Seals the combustion chamber, provides intake and exhaust ports, and houses valves, valve guides, seats and camshaft(s) or cam followers for gas exchange</t>
  </si>
  <si>
    <t>Powertrain — Cylinder Head / Valvetrain</t>
  </si>
  <si>
    <t>High-pressure fuel injection pump</t>
  </si>
  <si>
    <t>Generates and meters high-pressure fuel pulses and delivers them to injectors at specified timing and pressure for compression ignition</t>
  </si>
  <si>
    <t>Fuel system — High-pressure Injection</t>
  </si>
  <si>
    <t>850740</t>
  </si>
  <si>
    <t>Electric accumulators; nickel-iron, including separators, whether or not rectangular (including square)</t>
  </si>
  <si>
    <t>Positive electrode plate (nickel-based active material)</t>
  </si>
  <si>
    <t>Provides the positive electrode active surface and conductive current-collection substrate for the reversible nickel redox reactions</t>
  </si>
  <si>
    <t>Vehicle electrical energy storage subsystem</t>
  </si>
  <si>
    <t>EV_ONLY</t>
  </si>
  <si>
    <t>Negative electrode plate (iron active material)</t>
  </si>
  <si>
    <t>Provides the negative electrode active surface and conductive current-collection substrate for the reversible iron/iron-hydroxide reactions</t>
  </si>
  <si>
    <t>Porous ion-permeable separator</t>
  </si>
  <si>
    <t>Electrically isolates opposing electrodes while allowing ionic conduction and retaining electrolyte between cells</t>
  </si>
  <si>
    <t>Molded cell housing and cover assembly (with terminal/vent)</t>
  </si>
  <si>
    <t>Mechanical enclosure that retains electrolyte, provides structural support, electrical terminal interface and controlled pressure relief</t>
  </si>
  <si>
    <t>850730</t>
  </si>
  <si>
    <t>Electric accumulators; nickel-cadmium, including separators, whether or not rectangular (including square)</t>
  </si>
  <si>
    <t>Positive electrode (nickel hydroxide plate)</t>
  </si>
  <si>
    <t>Active cathode material providing reversible oxidation/reduction for charge storage and current delivery</t>
  </si>
  <si>
    <t>Vehicle electrical system</t>
  </si>
  <si>
    <t>Negative electrode (cadmium plate or paste)</t>
  </si>
  <si>
    <t>Active anode material providing reversible reduction/oxidation for charge storage and current delivery</t>
  </si>
  <si>
    <t>Separator (microporous insulating membrane)</t>
  </si>
  <si>
    <t>Electrical insulation between electrodes while permitting ionic conduction through the electrolyte</t>
  </si>
  <si>
    <t>Cell casing and cover assembly (housing with terminals and vent)</t>
  </si>
  <si>
    <t>Rigid enclosure that contains electrodes and electrolyte, provides mechanical protection, mounting, electrical terminals and controlled venting</t>
  </si>
  <si>
    <t>850780</t>
  </si>
  <si>
    <t>Electric accumulators; n.e.s. in heading no. 8507, including separators, whether or not rectangular (including square)</t>
  </si>
  <si>
    <t>Cathode (positive electrode)</t>
  </si>
  <si>
    <t>Hosts positive electroactive material coated on a current collector and conducts positive charge during charge and discharge reactions</t>
  </si>
  <si>
    <t>Vehicle electrical system (energy storage)</t>
  </si>
  <si>
    <t>Anode (negative electrode)</t>
  </si>
  <si>
    <t>Hosts negative electroactive material coated on a current collector and conducts negative charge during charge and discharge reactions</t>
  </si>
  <si>
    <t>Microporous separator</t>
  </si>
  <si>
    <t>Electronically insulating, ion-permeable membrane that prevents direct electrode contact while allowing ionic transport between electrodes</t>
  </si>
  <si>
    <t>Cell enclosure and terminal assembly</t>
  </si>
  <si>
    <t>Rigid or flexible housing that contains and seals cell components, provides mechanical protection and pressure/thermal relief, and provides external electrical terminals</t>
  </si>
  <si>
    <t>850710</t>
  </si>
  <si>
    <t>Electric accumulators; lead-acid, of a kind used for starting piston engines, including separators, whether or not rectangular (including square)</t>
  </si>
  <si>
    <t>Positive plate (PbO2 active material on lead‑alloy grid)</t>
  </si>
  <si>
    <t>Provides the positive electrode surface where lead dioxide undergoes electrochemical reactions, accepting electrons during discharge and supporting current collection via the grid</t>
  </si>
  <si>
    <t>Starting and charging system</t>
  </si>
  <si>
    <t>Negative plate (spongy lead active material on lead‑alloy grid)</t>
  </si>
  <si>
    <t>Provides the negative electrode surface where spongy lead undergoes electrochemical reactions, releasing electrons during discharge and conducting current to the grid</t>
  </si>
  <si>
    <t>Separator (microporous polymer or glass‑fiber mat)</t>
  </si>
  <si>
    <t>Electrically isolates adjacent positive and negative plates while permitting ionic conduction of the sulfuric acid electrolyte between plates</t>
  </si>
  <si>
    <t>Battery case and cover with terminal posts (polypropylene housing)</t>
  </si>
  <si>
    <t>Encloses and secures cells and electrolyte, provides mechanical support, acid‑resistant sealing, venting, and external electrical connection via integrated terminal posts</t>
  </si>
  <si>
    <t>850720</t>
  </si>
  <si>
    <t>Electric accumulators; lead-acid, (other than for starting piston engines), including separators, whether or not rectangular (including square)</t>
  </si>
  <si>
    <t>Lead-alloy electrode plates (positive and negative)</t>
  </si>
  <si>
    <t>Provide the electrochemically active mass and current-collecting structure for reversible Pb/PbO2 ↔ PbSO4 reactions enabling charge storage and discharge current flow</t>
  </si>
  <si>
    <t>Electrical system</t>
  </si>
  <si>
    <t>Sulfuric acid aqueous electrolyte</t>
  </si>
  <si>
    <t>Serve as the ionic conductor between electrodes, participating in electrochemical reactions and enabling ion transport to support charge/discharge</t>
  </si>
  <si>
    <t>Microporous separators</t>
  </si>
  <si>
    <t>Physically isolate positive and negative plates to prevent electrical shorting while permitting ionic conduction and retained electrolyte</t>
  </si>
  <si>
    <t>Rigid battery case and cover assembly with integrated cell partitions and terminals</t>
  </si>
  <si>
    <t>Provide mechanical support and containment for cells and electrolyte, incorporate venting and external electrical terminals for connection to the vehicle electrical system</t>
  </si>
  <si>
    <t>870600</t>
  </si>
  <si>
    <t>Chassis; fitted with engines, for the motor vehicles of heading no. 8701 to 8705</t>
  </si>
  <si>
    <t>Chassis frame assembly</t>
  </si>
  <si>
    <t>Structural load-bearing backbone that provides mounting points for body, suspension and powertrain while transmitting static and dynamic loads</t>
  </si>
  <si>
    <t>Chassis structure</t>
  </si>
  <si>
    <t>Engine cradle (front subframe)</t>
  </si>
  <si>
    <t>Rigid subframe that supports and locates the engine and transmission assemblies and transfers powertrain loads to the main frame</t>
  </si>
  <si>
    <t>Powertrain mounting</t>
  </si>
  <si>
    <t>Front axle assembly (uprights, control arms, crossmember)</t>
  </si>
  <si>
    <t>Supports front wheel loads, locates wheels laterally and vertically, and transmits steering and suspension forces to the chassis</t>
  </si>
  <si>
    <t>Front suspension and steering</t>
  </si>
  <si>
    <t>Rear axle assembly (beam axle or independent rear unit with differential housing)</t>
  </si>
  <si>
    <t>Supports rear wheel loads, locates rear wheels relative to the chassis, and transmits drive torque to the wheels where applicable</t>
  </si>
  <si>
    <t>Rear suspension and drivetrain</t>
  </si>
  <si>
    <t>Electric wiper motor (windshield wiper drive motor)</t>
  </si>
  <si>
    <t>Generates torque and rotational output to drive the wiper transmission/gearbox</t>
  </si>
  <si>
    <t>Wiper transmission linkage (crank and link assembly)</t>
  </si>
  <si>
    <t>Converts rotary motion into reciprocating/oscillatory angular motion and transmits it to wiper arms</t>
  </si>
  <si>
    <t>Wiper arm (pivoting arm with blade mounting)</t>
  </si>
  <si>
    <t>Transfers oscillatory motion to the blade carrier and applies controlled contact pressure to the glass</t>
  </si>
  <si>
    <t>Resistive heating element (heated window / defroster grid)</t>
  </si>
  <si>
    <t>Provides distributed resistive heating across glazing to remove frost, ice and condensation</t>
  </si>
  <si>
    <t>HVAC / demisting system</t>
  </si>
  <si>
    <t>Welded structural chassis frame</t>
  </si>
  <si>
    <t>Primary load-bearing platform that supports body, occupants and major components and transmits static and dynamic loads to mounting points</t>
  </si>
  <si>
    <t>Body/Chassis</t>
  </si>
  <si>
    <t>Independent suspension assembly (control arms and dampers)</t>
  </si>
  <si>
    <t>Control wheel or track vertical motion, absorb road and terrain shock, and maintain contact and kinematic alignment under dynamic loads</t>
  </si>
  <si>
    <t>Steering rack-and-pinion with tie rods and column</t>
  </si>
  <si>
    <t>Convert operator steering input into coordinated lateral movement of steering knuckles or skis to change vehicle direction</t>
  </si>
  <si>
    <t>Steering</t>
  </si>
  <si>
    <t>Final drive assembly (differential or track drive sprocket and reduction gearbox)</t>
  </si>
  <si>
    <t>Transmit torque from the transmission/drive unit to wheels or track while providing gear reduction and differential or torque-distribution functionality</t>
  </si>
  <si>
    <t>Cylinder block (engine block) assembly</t>
  </si>
  <si>
    <t>Structural housing for cylinder bores; supports crankshaft and main bearings; provides oil and coolant galleries and mounts for pistons and ancillary components</t>
  </si>
  <si>
    <t>Cylinder head assembly</t>
  </si>
  <si>
    <t>Seals the combustion chamber and provides intake/exhaust ports, valve seats/guides and valvetrain mounting surfaces, plus coolant passages and mounting interfaces for peripheral hardware</t>
  </si>
  <si>
    <t>Powertrain - Cylinder head/Valvetrain</t>
  </si>
  <si>
    <t>Manual transmission (gearbox) assembly</t>
  </si>
  <si>
    <t>Contains gearsets and synchronizers to provide selectable gear ratios and transmit torque from the engine to the driveshaft or half-shafts</t>
  </si>
  <si>
    <t>Drivetrain - Transmission</t>
  </si>
  <si>
    <t>Final drive/differential assembly</t>
  </si>
  <si>
    <t>Provides gear reduction and torque split between drive wheels while allowing wheel-speed differentiation during turning</t>
  </si>
  <si>
    <t>Drivetrain - Final drive/Axle</t>
  </si>
  <si>
    <t>Wheel rim (rim and wheel disc assembly)</t>
  </si>
  <si>
    <t>Support and retain the tire bead, carry radial and lateral vehicle loads and transmit those loads to the wheel hub</t>
  </si>
  <si>
    <t>Wheels and tires</t>
  </si>
  <si>
    <t>Pneumatic tyre</t>
  </si>
  <si>
    <t>Provide traction, support vehicle load, isolate road irregularities and maintain contact patch pressure distribution</t>
  </si>
  <si>
    <t>Wheel hub assembly (hub with integrated bearing and flange)</t>
  </si>
  <si>
    <t>Locate and secure the wheel to the axle, transmit drive torque (when driven), and support radial/axial loads through the bearing</t>
  </si>
  <si>
    <t>Suspension and steering</t>
  </si>
  <si>
    <t>Provide a friction surface for the brake pads to convert kinetic energy into thermal energy and decelerate the wheel</t>
  </si>
  <si>
    <t>Outer cylinder (shock absorber body)</t>
  </si>
  <si>
    <t>Rigid pressure vessel that contains the working fluid, provides structural support and guides axial piston movement</t>
  </si>
  <si>
    <t>Axial rod that transmits piston motion to the vehicle structure and passes through the rod seal to convert wheel movement into piston displacement</t>
  </si>
  <si>
    <t>Piston and valve assembly</t>
  </si>
  <si>
    <t>Movable piston with calibrated valve stacks that meters hydraulic flow between chambers to generate controlled damping forces</t>
  </si>
  <si>
    <t>Gas reservoir with floating piston (pressurized chamber)</t>
  </si>
  <si>
    <t>Pressurized gas chamber separated by a floating piston or separator that maintains charge pressure, prevents cavitation and accommodates displaced fluid</t>
  </si>
  <si>
    <t>Driver input interface that transmits torque and rotational input to the steering column, providing mechanical leverage for manual steering control</t>
  </si>
  <si>
    <t>Steering column assembly</t>
  </si>
  <si>
    <t>Shaft assembly coupling the steering wheel to the steering gear; transmits torque, locates steering input, and incorporates collapsible energy-absorbing and adjustment features</t>
  </si>
  <si>
    <t>Rack-and-pinion steering gear (steering rack assembly)</t>
  </si>
  <si>
    <t>Converts rotational motion of the pinion into linear motion of the rack to steer wheels; transmits lateral force to tie rods and defines steering ratio</t>
  </si>
  <si>
    <t>Recirculating-ball steering gearbox</t>
  </si>
  <si>
    <t>Converts steering shaft rotation to sector/drag link output via a worm-and-ball mechanism, providing mechanical advantage, backlash compensation, and torque transmission to the linkage</t>
  </si>
  <si>
    <t>Silencer (muffler)</t>
  </si>
  <si>
    <t>Attenuates exhaust acoustic energy using reactive chambers and dissipative packing while routing exhaust gases through the system</t>
  </si>
  <si>
    <t>Exhaust pipe (intermediate/front/rear sections)</t>
  </si>
  <si>
    <t>Conveys exhaust gases between exhaust components, maintaining flow path and defined backpressure characteristics</t>
  </si>
  <si>
    <t>Flexible exhaust connector (flex pipe)</t>
  </si>
  <si>
    <t>Accommodates thermal expansion, torsion and relative movement between exhaust components to prevent stress and leakage</t>
  </si>
  <si>
    <t>Tailpipe (exhaust tip)</t>
  </si>
  <si>
    <t>Provides the terminal discharge conduit for exhaust gases and defines external flow exit geometry and finish</t>
  </si>
  <si>
    <t>Radiator core (tube-and-fin heat exchanger)</t>
  </si>
  <si>
    <t>Transfers heat from circulating coolant to ambient air through an array of fluid tubes and finned surfaces</t>
  </si>
  <si>
    <t>Radiator end tanks (header tanks)</t>
  </si>
  <si>
    <t>Collects and directs coolant into and out of the core and provides sealed transitions between hose connections and core tubes</t>
  </si>
  <si>
    <t>Filler neck and pressure cap assembly</t>
  </si>
  <si>
    <t>Provides a sealed fill/vent interface and maintains specified coolant system pressure to raise boiling point and control expansion flow</t>
  </si>
  <si>
    <t>Integrated transmission oil cooler (radiator-mounted heat exchanger)</t>
  </si>
  <si>
    <t>Removes heat from transmission fluid via a dedicated heat-exchanging section coupled to the radiator assembly</t>
  </si>
  <si>
    <t>Transmission cooling system</t>
  </si>
  <si>
    <t>Friction lining (pad friction material)</t>
  </si>
  <si>
    <t>Generate frictional force against the brake rotor or drum to convert vehicle kinetic energy to heat and produce braking torque</t>
  </si>
  <si>
    <t>Backing plate (steel support plate)</t>
  </si>
  <si>
    <t>Provide structural support and load transfer from the caliper piston to the friction lining while maintaining pad geometry and mounting interface</t>
  </si>
  <si>
    <t>Damping shim (anti-noise vibration shim)</t>
  </si>
  <si>
    <t>Dampen vibration and reduce structure-borne and airborne noise between the backing plate and caliper, improving NVH performance</t>
  </si>
  <si>
    <t>Mechanical wear indicator (wear warning tab)</t>
  </si>
  <si>
    <t>Provide a physical, contact-based warning of excessive friction lining wear by audibly or physically indicating when lining thickness falls below specification</t>
  </si>
  <si>
    <t>Gearset (gear wheels)</t>
  </si>
  <si>
    <t>Transmit and modulate torque and rotational speed through meshing gear teeth to provide selectable gear ratios</t>
  </si>
  <si>
    <t>Transmission</t>
  </si>
  <si>
    <t>Shafts (input, countershaft, output)</t>
  </si>
  <si>
    <t>Support and transmit torque between gear stages and the external driveline while locating gears and bearings axially and radially</t>
  </si>
  <si>
    <t>Synchronizer assembly (hub, sleeve, synchro rings)</t>
  </si>
  <si>
    <t>Match rotational speeds of engaging gears and enable smooth, clash-free engagement of gear ratios</t>
  </si>
  <si>
    <t>Transmission housing (case)</t>
  </si>
  <si>
    <t>Enclose and structurally support internal components, provide bearing bores and mounting points, and contain/route lubricant</t>
  </si>
  <si>
    <t>Differential carrier (housing)</t>
  </si>
  <si>
    <t>Supports and locates internal differential gears and bearings, secures the ring gear, and provides structural mounting to the axle assembly</t>
  </si>
  <si>
    <t>Drivetrain (final drive/axle assembly)</t>
  </si>
  <si>
    <t>Ring gear (crown wheel)</t>
  </si>
  <si>
    <t>Receives torque from the pinion gear and transmits it to the differential carrier, providing the final drive reduction</t>
  </si>
  <si>
    <t>Pinion gear and pinion shaft assembly</t>
  </si>
  <si>
    <t>Accepts input torque from the propeller/drive shaft and transmits/reduces speed to the ring gear via meshing engagement</t>
  </si>
  <si>
    <t>Axle shaft (half-shaft)</t>
  </si>
  <si>
    <t>Transmits torque from the differential side gears to the wheel hub while carrying bending and torsional loads</t>
  </si>
  <si>
    <t>Flexible woven strap that restrains occupant and distributes deceleration loads across pelvis and torso</t>
  </si>
  <si>
    <t>Seat belt retractor</t>
  </si>
  <si>
    <t>Spring-loaded spool that stores webbing, provides controlled payout, and mechanically locks the belt during rapid deceleration</t>
  </si>
  <si>
    <t>Buckle assembly</t>
  </si>
  <si>
    <t>Mechanical receptacle with release mechanism that secures the latch plate and retains belt engagement under load</t>
  </si>
  <si>
    <t>Latch plate (tongue)</t>
  </si>
  <si>
    <t>Rigid metal plate attached to webbing that inserts into the buckle to form a load-bearing connection</t>
  </si>
  <si>
    <t>Outer door panel (door shell)</t>
  </si>
  <si>
    <t>Exterior closure providing occupant access; structural support for hinge, latch and weather seals; contributes to side load path</t>
  </si>
  <si>
    <t>Closure system / Body structure</t>
  </si>
  <si>
    <t>Hood (bonnet) panel</t>
  </si>
  <si>
    <t>Access closure for powertrain compartment; provides front-end stiffness and defined deformation zone for impact energy management</t>
  </si>
  <si>
    <t>Front fender (wing) panel</t>
  </si>
  <si>
    <t>Wheelhouse exterior panel that shields wheel and suspension components from road debris and shapes local airflow</t>
  </si>
  <si>
    <t>Front bumper reinforcement beam</t>
  </si>
  <si>
    <t>Structural beam that absorbs and distributes low-speed impact energy to protect body structure and reduce intrusion</t>
  </si>
  <si>
    <t>Front-end structure (crash energy management)</t>
  </si>
  <si>
    <t>Convert and transmit torque and rotational speed through selectable gear ratios to the driveline</t>
  </si>
  <si>
    <t>Drive axle assembly with differential</t>
  </si>
  <si>
    <t>Transmit torque to driven wheels while permitting differential wheel speeds and supporting vehicle loads via axle shafts and differential gearset</t>
  </si>
  <si>
    <t>Driveline</t>
  </si>
  <si>
    <t>Brake caliper assembly</t>
  </si>
  <si>
    <t>Apply hydraulic clamping force to brake pads to generate frictional braking torque against the rotor for vehicle deceleration</t>
  </si>
  <si>
    <t>Convert rotational steering input into linear lateral motion to steer the road wheels and provide mechanical steering ratio</t>
  </si>
  <si>
    <t>Axle beam (tubular or I‑beam axle housing)</t>
  </si>
  <si>
    <t>Primary structural member that supports vehicle weight, locates wheels laterally, and provides mounting points for suspension and spring attachments</t>
  </si>
  <si>
    <t>Stub axle / spindle (knuckle interface)</t>
  </si>
  <si>
    <t>Provides the wheel mounting interface and pivot support for steering/suspension loads; transmits vertical and lateral loads between wheel hub and axle beam</t>
  </si>
  <si>
    <t>Wheel hub (mounting flange)</t>
  </si>
  <si>
    <t>Flanged component that secures the wheel to the axle, transmits wheel loads to the bearing/spindle and provides the bolt/stud pattern for wheel attachment</t>
  </si>
  <si>
    <t>Wheel mounting subsystem</t>
  </si>
  <si>
    <t>Wheel bearing assembly (tapered roller or ball bearing)</t>
  </si>
  <si>
    <t>Supports radial and axial wheel loads and provides low‑friction rotational interface between the hub and spindle/axle</t>
  </si>
  <si>
    <t>Clutch friction disc</t>
  </si>
  <si>
    <t>Transmits torque between the flywheel and transmission input shaft via friction linings and damper springs; accommodates misalignment through a splined hub</t>
  </si>
  <si>
    <t>Transmission/Drivetrain</t>
  </si>
  <si>
    <t>Applies and releases clamping force onto the friction disc using a diaphragm spring and cover plate to engage/disengage the drivetrain</t>
  </si>
  <si>
    <t>Release (throw-out) bearing</t>
  </si>
  <si>
    <t>Axial bearing that transmits pedal-actuated axial movement to the pressure plate diaphragm while allowing relative rotation</t>
  </si>
  <si>
    <t>Flywheel (drive plate)</t>
  </si>
  <si>
    <t>Provides a machined friction surface and rotational inertia on the crankshaft for torque transfer and smooth engine-to-transmission coupling</t>
  </si>
  <si>
    <t>Structural, load-bearing beam that absorbs and transmits collision forces across the vehicle structure</t>
  </si>
  <si>
    <t>Crash management system (Body-in-white)</t>
  </si>
  <si>
    <t>Energy absorber (crush box / foam/honeycomb)</t>
  </si>
  <si>
    <t>Progressively collapsible element that dissipates kinetic energy by controlled deformation during an impact</t>
  </si>
  <si>
    <t>Externally visible molded panel providing aerodynamic surface, pedestrian interface, and cosmetic protection for underlying components</t>
  </si>
  <si>
    <t>Exterior body trim</t>
  </si>
  <si>
    <t>Bumper mounting bracket (stay/support)</t>
  </si>
  <si>
    <t>Rigid bracket assembly that locates and secures the bumper assembly to the chassis/BIW and transmits loads to the vehicle structure</t>
  </si>
  <si>
    <t>Body-in-white attachment</t>
  </si>
  <si>
    <t>Rotating friction surface that interfaces with brake pads to convert kinetic energy to heat and transmit braking torque to the wheel hub</t>
  </si>
  <si>
    <t>Wheel braking assembly</t>
  </si>
  <si>
    <t>Hydraulic-actuated carrier containing pistons that clamp pads against the rotor to generate frictional braking force</t>
  </si>
  <si>
    <t>Primary hydraulic actuator that converts pedal input into pressurized brake fluid and distributes pressure to wheel circuits</t>
  </si>
  <si>
    <t>Hydraulic brake system</t>
  </si>
  <si>
    <t>Brake vacuum servo (booster)</t>
  </si>
  <si>
    <t>Power-assist unit that amplifies driver pedal force via vacuum differential to reduce input effort transmitted to the master cylinder</t>
  </si>
  <si>
    <t>Brake power assist system</t>
  </si>
  <si>
    <t>Body shell (monocoque shell)</t>
  </si>
  <si>
    <t>Primary structural enclosure that carries longitudinal and torsional loads, provides exterior aerodynamic surface and mounting points for drivetrain, suspension and interior assemblies</t>
  </si>
  <si>
    <t>Body/Structure</t>
  </si>
  <si>
    <t>Cab assembly (driver/passenger cab)</t>
  </si>
  <si>
    <t>Enclosed occupant compartment structure that integrates the firewall and mounting interfaces, providing crash energy management and occupant containment</t>
  </si>
  <si>
    <t>Occupant Compartment</t>
  </si>
  <si>
    <t>Floor pan assembly</t>
  </si>
  <si>
    <t>Lower hull component forming the vehicle floor and tunnel, providing seat and restraint attachment points and contributing to torsional stiffness and load transfer to the chassis</t>
  </si>
  <si>
    <t>Floor/Underbody Structure</t>
  </si>
  <si>
    <t>Pillar assemblies (A‑pillar/B‑pillar/C‑pillar)</t>
  </si>
  <si>
    <t>Vertical structural members that support roof loads, define door/window openings, and provide primary load paths for side impact and roof crush protection</t>
  </si>
  <si>
    <t>Safety/Crash Structure</t>
  </si>
  <si>
    <t>Cab shell (complete cab body-in-white)</t>
  </si>
  <si>
    <t>Integral structural enclosure for occupants that provides primary mounting interfaces for seats, steering, controls and exterior panels and transmits global crash and service loads</t>
  </si>
  <si>
    <t>Body structure (occupant compartment)</t>
  </si>
  <si>
    <t>Lower structural platform forming seat and component mounting surfaces and transmission tunnel; transmits longitudinal and torsional loads between body and chassis</t>
  </si>
  <si>
    <t>Body structure (floor/underbody)</t>
  </si>
  <si>
    <t>Firewall / bulkhead assembly</t>
  </si>
  <si>
    <t>Structural partition between the front mechanical compartment and occupant space that provides mounting interfaces, contributes to torsional stiffness and manages heat/fluids and crash energy</t>
  </si>
  <si>
    <t>Body structure (bulkhead/partition)</t>
  </si>
  <si>
    <t>B-pillar assembly</t>
  </si>
  <si>
    <t>Vertical structural member between front and rear openings that provides primary load path for roof crush and side impacts and serves as a mounting/anchor point for door latches and restraint attachments</t>
  </si>
  <si>
    <t>Structural safety (side impact/roof support)</t>
  </si>
  <si>
    <t>Diaphragm (horn membrane)</t>
  </si>
  <si>
    <t>Vibrates as the primary acoustic transducer to produce pressure waves when driven by the armature/coil</t>
  </si>
  <si>
    <t>Vehicle signaling system</t>
  </si>
  <si>
    <t>Electromagnetic coil and pole-piece assembly</t>
  </si>
  <si>
    <t>Converts electrical current into magnetic force to actuate the armature and sustain diaphragm oscillation</t>
  </si>
  <si>
    <t>Armature and contact spring assembly</t>
  </si>
  <si>
    <t>Provides mechanical interruption and return force to create and maintain the diaphragm's oscillatory motion</t>
  </si>
  <si>
    <t>Acoustic resonator / trumpet housing</t>
  </si>
  <si>
    <t>Acoustically shapes, amplifies and directs the diaphragm's sound output to achieve required tone and sound pressure level</t>
  </si>
  <si>
    <t>Road-contact rubber layer that provides traction, braking and steering grip while resisting wear and evacuating water via tread pattern</t>
  </si>
  <si>
    <t>Wheels and tyres</t>
  </si>
  <si>
    <t>Reinforcement layer beneath the tread that increases radial stiffness, resists puncture, stabilizes the tread footprint and distributes loads</t>
  </si>
  <si>
    <t>Carcass plies (body plies)</t>
  </si>
  <si>
    <t>Flexible internal fabric plies that form the tyre’s structural framework to support vehicle load, maintain shape and transmit forces to the bead</t>
  </si>
  <si>
    <t>Bead (bead core and bundle)</t>
  </si>
  <si>
    <t>High-strength reinforced ring that anchors the tyre to the wheel rim, provides mounting seal and transmits radial and lateral loads to the wheel</t>
  </si>
  <si>
    <t>Butyl rubber tube (inner tube carcass)</t>
  </si>
  <si>
    <t>Toroidal elastomeric membrane that contains and retains pressurized air to support tire load and maintain inflation</t>
  </si>
  <si>
    <t>Valve stem assembly (Schrader/Dunlop style)</t>
  </si>
  <si>
    <t>Rigid/semirigid sleeve and mounting interface providing an airtight passage for inflation/deflation and mechanical attachment to the tube</t>
  </si>
  <si>
    <t>Valve core (spring‑loaded)</t>
  </si>
  <si>
    <t>Removable spring-loaded poppet that provides one-way airflow control and airtight sealing within the valve stem</t>
  </si>
  <si>
    <t>Embedded fabric ply that reinforces the rubber carcass to control elongation, distribute hoop stress and resist puncture/tear propagation</t>
  </si>
  <si>
    <t>Inner tube body (butyl rubber tube)</t>
  </si>
  <si>
    <t>Elastomeric airtight bladder that contains and maintains pneumatic pressure between rim and tyre</t>
  </si>
  <si>
    <t>Tire and wheel assembly</t>
  </si>
  <si>
    <t>Valve stem assembly</t>
  </si>
  <si>
    <t>Rigid or flexible port and housing that provides inflation/deflation access and mates to the tyre rim</t>
  </si>
  <si>
    <t>Valve core (spring‑loaded poppet)</t>
  </si>
  <si>
    <t>Removable internal sealing element that controls airflow and prevents leakage when closed</t>
  </si>
  <si>
    <t>Reinforcement ply (textile/cord insert)</t>
  </si>
  <si>
    <t>Embedded fabric or cord layer that increases tensile strength and dimensional stability of the tube</t>
  </si>
  <si>
    <t>Tyre carcass (casing)</t>
  </si>
  <si>
    <t>Structural body formed from textile or steel plies that supports vehicle load, retains inflation, and transmits forces between wheel and tread</t>
  </si>
  <si>
    <t>Tyres and wheels</t>
  </si>
  <si>
    <t>Tread rubber (retreaded tread cap)</t>
  </si>
  <si>
    <t>Rubber layer bonded to the carcass providing the road-contact surface for traction, wear resistance and water dispersion</t>
  </si>
  <si>
    <t>Belt package (steel belts/ breakers)</t>
  </si>
  <si>
    <t>Reinforcing layers beneath the tread that stabilize the tread profile, improve high‑speed durability and resist puncture and impact</t>
  </si>
  <si>
    <t>Bead assembly (bead wires and filler)</t>
  </si>
  <si>
    <t>High‑strength steel wires and filler that secure the tyre to the rim, transmit cornering and braking loads, and maintain an airtight rim seal</t>
  </si>
  <si>
    <t>Antenna assembly</t>
  </si>
  <si>
    <t>Receive and transmit radio‑frequency energy and deliver matched RF signal to the receiver via feedline</t>
  </si>
  <si>
    <t>Body electrical system (antenna subsystem)</t>
  </si>
  <si>
    <t>RF tuner front-end module</t>
  </si>
  <si>
    <t>Select desired RF channel, provide bandpass filtering and frequency conversion/downconversion to intermediate frequency</t>
  </si>
  <si>
    <t>Infotainment system</t>
  </si>
  <si>
    <t>Front control panel (faceplate)</t>
  </si>
  <si>
    <t>Provide physical user controls and visual status display; house mechanical interfaces and mounting for user interaction</t>
  </si>
  <si>
    <t>Power supply / DC‑DC converter module</t>
  </si>
  <si>
    <t>Accept vehicle battery/ignition input and provide regulated DC voltages and power sequencing to receiver electronics</t>
  </si>
  <si>
    <t>RF tuner assembly</t>
  </si>
  <si>
    <t>Receive, filter and downconvert broadcast RF signals to intermediate/baseband for demodulation</t>
  </si>
  <si>
    <t>Infotainment/Audio system</t>
  </si>
  <si>
    <t>Optical disc drive mechanism (CD/DVD transport)</t>
  </si>
  <si>
    <t>Mechanically transport discs and convert encoded optical data to electrical audio signals via spindle motor, sled actuator and laser pickup</t>
  </si>
  <si>
    <t>Front panel control and display assembly</t>
  </si>
  <si>
    <t>Provide human–machine interface including visual display, tactile controls and mounting interface for the head unit</t>
  </si>
  <si>
    <t>Amplify low-level audio signals to speaker-level power, provide impedance matching and short/thermal protection</t>
  </si>
  <si>
    <t>Powertrain mounting bracket</t>
  </si>
  <si>
    <t>Provide rigid attachment and precise location for engine/transmission assemblies to the vehicle structure and transmit static and dynamic loads to vibration isolation elements</t>
  </si>
  <si>
    <t>Subframe mounting bracket</t>
  </si>
  <si>
    <t>Secure subframe/engine cradle to the body/frame, transmit suspension and powertrain loads and preserve structural alignment under service loads</t>
  </si>
  <si>
    <t>Chassis/Suspension</t>
  </si>
  <si>
    <t>Control arm mounting bracket</t>
  </si>
  <si>
    <t>Provide a fixed attachment/interface for suspension control arms to the subframe or body, defining suspension geometry and transferring longitudinal, lateral and braking loads</t>
  </si>
  <si>
    <t>Attach bumper beam and energy-absorbing elements to the vehicle body, transmitting impact loads to the load-bearing structure for crash performance</t>
  </si>
  <si>
    <t>Body Structure</t>
  </si>
  <si>
    <t>Lamp housing (assembly body)</t>
  </si>
  <si>
    <t>Structural enclosure that provides mounting interfaces, mechanical support, environmental sealing and alignment datum for internal optical components</t>
  </si>
  <si>
    <t>Exterior lighting and signalling</t>
  </si>
  <si>
    <t>Optical reflector (parabolic/multi-faceted reflector)</t>
  </si>
  <si>
    <t>Collects and redirects emitted light into a controlled beam pattern and defines the photometric distribution</t>
  </si>
  <si>
    <t>External lens / cover (polycarbonate or glass)</t>
  </si>
  <si>
    <t>Protects internal components and shapes/transmits the beam via refractive or planographic features to meet required light distribution and glare control</t>
  </si>
  <si>
    <t>Light source module (incandescent/halogen/LED lamp module)</t>
  </si>
  <si>
    <t>Converts electrical energy into visible radiation and provides the primary luminous flux for the lamp assembly</t>
  </si>
  <si>
    <t>Press‑formed glass lens</t>
  </si>
  <si>
    <t>Optically shapes and transmits emitted light while providing a sealed protective barrier for internal components</t>
  </si>
  <si>
    <t>Metalized parabolic reflector</t>
  </si>
  <si>
    <t>Reflects and collimates light from the emitter to form the prescribed beam pattern</t>
  </si>
  <si>
    <t>Tungsten filament lamp element</t>
  </si>
  <si>
    <t>Converts electrical energy into visible light by resistive heating of the filament</t>
  </si>
  <si>
    <t>Stamped metal housing with mounting flange</t>
  </si>
  <si>
    <t>Provides structural enclosure, mechanical mounting interface, heat dissipation and a sealing surface for the sealed‑beam unit</t>
  </si>
  <si>
    <t>Stranded copper conductor</t>
  </si>
  <si>
    <t>Conducts electrical current with flexibility and low resistance</t>
  </si>
  <si>
    <t>Power distribution (vehicle electrical system)</t>
  </si>
  <si>
    <t>Primary dielectric insulation</t>
  </si>
  <si>
    <t>Provides electrical isolation and dielectric protection around conductors</t>
  </si>
  <si>
    <t>Electromagnetic shielding (foil or braided shield)</t>
  </si>
  <si>
    <t>Reduces electromagnetic interference and provides return/ground continuity</t>
  </si>
  <si>
    <t>Electromagnetic compatibility (vehicle electrical system)</t>
  </si>
  <si>
    <t>Connector and terminal assembly (insulated housing with crimp or solder terminal)</t>
  </si>
  <si>
    <t>Provides detachable electrical interconnection and mechanical retention between harnesses and components</t>
  </si>
  <si>
    <t>Interconnects (vehicle electrical system)</t>
  </si>
  <si>
    <t>Rotating electromagnetic assembly that converts electrical input into mechanical torque and transmits torque through the starter shaft</t>
  </si>
  <si>
    <t>Stator (field coil / permanent magnet assembly)</t>
  </si>
  <si>
    <t>Provides the stationary magnetic field that interacts with the armature to produce rotational torque</t>
  </si>
  <si>
    <t>Starter drive (pinion gear with overrunning clutch)</t>
  </si>
  <si>
    <t>Engages the starter pinion with the engine ring gear to transmit torque and permits overrunning disengagement once the engine turns faster than the starter</t>
  </si>
  <si>
    <t>Starter solenoid (shift plunger with high-current contact)</t>
  </si>
  <si>
    <t>Mechanically shifts the drive into engagement with the ring gear and closes the high-current circuit to feed battery power to the starter motor</t>
  </si>
  <si>
    <t>Produce a timed high-voltage spark across an electrode gap to initiate combustion of the air–fuel charge in the cylinder</t>
  </si>
  <si>
    <t>Step up low-voltage battery current to high-voltage pulses and provide insulation to deliver energy to the spark plug</t>
  </si>
  <si>
    <t>Convert electrical energy into rotational torque and engage the flywheel ring gear to crank the engine for start-up</t>
  </si>
  <si>
    <t>Provide rapid localized heating in the combustion chamber area to assist fuel ignition during cold starts</t>
  </si>
  <si>
    <t>Generate a high-voltage spark across center and ground electrodes to ignite the air–fuel charge in the combustion chamber</t>
  </si>
  <si>
    <t>Ignition coil assembly</t>
  </si>
  <si>
    <t>Step-up transformer (primary and secondary windings with magnetic core) that produces high-voltage pulses for spark generation</t>
  </si>
  <si>
    <t>Starter solenoid assembly</t>
  </si>
  <si>
    <t>Electromechanical plunger and heavy-duty contact assembly that engages the starter drive and switches battery current to the starter motor</t>
  </si>
  <si>
    <t>Starter drive (pinion gear with one-way clutch / Bendix drive)</t>
  </si>
  <si>
    <t>Axially engages pinion gear with the engine ring gear to transmit starter torque and incorporates a one-way clutch to prevent backdrive</t>
  </si>
  <si>
    <t>Converts electrical energy into rotational torque to crank the engine flywheel and initiate engine rotation</t>
  </si>
  <si>
    <t>Step-up transformer that converts low-voltage supply into high-voltage pulses required to generate spark at the ignition electrode</t>
  </si>
  <si>
    <t>Produces a controlled electrical discharge across electrodes inside the combustion chamber to ignite the air–fuel mixture</t>
  </si>
  <si>
    <t>Provides localized heating of the combustion chamber to facilitate reliable cold starting under low-temperature conditions</t>
  </si>
  <si>
    <t>Step-up transformer that converts low-voltage supply into a high-voltage secondary pulse for delivery to the spark plug</t>
  </si>
  <si>
    <t>Ignition magneto</t>
  </si>
  <si>
    <t>Self-contained electromechanical generator using rotating permanent magnet(s) and primary/secondary windings to produce timed high-voltage ignition pulses</t>
  </si>
  <si>
    <t>Magnetic flywheel</t>
  </si>
  <si>
    <t>Rotating permanent-magnet/ferromagnetic assembly coupled to the crankshaft providing the magnetic field and mechanical inertia required for magneto timing and pulse generation</t>
  </si>
  <si>
    <t>Electric motor that converts electrical energy to mechanical torque and engages the engine flywheel ring gear to crank the engine for starting</t>
  </si>
  <si>
    <t>Converts electrical energy into rotational torque to crank the engine by turning the flywheel/ring gear</t>
  </si>
  <si>
    <t>Starter solenoid</t>
  </si>
  <si>
    <t>Electromagnetic actuator that engages the starter pinion with the ring gear and closes the high-current circuit to the starter motor</t>
  </si>
  <si>
    <t>High-voltage transformer that steps up low-voltage supply to produce timed high-voltage pulses for spark generation</t>
  </si>
  <si>
    <t>Magneto</t>
  </si>
  <si>
    <t>Self-contained rotating magnet generator that produces timed high-voltage pulses for spark ignition without external power input</t>
  </si>
  <si>
    <t>Step‑up transformer that converts low‑voltage battery current into the high‑voltage pulse required to initiate spark at the spark plug</t>
  </si>
  <si>
    <t>Insulated housing that distributes high‑voltage from the coil to individual cylinder terminals and protects internal contacts from contamination</t>
  </si>
  <si>
    <t>Rotating contact that mechanically transfers high‑voltage from the coil output to the appropriate distributor cap terminal in timed sequence</t>
  </si>
  <si>
    <t>High‑tension ignition cable (spark plug wire)</t>
  </si>
  <si>
    <t>Flexible, insulated conductor that transmits high‑voltage pulses from the distributor or coil to the spark plug while limiting electromagnetic interference</t>
  </si>
  <si>
    <t>Structural housing for cylinder bore(s), supports main bearing journals and crankcase, and integrates coolant and oil galleries</t>
  </si>
  <si>
    <t>Powertrain — Engine</t>
  </si>
  <si>
    <t>Closes the cylinder(s) to form the combustion chamber, provides intake/exhaust ports and valve seats, and locates valve actuation components</t>
  </si>
  <si>
    <t>Piston assembly (piston, piston rings, wrist pin)</t>
  </si>
  <si>
    <t>Transmits gas pressure to the connecting rod, seals gas and controls oil film between piston and cylinder wall</t>
  </si>
  <si>
    <t>Converts reciprocating motion of connecting rods into rotational output, supports connecting rod and main bearings and provides torsional stiffness</t>
  </si>
  <si>
    <t>Provides structural housing for cylinders, coolant and oil passages; supports main bearings and transmits mechanical loads</t>
  </si>
  <si>
    <t>Engine (crankcase/block)</t>
  </si>
  <si>
    <t>Forms the top of the combustion chamber; contains intake/exhaust ports, valve seats and passages and provides sealing to the block</t>
  </si>
  <si>
    <t>Engine (cylinder head/valvetrain)</t>
  </si>
  <si>
    <t>Converts reciprocating motion of pistons into rotational output, supports main and rod journals and transmits torque to the drivetrain</t>
  </si>
  <si>
    <t>Engine (cranktrain)</t>
  </si>
  <si>
    <t>Transfers combustion pressure to the connecting rod via the wrist pin and seals the combustion chamber with piston rings</t>
  </si>
  <si>
    <t>Engine (piston/rod assembly)</t>
  </si>
  <si>
    <t>Cylinder block (crankcase with cylinder liners)</t>
  </si>
  <si>
    <t>Structural backbone that houses cylinders, supports main bearings, and contains coolant and oil passages for lubrication and cooling</t>
  </si>
  <si>
    <t>Powertrain — Engine bottom end</t>
  </si>
  <si>
    <t>Cylinder head (including combustion chambers and valve mounting surfaces)</t>
  </si>
  <si>
    <t>Closes the top of cylinders to form combustion chambers and provides ports and mounting surfaces for the valvetrain and coolant passages</t>
  </si>
  <si>
    <t>Powertrain — Engine top end (valvetrain)</t>
  </si>
  <si>
    <t>Converts reciprocating motion of pistons into rotational torque and transmits torque to the transmission while locating main and rod journals</t>
  </si>
  <si>
    <t>Piston and connecting rod assembly</t>
  </si>
  <si>
    <t>Piston provides combustion sealing and transfers gas loads to the connecting rod; connecting rod transmits reciprocating loads to the crankshaft</t>
  </si>
  <si>
    <t>Structural housing that contains cylinder bores, supports main bearings and crankcase, provides coolant and oil galleries and mounting interfaces for ancillary components</t>
  </si>
  <si>
    <t>Seals the top of the combustion chambers, contains intake and exhaust ports and valve seats and provides mounting surfaces for valvetrain components and cooling passages</t>
  </si>
  <si>
    <t>Converts reciprocating motion of pistons into rotational torque, transmits torque to the flywheel/transmission and carries main and rod journals for bearing support</t>
  </si>
  <si>
    <t>Piston and connecting‑rod assembly</t>
  </si>
  <si>
    <t>Piston converts gas pressure into reciprocating force and seals the combustion chamber; connecting rod transmits that reciprocating force to the crankshaft</t>
  </si>
  <si>
    <t>Structural housing providing cylinder bores, main bearing supports, coolant and oil passages; forms the lower crankcase</t>
  </si>
  <si>
    <t>Powertrain — Engine (Bottom end)</t>
  </si>
  <si>
    <t>Seals combustion chambers and provides mounting for intake/exhaust ports, valve seats/guides and camshaft interfaces plus coolant/oil passages</t>
  </si>
  <si>
    <t>Powertrain — Engine (Top end / Valve train)</t>
  </si>
  <si>
    <t>Converts reciprocating piston motion into rotational torque, providing main and rod journals for bearing support and torque transmission to the flywheel</t>
  </si>
  <si>
    <t>Powertrain — Engine (Cranktrain)</t>
  </si>
  <si>
    <t>Transmits combustion forces to the connecting rod, seals the combustion chamber via piston rings and maintains oil control on cylinder walls</t>
  </si>
  <si>
    <t>Powertrain — Engine (Reciprocating assembly)</t>
  </si>
  <si>
    <t>Engine block (cylinder block / crankcase)</t>
  </si>
  <si>
    <t>Structural housing for cylinders, supports main bearings, contains coolant passages and oil galleries; forms the engine's primary load-bearing structure</t>
  </si>
  <si>
    <t>Powertrain — Engine block / Crankcase</t>
  </si>
  <si>
    <t>Converts reciprocating piston motion into rotating torque, transmits torque to the flywheel/transmission and is supported by main bearings</t>
  </si>
  <si>
    <t>Seals cylinder tops and forms combustion chambers, provides mounting for valves/valvetrain and intake/exhaust ports, and contains coolant passages</t>
  </si>
  <si>
    <t>Powertrain — Cylinder head / Valvetrain</t>
  </si>
  <si>
    <t>Translates combustion pressure into reciprocating motion, transmits force to connecting rod via piston pin, and seals the combustion chamber with piston rings</t>
  </si>
  <si>
    <t>Cylinder block (crankcase)</t>
  </si>
  <si>
    <t>Structural housing for cylinder bores, coolant and oil galleries, main bearing supports and mounts for ancillary components</t>
  </si>
  <si>
    <t>Engine — Cylinder block / Crankcase</t>
  </si>
  <si>
    <t>Converts reciprocating motion of pistons into rotary torque and transmits torque to the flywheel/transmission mating surface</t>
  </si>
  <si>
    <t>Engine — Cranktrain / Rotating assembly</t>
  </si>
  <si>
    <t>Forms the upper sealing surface of combustion chambers, provides ports for intake/exhaust and mounts for valves and cam-actuation components</t>
  </si>
  <si>
    <t>Engine — Cylinder head / Valvetrain</t>
  </si>
  <si>
    <t>Transmits combustion forces from the piston to the crankshaft while maintaining combustion chamber sealing via piston rings</t>
  </si>
  <si>
    <t>Engine — Reciprocating assembly</t>
  </si>
  <si>
    <t>Positive electrode (nickel oxide-hydroxide plate)</t>
  </si>
  <si>
    <t>Host the nickel active material and conduct electrons during charge/discharge as the cell's positive electrode</t>
  </si>
  <si>
    <t>Electrical energy storage subsystem</t>
  </si>
  <si>
    <t>Negative electrode (iron plate)</t>
  </si>
  <si>
    <t>Provide the iron active material and conduct electrons during charge/discharge as the cell's negative electrode</t>
  </si>
  <si>
    <t>Porous separator</t>
  </si>
  <si>
    <t>Electrically isolates positive and negative electrodes while permitting ionic conduction of the electrolyte</t>
  </si>
  <si>
    <t>Cell container and lid assembly with terminals</t>
  </si>
  <si>
    <t>Mechanically encloses and supports internal components, contains electrolyte, and provides the external electrical interface</t>
  </si>
  <si>
    <t>Provides the nickel-based redox active surface that accepts/releases electrons during charge–discharge, forming the positive electrode (cathode during discharge).</t>
  </si>
  <si>
    <t>Negative electrode (cadmium plate)</t>
  </si>
  <si>
    <t>Provides the cadmium-based redox active surface that donates/accepts electrons during cycling, forming the negative electrode (anode during discharge).</t>
  </si>
  <si>
    <t>Separator (microporous ionic-conductive barrier)</t>
  </si>
  <si>
    <t>Electronically insulating, ionically conductive porous membrane that prevents internal short circuits while permitting hydroxide ion transport between electrodes.</t>
  </si>
  <si>
    <t>Electrolyte (aqueous potassium hydroxide solution)</t>
  </si>
  <si>
    <t>Ionically conductive medium supplying OH− ions to support electrochemical reactions and enable ionic current flow between electrodes.</t>
  </si>
  <si>
    <t>Electrode assembly (anode and cathode coated current collectors)</t>
  </si>
  <si>
    <t>Provide active material surfaces for reversible electrochemical reactions and conduct electrons to/from external circuit via current collectors</t>
  </si>
  <si>
    <t>Separator (microporous polymer separator)</t>
  </si>
  <si>
    <t>Physically insulate anode and cathode to prevent electrical shorting while permitting ionic transport through the electrolyte</t>
  </si>
  <si>
    <t>Electrolyte (liquid or gel ionic conductor)</t>
  </si>
  <si>
    <t>Enable ionic conduction between electrodes and support ion transport during charge and discharge</t>
  </si>
  <si>
    <t>Cell enclosure with external terminals (metal/plastic casing and terminal posts)</t>
  </si>
  <si>
    <t>Mechanically protect and hermetically contain cells and electrolyte, and provide the electrical interface (terminals/busbars) to vehicle wiring</t>
  </si>
  <si>
    <t>Positive electrode plate (PbO2 on lead‑alloy grid)</t>
  </si>
  <si>
    <t>Acts as the positive electrode where lead dioxide participates in the charge/discharge electrochemical reactions supplying discharge current</t>
  </si>
  <si>
    <t>Starting and charging electrical system</t>
  </si>
  <si>
    <t>Negative electrode plate (spongy lead on lead‑alloy grid)</t>
  </si>
  <si>
    <t>Acts as the negative electrode composed of spongy lead that accepts/releases electrons during charge/discharge cycles</t>
  </si>
  <si>
    <t>Microporous separator (polyethylene/AGM)</t>
  </si>
  <si>
    <t>Electrically isolates adjacent positive and negative plates while permitting ionic conduction and controlling electrolyte distribution to prevent internal shorting</t>
  </si>
  <si>
    <t>Acid‑resistant container and cover assembly (polypropylene case with cell partitions and vents)</t>
  </si>
  <si>
    <t>Mechanical enclosure that secures plates/separators, provides acid containment, cell partitioning, and controlled venting for the battery assembly</t>
  </si>
  <si>
    <t>Positive plate assembly (PbO2 on lead alloy grid)</t>
  </si>
  <si>
    <t>Provides the cathodic active material and conductive grid for electrochemical charge acceptance and discharge (oxidation/reduction) during energy transfer</t>
  </si>
  <si>
    <t>Negative plate assembly (sponge lead on lead alloy grid)</t>
  </si>
  <si>
    <t>Provides the anodic active material and conductive grid for electrochemical discharge and charge cycling (lead/lead sulfate reactions)</t>
  </si>
  <si>
    <t>Separator (microporous polymer or glass-fiber mat)</t>
  </si>
  <si>
    <t>Electrically insulates adjacent positive and negative plates while permitting ionic conduction of electrolyte between plates</t>
  </si>
  <si>
    <t>Battery container and cover (rigid acid‑resistant case with vent caps and intercell partitions)</t>
  </si>
  <si>
    <t>Structural enclosure that contains electrolyte and cell components, provides mechanical support, sealing, and pressure/venting paths between cells</t>
  </si>
  <si>
    <t>Primary structural load-bearing frame that provides mounting points for powertrain, suspension and body and resists bending and torsional loads</t>
  </si>
  <si>
    <t>Chassis/Structure</t>
  </si>
  <si>
    <t>Generates rotational mechanical power (torque) to drive the vehicle through the drivetrain</t>
  </si>
  <si>
    <t>Transmission assembly (gearbox)</t>
  </si>
  <si>
    <t>Modulates and transmits engine torque and rotational speed via selectable gear ratios to the driveshaft</t>
  </si>
  <si>
    <t>Drivetrain/Transmission</t>
  </si>
  <si>
    <t>Drive axle assembly (differential and axle shafts)</t>
  </si>
  <si>
    <t>Provides final drive reduction, distributes torque to the wheels and supports wheel loads while allowing differential action</t>
  </si>
  <si>
    <t>Drivetrain/Axles</t>
  </si>
  <si>
    <t>Wiper blade (rubber squeegee with carrier)</t>
  </si>
  <si>
    <t>Flexible rubber element that contacts glazing to remove water, debris and distribute washer fluid for clear visibility</t>
  </si>
  <si>
    <t>Windshield wiper system</t>
  </si>
  <si>
    <t>Wiper arm (pivoting linkage arm)</t>
  </si>
  <si>
    <t>Rigid lever that transmits torque and oscillatory motion from the drive linkage to the blade and applies spring-loaded contact pressure</t>
  </si>
  <si>
    <t>Wiper drive motor (electric drive with gearbox)</t>
  </si>
  <si>
    <t>Electric motor and reduction gearbox that converts electrical input to controlled rotary/oscillatory torque for driving the wiper linkage</t>
  </si>
  <si>
    <t>Window heating element (defroster grid/embedded heating film)</t>
  </si>
  <si>
    <t>Resistive heating element bonded or printed on glazing that generates distributed heat to remove frost and condensation</t>
  </si>
  <si>
    <t>HVAC (defogging/defrosting)</t>
  </si>
  <si>
    <t>Structural chassis/frame</t>
  </si>
  <si>
    <t>Primary load-bearing structure that supports suspension, drivetrain, bodywork and occupants and provides mounting points and registered vehicle geometry</t>
  </si>
  <si>
    <t>Chassis/Body</t>
  </si>
  <si>
    <t>Prime mover (power unit)</t>
  </si>
  <si>
    <t>Converts stored chemical or mechanical energy into mechanical torque for propulsion</t>
  </si>
  <si>
    <t>Transmission and final drive assembly</t>
  </si>
  <si>
    <t>Modifies and transmits torque and rotational speed from the prime mover to the traction elements via gearing and final reduction</t>
  </si>
  <si>
    <t>Traction assembly (driven track or wheel/ski running gear)</t>
  </si>
  <si>
    <t>Provides ground contact, supports vehicle weight and transmits propulsion and braking forces to the terrain</t>
  </si>
  <si>
    <t>Running gear/Suspension</t>
  </si>
  <si>
    <t>Engine short-block assembly</t>
  </si>
  <si>
    <t>Cast cylinder block with crankcase, crankshaft, pistons and connecting rods that converts reciprocating piston forces into rotational torque</t>
  </si>
  <si>
    <t>Bolts to the block to seal combustion chambers and houses valves, valve springs and camshaft(s) to control intake and exhaust gas flow</t>
  </si>
  <si>
    <t>Manual transmission gearbox</t>
  </si>
  <si>
    <t>Multi‑ratio gearset and housing that provides gear reduction, torque transmission and reversal between engine and driveline</t>
  </si>
  <si>
    <t>Clutch assembly (friction disc and pressure plate)</t>
  </si>
  <si>
    <t>Friction interface that selectively engages and disengages engine torque to the transmission for gear changes and vehicle launch</t>
  </si>
  <si>
    <t>Supports and secures the tire bead, maintains the pneumatic seal and transfers radial, lateral and torque loads between the tire and hub</t>
  </si>
  <si>
    <t>Wheel and tire assembly</t>
  </si>
  <si>
    <t>Tire</t>
  </si>
  <si>
    <t>Provides traction and rolling contact, absorbs road irregularities and transmits vertical, longitudinal and lateral loads to the pavement while containing inflation pressure</t>
  </si>
  <si>
    <t>Wheel hub assembly</t>
  </si>
  <si>
    <t>Provides the rigid mounting interface to suspension/axle, contains rolling-element bearings to support radial and axial loads and transmits torque to the wheel</t>
  </si>
  <si>
    <t>Axle and suspension</t>
  </si>
  <si>
    <t>Serves as the friction surface engaged by brake pads to convert rotational kinetic energy into heat and decelerate the wheel</t>
  </si>
  <si>
    <t>Pressure tube (damper cylinder)</t>
  </si>
  <si>
    <t>Provides the outer structural housing and sealed fluid chamber that contains hydraulic fluid and withstands internal pressure during damping</t>
  </si>
  <si>
    <t>Piston assembly (valve stack)</t>
  </si>
  <si>
    <t>Translates shaft motion into controlled fluid flow through calibrated orifices and shim/valve elements to generate damping force</t>
  </si>
  <si>
    <t>Transmits relative motion between axle and body to the piston assembly and carries tensile/compressive loads</t>
  </si>
  <si>
    <t>Rod seal and wiper assembly (dynamic seal)</t>
  </si>
  <si>
    <t>Maintains hydraulic fluid containment by sealing the rod-to-cylinder interface and removes contaminants from the rod surface</t>
  </si>
  <si>
    <t>Driver input interface that receives hand-applied torque and transmits rotational input to the steering column</t>
  </si>
  <si>
    <t>Steering column assembly (collapsible)</t>
  </si>
  <si>
    <t>Rigid shaft assembly that transmits steering torque from the wheel to the intermediate shaft/gearbox and provides controlled axial collapse for energy absorption in impacts</t>
  </si>
  <si>
    <t>Steering rack-and-pinion assembly</t>
  </si>
  <si>
    <t>Converts rotational motion of the steering input into linear lateral motion to steer the road wheels and provides mechanical steering ratio reduction</t>
  </si>
  <si>
    <t>Intermediate steering shaft with universal joints</t>
  </si>
  <si>
    <t>Torsional drive shaft that links the steering column to the steering gearbox while accommodating angular misalignment and axial movement</t>
  </si>
  <si>
    <t>Exhaust manifold</t>
  </si>
  <si>
    <t>Collects exhaust gases from multiple engine cylinders and directs them into the exhaust piping while withstanding high temperatures and pressure pulses</t>
  </si>
  <si>
    <t>Catalytic converter</t>
  </si>
  <si>
    <t>Catalyzes chemical reactions on a catalyst substrate to convert toxic exhaust constituents into less harmful gases</t>
  </si>
  <si>
    <t>Emission control system</t>
  </si>
  <si>
    <t>Attenuates exhaust noise using chambers, baffles and absorptive materials while maintaining gas flow</t>
  </si>
  <si>
    <t>Exhaust pipe assembly (downpipe/intermediate/tailpipe)</t>
  </si>
  <si>
    <t>Conveys exhaust gases between manifold, aftertreatment devices and atmosphere, providing routing and backpressure characteristics</t>
  </si>
  <si>
    <t>Radiator core</t>
  </si>
  <si>
    <t>Heat exchanger assembly of parallel tubes and metal fins that transfers thermal energy from circulating coolant to ambient air</t>
  </si>
  <si>
    <t>Sealed molded or cast reservoirs that collect and distribute coolant to and from the radiator core and house internal baffles</t>
  </si>
  <si>
    <t>Inlet/outlet necks (hose connection assemblies)</t>
  </si>
  <si>
    <t>Rigid welded or molded pipe/necks providing sealed mechanical interfaces for coolant hoses and mating coolant plumbing</t>
  </si>
  <si>
    <t>Integrated transmission oil cooler</t>
  </si>
  <si>
    <t>Dedicated heat-exchange element integrated with the radiator to remove heat from transmission fluid via coolant or air coupling</t>
  </si>
  <si>
    <t>Transmission cooling subsystem</t>
  </si>
  <si>
    <t>Friction lining (friction material)</t>
  </si>
  <si>
    <t>Generate frictional force against the brake rotor or drum to convert kinetic energy into heat and produce deceleration</t>
  </si>
  <si>
    <t>Backing plate (steel backing plate)</t>
  </si>
  <si>
    <t>Provide structural support and load transfer for the friction lining and maintain pad geometry under caliper/clamping loads</t>
  </si>
  <si>
    <t>High-temperature bonding adhesive layer</t>
  </si>
  <si>
    <t>Permanently bond the friction material to the backing plate and transmit shear loads between lining and plate</t>
  </si>
  <si>
    <t>Anti-noise vibration-damping shim</t>
  </si>
  <si>
    <t>Dampen vibrational energy at the lining–backing interface to reduce brake squeal and improve NVH performance</t>
  </si>
  <si>
    <t>Gear set (gear cluster)</t>
  </si>
  <si>
    <t>Provide torque transmission and selectable gear ratios through meshing gears (spur/helical) to alter speed and torque</t>
  </si>
  <si>
    <t>Drivetrain — Transmission</t>
  </si>
  <si>
    <t>Receive and transmit rotational torque into the gearbox while supporting primary driven gears and splines</t>
  </si>
  <si>
    <t>Output shaft</t>
  </si>
  <si>
    <t>Transmit torque out of the gearbox to the driveshaft/propeller shaft and support final driven gears and bearings</t>
  </si>
  <si>
    <t>Transmission housing (gearbox casing)</t>
  </si>
  <si>
    <t>Rigid enclosure that supports and aligns internal components, retains lubricant, and provides vehicle mounting interfaces</t>
  </si>
  <si>
    <t>Differential carrier (differential case assembly)</t>
  </si>
  <si>
    <t>Encloses and supports internal differential gears (side gears and spider/geared elements) and transmits ring‑gear torque while permitting differential wheel speed</t>
  </si>
  <si>
    <t>Ring and pinion gear set (crown wheel and pinion)</t>
  </si>
  <si>
    <t>Converts input rotation axis and torque to the axle axis and establishes the final drive ratio through meshed helical/spiral gears</t>
  </si>
  <si>
    <t>Axle shafts (half‑shafts)</t>
  </si>
  <si>
    <t>Transmit torque from the differential side gears to the wheel hubs and carry bending and torsional loads between hub and differential</t>
  </si>
  <si>
    <t>Differential/axle housing</t>
  </si>
  <si>
    <t>Structural enclosure that locates and supports the differential assembly and bearings, maintains gear alignment, and contains lubricating fluid</t>
  </si>
  <si>
    <t>Woven tensile strap that restrains occupant and transmits deceleration loads to the anchorage</t>
  </si>
  <si>
    <t>Spring‑loaded spool with mechanical inertia locking mechanism that stores webbing and locks under sudden deceleration</t>
  </si>
  <si>
    <t>Female latch housing that secures the tongue, provides positive mechanical retention and enables rapid manual release</t>
  </si>
  <si>
    <t>Rigid metallic plate that engages the buckle to transfer belt loads into the buckle and anchorage</t>
  </si>
  <si>
    <t>Complete vehicle door assembly (inner and outer panels)</t>
  </si>
  <si>
    <t>Provides side access, transfers side-impact and structural loads, and forms sealing and mounting surfaces for glazing and latch mechanisms</t>
  </si>
  <si>
    <t>Body Closure System</t>
  </si>
  <si>
    <t>Hood/bonnet assembly (outer skin and inner reinforcement)</t>
  </si>
  <si>
    <t>Covers the front compartment, provides local structural support and crash load paths, and forms an aerodynamic outer surface</t>
  </si>
  <si>
    <t>Roof panel assembly (roof skin and underlying roof bows/reinforcements)</t>
  </si>
  <si>
    <t>Forms the upper vehicle shell, resists bending and torsional loads, and contributes to occupant protection in rollover events</t>
  </si>
  <si>
    <t>Front bumper reinforcement (energy-absorbing bumper beam)</t>
  </si>
  <si>
    <t>Absorbs and distributes low-speed impact energy to protect front-end structure and reduce transmitted loads to the body</t>
  </si>
  <si>
    <t>Front-end Structure</t>
  </si>
  <si>
    <t>Convert and transmit engine torque through selectable gear ratios to the driveline</t>
  </si>
  <si>
    <t>Propeller shaft (drive shaft) assembly</t>
  </si>
  <si>
    <t>Transmit rotational torque along the vehicle longitudinal axis between gearbox and axle while accommodating angular misalignment via universal/CV joints</t>
  </si>
  <si>
    <t>Convert steering-column rotary input into lateral tie-rod movement to steer wheels and provide steering ratio/mechanical advantage</t>
  </si>
  <si>
    <t>Brake caliper assembly (hydraulic disc)</t>
  </si>
  <si>
    <t>Clamp brake pads onto the disc rotor to generate frictional braking torque for vehicle deceleration</t>
  </si>
  <si>
    <t>Braking</t>
  </si>
  <si>
    <t>Non-driving axle beam</t>
  </si>
  <si>
    <t>Primary structural member that transmits static and dynamic loads between wheels and vehicle frame and provides mounting points for suspension and bearing supports</t>
  </si>
  <si>
    <t>Chassis / Axle</t>
  </si>
  <si>
    <t>Stub axle (spindle/knuckle)</t>
  </si>
  <si>
    <t>Supports and locates the wheel hub/bearing assembly relative to the suspension, transmitting vertical, lateral and braking reaction loads</t>
  </si>
  <si>
    <t>Steering &amp; Suspension</t>
  </si>
  <si>
    <t>Wheel hub and flange assembly</t>
  </si>
  <si>
    <t>Wheel mounting interface that provides a rigid connection to the wheel, seats the bearing, and transfers wheel loads into the axle structure</t>
  </si>
  <si>
    <t>Wheel and Hub Assembly (Chassis)</t>
  </si>
  <si>
    <t>Wheel bearing assembly (tapered roller or ball)</t>
  </si>
  <si>
    <t>Permits low-friction rotation of the wheel hub relative to the axle while supporting radial and axial loads and maintaining concentricity</t>
  </si>
  <si>
    <t>Clutch friction disc (clutch plate)</t>
  </si>
  <si>
    <t>Transmit torque between the flywheel and transmission input shaft via friction linings and provide torsional damping through integrated springs</t>
  </si>
  <si>
    <t>Apply and release axial clamping force to the friction disc against the flywheel using a diaphragm or coil spring to engage/disengage torque transfer</t>
  </si>
  <si>
    <t>Convert axial movement of the clutch release mechanism into a radial force on the pressure plate fingers to disengage the clutch smoothly</t>
  </si>
  <si>
    <t>Provide a machined friction surface for the clutch disc, store rotational inertia to smooth torque pulses, and mount the clutch assembly to the crankshaft</t>
  </si>
  <si>
    <t>Bumper reinforcement beam (impact bar)</t>
  </si>
  <si>
    <t>Rigid transverse structural member that receives and distributes collision loads to vehicle structure, limiting deformation of critical components</t>
  </si>
  <si>
    <t>Crash energy management</t>
  </si>
  <si>
    <t>External molded skin that provides aerodynamic/esthetic surface and first-line deflection of minor impacts while protecting underlying components</t>
  </si>
  <si>
    <t>Energy absorber (crushable foam or honeycomb)</t>
  </si>
  <si>
    <t>Deformable element between cover and beam that dissipates kinetic energy through controlled crushing during impact</t>
  </si>
  <si>
    <t>Bumper mounting bracket (stay)</t>
  </si>
  <si>
    <t>Structural bracket that locates and secures the reinforcement beam and cover to the vehicle body and transmits impact loads into the chassis</t>
  </si>
  <si>
    <t>Provide a rotating friction surface that the pads clamp against to convert kinetic energy into heat and produce braking torque</t>
  </si>
  <si>
    <t>Braking system — rotor/friction interface</t>
  </si>
  <si>
    <t>House hydraulic pistons and apply clamping force to brake pads, translating hydraulic pressure into mechanical braking force on the rotor</t>
  </si>
  <si>
    <t>Braking system — caliper/actuation</t>
  </si>
  <si>
    <t>Brake pad (friction lining, not mounted)</t>
  </si>
  <si>
    <t>Friction material bonded to a backing plate that contacts the rotor to generate braking friction and sacrificially wear to absorb energy</t>
  </si>
  <si>
    <t>Braking system — friction linings</t>
  </si>
  <si>
    <t>Convert mechanical pedal input into controlled hydraulic pressure to distribute braking force to calipers or wheel cylinders</t>
  </si>
  <si>
    <t>Braking system — hydraulic actuation</t>
  </si>
  <si>
    <t>Body shell (monocoque)</t>
  </si>
  <si>
    <t>Primary load-bearing structural enclosure that integrates mounting points for suspension, drivetrain and body components while providing crash energy management and occupant protection</t>
  </si>
  <si>
    <t>Body-in-White (BIW) structural system</t>
  </si>
  <si>
    <t>Floor pan assembly (including crossmembers and tunnel)</t>
  </si>
  <si>
    <t>Horizontal structural platform that supports occupants and interior components, transmits suspension and chassis loads and contributes to torsional stiffness</t>
  </si>
  <si>
    <t>Body-in-White structural floor</t>
  </si>
  <si>
    <t>Front bulkhead / firewall (structural partition)</t>
  </si>
  <si>
    <t>Rigid partition between exterior compartment and occupant compartment that provides mounting surfaces, contributes to longitudinal load paths and crash energy management</t>
  </si>
  <si>
    <t>Body-in-White bulkhead structure</t>
  </si>
  <si>
    <t>Door assembly (outer and inner panels with intrusion reinforcement)</t>
  </si>
  <si>
    <t>Operable closure that provides ingress/egress and environmental sealing while resisting side-impact loads via intrusion beams and structural framing</t>
  </si>
  <si>
    <t>Closure system (doors)</t>
  </si>
  <si>
    <t>Body-in-white (BIW) shell</t>
  </si>
  <si>
    <t>Primary structural enclosure forming the vehicle's rigid shell; provides mounting datum points for doors, glazing, seats and interfaces to chassis and safety systems</t>
  </si>
  <si>
    <t>Chassis frame (ladder frame / main frame)</t>
  </si>
  <si>
    <t>Primary load-bearing structure that supports the body, transmits suspension and drivetrain loads, and resists bending and torsional forces</t>
  </si>
  <si>
    <t>Chassis / Structural Frame</t>
  </si>
  <si>
    <t>Cargo body / load platform (van box, flatbed or tipper body)</t>
  </si>
  <si>
    <t>Encloses or supports payload; provides load-bearing floor, sidewalls or tailgate and load-transfer interfaces to the chassis</t>
  </si>
  <si>
    <t>Cargo / Load-handling Bodywork</t>
  </si>
  <si>
    <t>Door assembly (outer/inner door panels with structural reinforcements)</t>
  </si>
  <si>
    <t>Provides ingress/egress, lateral impact resistance and sealing; mounts to body to maintain occupant compartment integrity</t>
  </si>
  <si>
    <t>Closure System</t>
  </si>
  <si>
    <t>Diaphragm (vibrating membrane)</t>
  </si>
  <si>
    <t>Converts cyclical mechanical drive into pressure waves by flexing to generate the audible tone</t>
  </si>
  <si>
    <t>Signalling and warning system</t>
  </si>
  <si>
    <t>Electromagnetic coil (field winding)</t>
  </si>
  <si>
    <t>Produces a time-varying magnetic field when energized to drive the movable armature/plunger</t>
  </si>
  <si>
    <t>Armature / Plunger (moving pole piece)</t>
  </si>
  <si>
    <t>Reciprocates under electromagnetic force to periodically strike or release the diaphragm and sustain oscillation</t>
  </si>
  <si>
    <t>Acoustic horn / Resonator (trumpet)</t>
  </si>
  <si>
    <t>Provides acoustic loading and directional amplification, shaping the frequency response and projection of the sound</t>
  </si>
  <si>
    <t>Tread (tread rubber)</t>
  </si>
  <si>
    <t>Primary road-contact surface providing traction, braking performance and wear resistance while evacuating water for wet grip</t>
  </si>
  <si>
    <t>Wheel and suspension system</t>
  </si>
  <si>
    <t>Belt package (steel cord belts)</t>
  </si>
  <si>
    <t>Circumferential reinforcement beneath the tread that stabilizes tread shape, controls growth and increases high-speed durability and puncture resistance</t>
  </si>
  <si>
    <t>Cord-reinforced fabric layers that form the tyre's structural body, support static and dynamic loads and define flexural characteristics</t>
  </si>
  <si>
    <t>Bead assembly (bead wire and filler)</t>
  </si>
  <si>
    <t>Rigidized ring that anchors the tyre to the wheel rim, transmits radial and lateral loads and provides the airtight seal at the bead-seat interface</t>
  </si>
  <si>
    <t>Inner tube (butyl rubber bladder)</t>
  </si>
  <si>
    <t>Airtight flexible pressure vessel that retains compressed air, supports the tire carcass and transmits load to the wheel</t>
  </si>
  <si>
    <t>Tire and Wheel Assembly</t>
  </si>
  <si>
    <t>Valve stem assembly (Schrader/Dunlop valve)</t>
  </si>
  <si>
    <t>Integrated inflation/deflation port and pressure-sealing interface providing attachment of the valve to the tube and access for inflation</t>
  </si>
  <si>
    <t>One-way sealing element inside the valve stem that maintains system pressure and permits controlled inflation/deflation when actuated</t>
  </si>
  <si>
    <t>Valve-seat reinforcement (bonded flange/patch)</t>
  </si>
  <si>
    <t>Localized rubber/cord reinforcement bonded around the valve junction to distribute mechanical loads and prevent tearing or leakage at the valve attachment</t>
  </si>
  <si>
    <t>Tube carcass (butyl rubber bladder)</t>
  </si>
  <si>
    <t>Primary airtight inflatable element that contains pressurized air and provides the elastic interface between tire and rim</t>
  </si>
  <si>
    <t>Inflation valve stem assembly</t>
  </si>
  <si>
    <t>Rigid/semirigid stem bonded to the tube that provides the inflation port and a sealed interface to the wheel rim</t>
  </si>
  <si>
    <t>Removable valve core (spring‑loaded check valve)</t>
  </si>
  <si>
    <t>Internal spring-loaded valve insert that allows controlled inflation/deflation and prevents backflow of pressurized air</t>
  </si>
  <si>
    <t>Rubberized textile reinforcement ply</t>
  </si>
  <si>
    <t>Embedded fabric/rubber composite layer that limits axial and circumferential stretch, increases puncture resistance, and reinforces high‑stress areas</t>
  </si>
  <si>
    <t>Flexible structural body that supports vehicle load, maintains geometry and provides the foundation for retreading</t>
  </si>
  <si>
    <t>Tyre and wheel subsystem</t>
  </si>
  <si>
    <t>Retread rubber (tread cap)</t>
  </si>
  <si>
    <t>Wear-resistant rubber layer bonded to the carcass that provides the road-contact surface, traction and tread pattern</t>
  </si>
  <si>
    <t>Belt plies (steel belt package)</t>
  </si>
  <si>
    <t>Circumferential reinforcement layers that stabilize the tread area, control footprint and resist puncture and deformation</t>
  </si>
  <si>
    <t>Bead core (bead wire bundle)</t>
  </si>
  <si>
    <t>High-strength wire assembly that anchors the tyre to the wheel rim and transmits cornering and radial loads</t>
  </si>
  <si>
    <t>Selects desired RF broadcast frequency and down‑converts RF signals to IF/baseband for demodulation</t>
  </si>
  <si>
    <t>Antenna assembly (mast/base/coax feed)</t>
  </si>
  <si>
    <t>Captures electromagnetic broadcast signals and provides impedance‑matched feed to the tuner</t>
  </si>
  <si>
    <t>DC power supply / voltage regulator module</t>
  </si>
  <si>
    <t>Converts and conditions vehicle supply voltage to stable low‑voltage rails and provides transient protection for receiver electronics</t>
  </si>
  <si>
    <t>Front panel control assembly (knobs, buttons, display bezel)</t>
  </si>
  <si>
    <t>Provides mechanical user input, mechanical mounting, and visual indication for tuning and mode control</t>
  </si>
  <si>
    <t>Head unit chassis (mounting enclosure)</t>
  </si>
  <si>
    <t>Rigid mechanical housing and mounting structure that secures internal modules, provides electromagnetic shielding and thermal path, and interfaces to the vehicle dash</t>
  </si>
  <si>
    <t>Roof/whip antenna assembly</t>
  </si>
  <si>
    <t>Receive radio-frequency broadcast signals and deliver them via coaxial feedline to the receiver front-end; includes mast, base, and coax connector</t>
  </si>
  <si>
    <t>Antenna/Body electrical system</t>
  </si>
  <si>
    <t>Loudspeaker driver assembly</t>
  </si>
  <si>
    <t>Convert amplified electrical audio signals into acoustic output using cone, voice coil, magnet and frame</t>
  </si>
  <si>
    <t>Mechanical transport and spindle assembly that positions and rotates optical discs at controlled speeds for audio playback or recording</t>
  </si>
  <si>
    <t>Rigid metal bracket that secures the engine/transmission assembly to the vehicle subframe or body and transmits static and dynamic loads while locating the powertrain</t>
  </si>
  <si>
    <t>Subframe-to-body mounting bracket</t>
  </si>
  <si>
    <t>Structural bracket that attaches the subframe to the vehicle body, transmitting suspension and chassis loads and maintaining alignment between subframe and body</t>
  </si>
  <si>
    <t>Support bracket that secures the bumper reinforcement/beam to the vehicle structure and transfers impact loads into the body/crash structure</t>
  </si>
  <si>
    <t>Door hinge assembly</t>
  </si>
  <si>
    <t>Articulated metal hinge that mounts a door to the body, supports door weight, enables controlled pivot motion and maintains door alignment and sealing</t>
  </si>
  <si>
    <t>Lamp housing</t>
  </si>
  <si>
    <t>Structural enclosure that supports and precisely aligns internal optical elements, provides mounting interface and environmental sealing</t>
  </si>
  <si>
    <t>Exterior lighting subsystem</t>
  </si>
  <si>
    <t>Outer lens (transparent cover)</t>
  </si>
  <si>
    <t>Transmits and shapes emitted light while protecting internal components from contaminants and impacts; incorporates optical molding features for beam control</t>
  </si>
  <si>
    <t>Reflector (specular optical reflector)</t>
  </si>
  <si>
    <t>Redirects and collimates light from the source into the required beam pattern through controlled specular surfaces</t>
  </si>
  <si>
    <t>Light source module (bulb or LED emitter module)</t>
  </si>
  <si>
    <t>Converts electrical input into visible luminous flux with specified intensity and distribution characteristics</t>
  </si>
  <si>
    <t>Glass lens/envelope</t>
  </si>
  <si>
    <t>Hermetically seals internal cavity, protects internal elements and shapes the emitted light beam through molded optical geometry</t>
  </si>
  <si>
    <t>Provides specular reflection and geometric collimation to form the prescribed forward light distribution</t>
  </si>
  <si>
    <t>Filament assembly (tungsten filament with support wires)</t>
  </si>
  <si>
    <t>Converts electrical energy to visible radiation and is mechanically supported and electrically connected within the envelope</t>
  </si>
  <si>
    <t>Mounting and electrical base (mounting flange with contact terminals)</t>
  </si>
  <si>
    <t>Provides mechanical retention to the vehicle lamp housing and conductive terminals for power delivery to the filament</t>
  </si>
  <si>
    <t>Insulated stranded conductor</t>
  </si>
  <si>
    <t>Transmit electrical power and signals as a flexible current-carrying path between harness endpoints</t>
  </si>
  <si>
    <t>Electrical distribution system</t>
  </si>
  <si>
    <t>Multi-pin connector housing</t>
  </si>
  <si>
    <t>Provide a mechanically keyed, polarized enclosure for multiple electrical contacts enabling removable circuit connections</t>
  </si>
  <si>
    <t>Crimp contact terminal</t>
  </si>
  <si>
    <t>Establish a reliable low-resistance electrical and mechanical interface between conductor and connector housing</t>
  </si>
  <si>
    <t>Protective outer sheath and shielding</t>
  </si>
  <si>
    <t>Provide mechanical protection, environmental sealing and electromagnetic interference (EMI) shielding for bundled conductors</t>
  </si>
  <si>
    <t>Armature (rotor assembly)</t>
  </si>
  <si>
    <t>Rotating electromagnetic assembly that converts electrical energy into mechanical torque via commutator interaction</t>
  </si>
  <si>
    <t>Stator (field winding assembly)</t>
  </si>
  <si>
    <t>Stationary magnetic field assembly that provides the flux path for armature torque production</t>
  </si>
  <si>
    <t>Starter drive (pinion and overrunning one-way clutch)</t>
  </si>
  <si>
    <t>Transmits torque from the motor to the ring gear and permits automatic disengagement after cranking via a one-way clutch</t>
  </si>
  <si>
    <t>Starter solenoid (electromagnetic shift and high-current contactor)</t>
  </si>
  <si>
    <t>Electromagnetically shifts the starter drive into engagement with the ring gear and closes the high-current circuit to the motor</t>
  </si>
  <si>
    <t>Produces a controlled high-voltage electrical discharge across a defined electrode gap to initiate combustion of the fuel–air charge in the cylinder</t>
  </si>
  <si>
    <t>Steps up low-voltage electrical energy to the high-voltage pulse required by the spark plug while providing electrical isolation and energy storage</t>
  </si>
  <si>
    <t>Provides localized resistive heating of the combustion chamber area to ensure reliable cold-start ignition under low ambient temperature conditions</t>
  </si>
  <si>
    <t>Converts electrical energy into rotational mechanical torque to crank the crankshaft and initiate engine rotation for starting</t>
  </si>
  <si>
    <t>Produces a controlled high-voltage electrical discharge across an electrode gap to ignite the air–fuel charge in the combustion chamber.</t>
  </si>
  <si>
    <t>Steps up low-voltage supply to the high-voltage pulse required by the spark plug and provides insulation between primary and secondary windings.</t>
  </si>
  <si>
    <t>Heats the combustion chamber or intake ports to promote fuel ignition and stable starting under cold conditions.</t>
  </si>
  <si>
    <t>Converts electrical energy into rotational torque to crank the engine and engage the flywheel via an integrated drive pinion.</t>
  </si>
  <si>
    <t>Convert electrical energy into mechanical torque to rotate the engine crankshaft and engage the flywheel/pinion for engine starting</t>
  </si>
  <si>
    <t>Produce an electrical spark across an electrode gap to ignite the air–fuel mixture inside the combustion chamber</t>
  </si>
  <si>
    <t>Step up low-voltage battery current to high-voltage output required to generate a spark at the spark plug</t>
  </si>
  <si>
    <t>Provide localized electric heating of the combustion chamber or intake ports to ensure reliable cold starts in diesel engines</t>
  </si>
  <si>
    <t>Magnetic flywheel (permanent-magnet flywheel)</t>
  </si>
  <si>
    <t>Provides rotating magnetic field and rotational inertia; contains permanent magnets that induce flux changes in the stator during rotation</t>
  </si>
  <si>
    <t>Rotor / armature assembly</t>
  </si>
  <si>
    <t>Rotating laminated steel core with poles that modulates magnetic flux linkage through the stator to induce electrical voltage</t>
  </si>
  <si>
    <t>Stator coil assembly (primary and secondary windings with laminated core)</t>
  </si>
  <si>
    <t>Stationary winding assembly that converts changing magnetic flux into induced EMF and provides stepped-up high-voltage output for the ignition circuit</t>
  </si>
  <si>
    <t>Mechanical contact breaker and cam assembly (breaker points and cam follower)</t>
  </si>
  <si>
    <t>Mechanically interrupts the primary circuit at defined angular positions to cause rapid flux collapse and timing of the high-voltage pulse</t>
  </si>
  <si>
    <t>Converts electrical energy into mechanical torque to rotate the engine crankshaft for starting</t>
  </si>
  <si>
    <t>Starter solenoid (engage/activate actuator)</t>
  </si>
  <si>
    <t>Electromagnetic actuator that engages the starter drive with the flywheel and closes the high‑current circuit to the starter motor</t>
  </si>
  <si>
    <t>High‑voltage pulse transformer that steps up low‑voltage supply to the voltage required to initiate combustion via spark</t>
  </si>
  <si>
    <t>Alternator (rotating generator)</t>
  </si>
  <si>
    <t>Rotating electrical generator that produces alternating current, rectified to charge the battery and supply vehicle electrical loads</t>
  </si>
  <si>
    <t>Step-up transformer that converts low-voltage battery input into a high-voltage pulse for spark generation</t>
  </si>
  <si>
    <t>Insulated housing with individual output terminals that routes high-voltage pulses from the coil to each spark plug lead in sequence</t>
  </si>
  <si>
    <t>Rotating conductive arm mounted on the distributor shaft that transfers high-voltage from the coil terminal to the distributor cap contacts in timed order</t>
  </si>
  <si>
    <t>Contact breaker (breaker points)</t>
  </si>
  <si>
    <t>Mechanical switch that intermittently opens and closes the coil primary circuit to induce the high-voltage discharge in the coil secondary</t>
  </si>
  <si>
    <t>Provides the structural housing for cylinders, supports main bearings and the crankshaft, and contains coolant passages and oil galleries to enable engine mechanical integrity</t>
  </si>
  <si>
    <t>Seals the top of the cylinders to form the combustion chamber, integrates intake and exhaust ports and valve seats, and provides mounting surfaces for the valve train</t>
  </si>
  <si>
    <t>Converts reciprocating motion of pistons into rotating torque, transmits torque to the drivetrain, and sustains dynamic bearing and torsional loads</t>
  </si>
  <si>
    <t>Transfers gas pressure forces to the connecting rod, maintains combustion chamber sealing via piston rings, and accommodates sliding motion within the cylinder</t>
  </si>
  <si>
    <t>Provides rigid housing for cylinders and crankcase, supports main bearings and cylinder liners, and integrates coolant/oil passages</t>
  </si>
  <si>
    <t>Powertrain (engine block)</t>
  </si>
  <si>
    <t>Seals the combustion chamber, supports valve seats/guides/ports and spark plug recesses, and provides mounting for camshaft(s) or rocker gear</t>
  </si>
  <si>
    <t>Powertrain (valvetrain and gas exchange)</t>
  </si>
  <si>
    <t>Converts reciprocating piston loads into rotary torque, transmits torque to the transmission input, and provides journal surfaces for main and rod bearings</t>
  </si>
  <si>
    <t>Powertrain (cranktrain)</t>
  </si>
  <si>
    <t>Piston converts gas pressure into reciprocating force and seals the chamber; connecting rod transmits that force to the crankshaft</t>
  </si>
  <si>
    <t>Powertrain (reciprocating assembly)</t>
  </si>
  <si>
    <t>Structural housing for cylinders and main bearings; supports and locates the crankshaft, provides coolant and oil passages, and mounts for ancillary engine components</t>
  </si>
  <si>
    <t>Seals the top of the combustion chambers; provides ports for intake/exhaust, houses valve seats and guides, and contains coolant passages and mounting interfaces for camshafts/valvetrain</t>
  </si>
  <si>
    <t>Converts reciprocating piston motion into rotational torque, transmits torque to the transmission input flange, and includes journals and counterweights for bearing support and balance</t>
  </si>
  <si>
    <t>Powertrain — Cranktrain (Bottom end)</t>
  </si>
  <si>
    <t>Transmits combustion and gas pressure to the connecting rod via the piston pin, provides a sliding seal against the cylinder wall with piston rings, and resists thermal and mechanical loads</t>
  </si>
  <si>
    <t>Structural housing for cylinders and crankshaft; provides main bearing support, coolant and oil passages, and mounting points for ancillary components</t>
  </si>
  <si>
    <t>Powertrain — Engine block/crankcase</t>
  </si>
  <si>
    <t>Forms combustion chambers and intake/exhaust ports; supports valves, valve guides/seats and camshaft mounting, and provides coolant and oil passages</t>
  </si>
  <si>
    <t>Converts reciprocating motion of pistons into rotational torque and transmits torque to the flywheel/transmission while bearing main and rod loads</t>
  </si>
  <si>
    <t>Powertrain — Bottom-end rotating assembly</t>
  </si>
  <si>
    <t>Transfers gas forces from the combustion chamber to the connecting rod, maintains combustion seal via rings, and controls oil film on cylinder walls</t>
  </si>
  <si>
    <t>Structural housing for cylinders and coolant passages; supports main bearings and aligns crankshaft and pistons</t>
  </si>
  <si>
    <t>Forms combustion chamber roof; mounts valve train and provides intake/exhaust ports and coolant passages</t>
  </si>
  <si>
    <t>Converts reciprocating motion of connecting rods into rotational torque and transmits it to the transmission input</t>
  </si>
  <si>
    <t>Transmits combustion pressure to the connecting rod while sealing the combustion chamber with piston rings</t>
  </si>
  <si>
    <t>Structural housing that contains cylinder bores, supports crankshaft and bearings, and integrates coolant and oil passages</t>
  </si>
  <si>
    <t>Powertrain — engine mechanical</t>
  </si>
  <si>
    <t>Converts reciprocating piston motion into rotary torque and transmits torque to the drivetrain while providing counterbalance for reciprocating masses</t>
  </si>
  <si>
    <t>Seals the top of the cylinders, forms the combustion chamber roof, and provides ports and mounting surfaces for the valve train</t>
  </si>
  <si>
    <t>Transmits combustion pressure to the connecting rod via the piston pin and maintains a sliding seal with the cylinder through piston rings</t>
  </si>
  <si>
    <t>Structural housing for cylinder bores and crankcase; supports main bearings, oil and coolant galleries, and locates peripheral engine components</t>
  </si>
  <si>
    <t>Seals cylinder tops to form combustion chambers; provides ports and passages for intake/exhaust and coolant and mounts valve train components</t>
  </si>
  <si>
    <t>Converts reciprocating motion of pistons into rotational torque; transmits torque to the flywheel/transmission and reacts inertial and combustion loads via main/journal bearings</t>
  </si>
  <si>
    <t>Piston transmits combustion pressure to the connecting rod via the wrist pin; connecting rod transfers reciprocating loads to the crankshaft</t>
  </si>
  <si>
    <t>Positive electrode (nickel-based plate)</t>
  </si>
  <si>
    <t>Host for nickel active material that undergoes reversible oxidation/reduction to store and release electrical energy while collecting electronic current</t>
  </si>
  <si>
    <t>Battery system (electrical)</t>
  </si>
  <si>
    <t>Host for iron active material that provides the counter-electrode for redox reactions and collects electronic current</t>
  </si>
  <si>
    <t>Separator (porous insulating membrane)</t>
  </si>
  <si>
    <t>Maintains electrical isolation between positive and negative electrodes while permitting ionic conduction of the electrolyte</t>
  </si>
  <si>
    <t>Cell container and cover with terminal post</t>
  </si>
  <si>
    <t>Rigid enclosure that houses electrodes and electrolyte, provides mechanical support, sealing and external electrical connection via terminal</t>
  </si>
  <si>
    <t>Nickel hydroxide positive electrode (cathode)</t>
  </si>
  <si>
    <t>Active electrode layer on a conductive substrate that undergoes reversible Ni(II)/Ni(III) redox to store and deliver electrical charge and provide electron conduction to the current collector</t>
  </si>
  <si>
    <t>Cadmium negative electrode (anode)</t>
  </si>
  <si>
    <t>Active electrode assembly that undergoes reversible Cd/Cd(OH)2 redox to store and deliver electrical charge and conduct electrons to the external circuit</t>
  </si>
  <si>
    <t>Porous separator (polymeric or fibrous)</t>
  </si>
  <si>
    <t>Electrically insulates the positive and negative electrodes while permitting ionic transport of the electrolyte to enable cell electrochemistry and prevent internal short circuits</t>
  </si>
  <si>
    <t>Cell container and terminal assembly (case, lid, terminal posts, pressure-relief vent)</t>
  </si>
  <si>
    <t>Rigid metallic or polymeric enclosure that provides mechanical support, hermetic sealing, external electrical connection, and controlled venting for safety and integration into the vehicle battery pack</t>
  </si>
  <si>
    <t>Electrode assembly (anode and cathode coated foils)</t>
  </si>
  <si>
    <t>Active electrochemical layers on metal current-collector foils that store and release charge via reversible redox reactions and provide electronic conduction within the cell</t>
  </si>
  <si>
    <t>Vehicle electrical energy storage system</t>
  </si>
  <si>
    <t>Porous separator membrane</t>
  </si>
  <si>
    <t>Microporous electrically insulating barrier that permits ionic transport while preventing electronic contact and internal short circuits between electrodes</t>
  </si>
  <si>
    <t>Electrolyte (ionic conductor)</t>
  </si>
  <si>
    <t>Ion-conducting medium between electrodes that facilitates ionic transport during charge/discharge and solvates ionic species</t>
  </si>
  <si>
    <t>Cell enclosure and terminals (can, lid, terminal posts, safety vent)</t>
  </si>
  <si>
    <t>Mechanical containment and hermetic sealing of internal components, provision of external electrical connection, and controlled pressure-relief/safety during abnormal conditions</t>
  </si>
  <si>
    <t>Positive plate (lead dioxide on lead‑alloy grid)</t>
  </si>
  <si>
    <t>Cathodic electrode assembly where lead dioxide active material undergoes electrochemical reduction/oxidation to accept and deliver charge</t>
  </si>
  <si>
    <t>Negative plate (sponge lead on lead‑alloy grid)</t>
  </si>
  <si>
    <t>Anodic electrode assembly of sponge lead that undergoes oxidation/reduction and forms lead sulfate during discharge</t>
  </si>
  <si>
    <t>Separator (microporous membrane or glass‑fiber mat)</t>
  </si>
  <si>
    <t>Electron‑insulating, ion‑permeable porous barrier preventing electrical shorting between adjacent plates while allowing ionic transport</t>
  </si>
  <si>
    <t>Electrolyte (aqueous sulfuric acid solution)</t>
  </si>
  <si>
    <t>Ionic conductor supplying H+ and SO4(2−) ions for the redox reactions between positive and negative plates</t>
  </si>
  <si>
    <t>Positive plate assembly</t>
  </si>
  <si>
    <t>Houses lead dioxide active material on a conductive grid to serve as the positive electrode and collector for charge/discharge currents</t>
  </si>
  <si>
    <t>Negative plate assembly</t>
  </si>
  <si>
    <t>Houses spongy lead active material on a conductive grid to serve as the negative electrode and collector for charge/discharge currents</t>
  </si>
  <si>
    <t>Separator (porous membrane)</t>
  </si>
  <si>
    <t>Electrically isolates adjacent positive and negative plates while permitting ionic conduction of the electrolyte to prevent internal shorting</t>
  </si>
  <si>
    <t>Container and lid assembly (polymer casing with cell partitions)</t>
  </si>
  <si>
    <t>Provides structural enclosure and electrolyte containment for cells, supports plate alignment, integrates terminal bushings and venting</t>
  </si>
  <si>
    <t>Main chassis frame</t>
  </si>
  <si>
    <t>Primary structural load-bearing member that supports the vehicle body, mounts major assemblies and transmits static and dynamic loads to suspension attachment points</t>
  </si>
  <si>
    <t>Chassis/Frame</t>
  </si>
  <si>
    <t>Transmission assembly</t>
  </si>
  <si>
    <t>Mechanical gearbox that converts and transmits rotational torque to the drive shafts, providing selectable gear ratios and reverse</t>
  </si>
  <si>
    <t>Suspension strut assembly</t>
  </si>
  <si>
    <t>Combines spring and damper elements to support vehicle mass, provide vertical compliance and damping, and control wheel movement relative to the chassis</t>
  </si>
  <si>
    <t>Converts steering input into lateral rod motion to articulate wheels, providing steering ratio and mechanical advantage for directional control</t>
  </si>
  <si>
    <t>Average of 3 TFS</t>
  </si>
  <si>
    <t>Standard Deviation</t>
  </si>
  <si>
    <t>Count of Classification</t>
  </si>
  <si>
    <t>Classification2</t>
  </si>
  <si>
    <t>Classification3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</si>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</sst>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[results_draw_00_20260121_051851.xlsx]Sheet7!PivotTable5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Count of Classification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298768"/>
        <c:axId val="145294448"/>
      </c:barChart>
      <c:catAx>
        <c:axId val="145298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94448"/>
        <c:crosses val="autoZero"/>
        <c:auto val="1"/>
        <c:lblAlgn val="ctr"/>
        <c:lblOffset val="100"/>
        <c:noMultiLvlLbl val="0"/>
      </c:catAx>
      <c:valAx>
        <c:axId val="14529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98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[results_draw_00_20260121_051851.xlsx]Sheet8!PivotTable10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Count of Classification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Sheet8!$A$4:$A$6</c:f>
              <c:strCache>
                <c:ptCount val="3"/>
                <c:pt idx="0">
                  <c:v>EV_ONLY</c:v>
                </c:pt>
                <c:pt idx="1">
                  <c:v>ICE_ONLY</c:v>
                </c:pt>
                <c:pt idx="2">
                  <c:v>SHARED</c:v>
                </c:pt>
              </c:strCache>
            </c:strRef>
          </c:cat>
          <c:val>
            <c:numRef>
              <c:f>Sheet8!$B$4:$B$6</c:f>
              <c:numCache>
                <c:formatCode>General</c:formatCode>
                <c:ptCount val="3"/>
                <c:pt idx="0">
                  <c:v>4</c:v>
                </c:pt>
                <c:pt idx="1">
                  <c:v>61</c:v>
                </c:pt>
                <c:pt idx="2">
                  <c:v>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F1-4B4E-B841-997C7421D1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311728"/>
        <c:axId val="145319888"/>
      </c:barChart>
      <c:catAx>
        <c:axId val="145311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19888"/>
        <c:crosses val="autoZero"/>
        <c:auto val="1"/>
        <c:lblAlgn val="ctr"/>
        <c:lblOffset val="100"/>
        <c:noMultiLvlLbl val="0"/>
      </c:catAx>
      <c:valAx>
        <c:axId val="14531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11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30480</xdr:colOff>
      <xdr:row>8</xdr:row>
      <xdr:rowOff>148590</xdr:rowOff>
    </xdr:from>
    <xdr:to>
      <xdr:col>13</xdr:col>
      <xdr:colOff>335280</xdr:colOff>
      <xdr:row>23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C06C67-A25C-022C-3740-9FE32769CA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8</xdr:row>
      <xdr:rowOff>148590</xdr:rowOff>
    </xdr:from>
    <xdr:to>
      <xdr:col>10</xdr:col>
      <xdr:colOff>495300</xdr:colOff>
      <xdr:row>23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1C6C18-0B2C-E49B-0EC2-E4B0746277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ourjya Samanta" refreshedDate="46044.659859375002" createdVersion="8" refreshedVersion="8" minRefreshableVersion="3" recordCount="204" xr:uid="{69E88CC0-D554-40B7-B06C-01F45CE1E3D3}">
  <cacheSource type="worksheet">
    <worksheetSource ref="A1:D205" sheet="Sheet6"/>
  </cacheSource>
  <cacheFields count="4">
    <cacheField name="HS_Code" numFmtId="0">
      <sharedItems count="51">
        <s v="851240"/>
        <s v="870310"/>
        <s v="870321"/>
        <s v="870870"/>
        <s v="870880"/>
        <s v="870894"/>
        <s v="870892"/>
        <s v="870891"/>
        <s v="870831"/>
        <s v="870840"/>
        <s v="870850"/>
        <s v="870821"/>
        <s v="870829"/>
        <s v="870899"/>
        <s v="870860"/>
        <s v="870893"/>
        <s v="870810"/>
        <s v="870839"/>
        <s v="870710"/>
        <s v="870790"/>
        <s v="851230"/>
        <s v="401110"/>
        <s v="401310"/>
        <s v="401390"/>
        <s v="401211"/>
        <s v="852729"/>
        <s v="852721"/>
        <s v="830230"/>
        <s v="851220"/>
        <s v="853910"/>
        <s v="854430"/>
        <s v="851140"/>
        <s v="851110"/>
        <s v="851190"/>
        <s v="851180"/>
        <s v="851120"/>
        <s v="851150"/>
        <s v="851130"/>
        <s v="840731"/>
        <s v="840732"/>
        <s v="840733"/>
        <s v="840734"/>
        <s v="840991"/>
        <s v="840999"/>
        <s v="840820"/>
        <s v="850740"/>
        <s v="850730"/>
        <s v="850780"/>
        <s v="850710"/>
        <s v="850720"/>
        <s v="870600"/>
      </sharedItems>
    </cacheField>
    <cacheField name="Classification" numFmtId="0">
      <sharedItems count="3">
        <s v="SHARED"/>
        <s v="ICE_ONLY"/>
        <s v="EV_ONLY"/>
      </sharedItems>
    </cacheField>
    <cacheField name="Classification2" numFmtId="0">
      <sharedItems count="3">
        <s v="SHARED"/>
        <s v="ICE_ONLY"/>
        <s v="EV_ONLY"/>
      </sharedItems>
    </cacheField>
    <cacheField name="Classification3" numFmtId="0">
      <sharedItems count="3">
        <s v="SHARED"/>
        <s v="ICE_ONLY"/>
        <s v="EV_ONL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ourjya Samanta" refreshedDate="46044.661643055559" createdVersion="8" refreshedVersion="8" minRefreshableVersion="3" recordCount="204" xr:uid="{8082C9F5-7E0E-413F-925F-DE96CAD88CA6}">
  <cacheSource type="worksheet">
    <worksheetSource ref="A1:D205" sheet="Sheet6"/>
  </cacheSource>
  <cacheFields count="4">
    <cacheField name="HS_Code" numFmtId="0">
      <sharedItems/>
    </cacheField>
    <cacheField name="Classification" numFmtId="0">
      <sharedItems count="3">
        <s v="SHARED"/>
        <s v="ICE_ONLY"/>
        <s v="EV_ONLY"/>
      </sharedItems>
    </cacheField>
    <cacheField name="Classification2" numFmtId="0">
      <sharedItems count="3">
        <s v="SHARED"/>
        <s v="ICE_ONLY"/>
        <s v="EV_ONLY"/>
      </sharedItems>
    </cacheField>
    <cacheField name="Classification3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4">
  <r>
    <x v="0"/>
    <x v="0"/>
    <x v="0"/>
    <x v="0"/>
  </r>
  <r>
    <x v="0"/>
    <x v="0"/>
    <x v="0"/>
    <x v="0"/>
  </r>
  <r>
    <x v="0"/>
    <x v="0"/>
    <x v="0"/>
    <x v="0"/>
  </r>
  <r>
    <x v="0"/>
    <x v="0"/>
    <x v="0"/>
    <x v="0"/>
  </r>
  <r>
    <x v="1"/>
    <x v="0"/>
    <x v="0"/>
    <x v="0"/>
  </r>
  <r>
    <x v="1"/>
    <x v="0"/>
    <x v="0"/>
    <x v="0"/>
  </r>
  <r>
    <x v="1"/>
    <x v="0"/>
    <x v="0"/>
    <x v="0"/>
  </r>
  <r>
    <x v="1"/>
    <x v="0"/>
    <x v="0"/>
    <x v="0"/>
  </r>
  <r>
    <x v="2"/>
    <x v="1"/>
    <x v="1"/>
    <x v="1"/>
  </r>
  <r>
    <x v="2"/>
    <x v="1"/>
    <x v="1"/>
    <x v="1"/>
  </r>
  <r>
    <x v="2"/>
    <x v="1"/>
    <x v="0"/>
    <x v="0"/>
  </r>
  <r>
    <x v="2"/>
    <x v="0"/>
    <x v="0"/>
    <x v="0"/>
  </r>
  <r>
    <x v="3"/>
    <x v="0"/>
    <x v="0"/>
    <x v="0"/>
  </r>
  <r>
    <x v="3"/>
    <x v="0"/>
    <x v="0"/>
    <x v="0"/>
  </r>
  <r>
    <x v="3"/>
    <x v="0"/>
    <x v="0"/>
    <x v="0"/>
  </r>
  <r>
    <x v="3"/>
    <x v="0"/>
    <x v="0"/>
    <x v="0"/>
  </r>
  <r>
    <x v="4"/>
    <x v="0"/>
    <x v="0"/>
    <x v="0"/>
  </r>
  <r>
    <x v="4"/>
    <x v="1"/>
    <x v="1"/>
    <x v="0"/>
  </r>
  <r>
    <x v="4"/>
    <x v="1"/>
    <x v="1"/>
    <x v="0"/>
  </r>
  <r>
    <x v="4"/>
    <x v="0"/>
    <x v="0"/>
    <x v="0"/>
  </r>
  <r>
    <x v="5"/>
    <x v="0"/>
    <x v="0"/>
    <x v="0"/>
  </r>
  <r>
    <x v="5"/>
    <x v="0"/>
    <x v="0"/>
    <x v="0"/>
  </r>
  <r>
    <x v="5"/>
    <x v="0"/>
    <x v="0"/>
    <x v="0"/>
  </r>
  <r>
    <x v="5"/>
    <x v="0"/>
    <x v="0"/>
    <x v="0"/>
  </r>
  <r>
    <x v="6"/>
    <x v="1"/>
    <x v="1"/>
    <x v="1"/>
  </r>
  <r>
    <x v="6"/>
    <x v="1"/>
    <x v="1"/>
    <x v="1"/>
  </r>
  <r>
    <x v="6"/>
    <x v="1"/>
    <x v="1"/>
    <x v="1"/>
  </r>
  <r>
    <x v="6"/>
    <x v="1"/>
    <x v="1"/>
    <x v="1"/>
  </r>
  <r>
    <x v="7"/>
    <x v="0"/>
    <x v="0"/>
    <x v="0"/>
  </r>
  <r>
    <x v="7"/>
    <x v="0"/>
    <x v="0"/>
    <x v="0"/>
  </r>
  <r>
    <x v="7"/>
    <x v="0"/>
    <x v="0"/>
    <x v="0"/>
  </r>
  <r>
    <x v="7"/>
    <x v="0"/>
    <x v="0"/>
    <x v="0"/>
  </r>
  <r>
    <x v="8"/>
    <x v="0"/>
    <x v="0"/>
    <x v="0"/>
  </r>
  <r>
    <x v="8"/>
    <x v="0"/>
    <x v="0"/>
    <x v="0"/>
  </r>
  <r>
    <x v="8"/>
    <x v="0"/>
    <x v="0"/>
    <x v="0"/>
  </r>
  <r>
    <x v="8"/>
    <x v="0"/>
    <x v="0"/>
    <x v="0"/>
  </r>
  <r>
    <x v="9"/>
    <x v="0"/>
    <x v="0"/>
    <x v="0"/>
  </r>
  <r>
    <x v="9"/>
    <x v="0"/>
    <x v="0"/>
    <x v="0"/>
  </r>
  <r>
    <x v="9"/>
    <x v="0"/>
    <x v="0"/>
    <x v="0"/>
  </r>
  <r>
    <x v="9"/>
    <x v="0"/>
    <x v="0"/>
    <x v="0"/>
  </r>
  <r>
    <x v="10"/>
    <x v="0"/>
    <x v="0"/>
    <x v="0"/>
  </r>
  <r>
    <x v="10"/>
    <x v="0"/>
    <x v="0"/>
    <x v="0"/>
  </r>
  <r>
    <x v="10"/>
    <x v="0"/>
    <x v="0"/>
    <x v="0"/>
  </r>
  <r>
    <x v="10"/>
    <x v="0"/>
    <x v="0"/>
    <x v="0"/>
  </r>
  <r>
    <x v="11"/>
    <x v="0"/>
    <x v="0"/>
    <x v="0"/>
  </r>
  <r>
    <x v="11"/>
    <x v="0"/>
    <x v="0"/>
    <x v="0"/>
  </r>
  <r>
    <x v="11"/>
    <x v="0"/>
    <x v="0"/>
    <x v="0"/>
  </r>
  <r>
    <x v="11"/>
    <x v="0"/>
    <x v="0"/>
    <x v="0"/>
  </r>
  <r>
    <x v="12"/>
    <x v="0"/>
    <x v="0"/>
    <x v="0"/>
  </r>
  <r>
    <x v="12"/>
    <x v="0"/>
    <x v="0"/>
    <x v="0"/>
  </r>
  <r>
    <x v="12"/>
    <x v="0"/>
    <x v="0"/>
    <x v="0"/>
  </r>
  <r>
    <x v="12"/>
    <x v="0"/>
    <x v="0"/>
    <x v="0"/>
  </r>
  <r>
    <x v="13"/>
    <x v="0"/>
    <x v="0"/>
    <x v="0"/>
  </r>
  <r>
    <x v="13"/>
    <x v="0"/>
    <x v="0"/>
    <x v="0"/>
  </r>
  <r>
    <x v="13"/>
    <x v="0"/>
    <x v="0"/>
    <x v="0"/>
  </r>
  <r>
    <x v="13"/>
    <x v="0"/>
    <x v="0"/>
    <x v="0"/>
  </r>
  <r>
    <x v="14"/>
    <x v="0"/>
    <x v="0"/>
    <x v="0"/>
  </r>
  <r>
    <x v="14"/>
    <x v="0"/>
    <x v="0"/>
    <x v="0"/>
  </r>
  <r>
    <x v="14"/>
    <x v="0"/>
    <x v="0"/>
    <x v="0"/>
  </r>
  <r>
    <x v="14"/>
    <x v="0"/>
    <x v="0"/>
    <x v="0"/>
  </r>
  <r>
    <x v="15"/>
    <x v="0"/>
    <x v="0"/>
    <x v="0"/>
  </r>
  <r>
    <x v="15"/>
    <x v="1"/>
    <x v="0"/>
    <x v="0"/>
  </r>
  <r>
    <x v="15"/>
    <x v="0"/>
    <x v="0"/>
    <x v="1"/>
  </r>
  <r>
    <x v="15"/>
    <x v="0"/>
    <x v="1"/>
    <x v="0"/>
  </r>
  <r>
    <x v="16"/>
    <x v="0"/>
    <x v="0"/>
    <x v="0"/>
  </r>
  <r>
    <x v="16"/>
    <x v="0"/>
    <x v="0"/>
    <x v="0"/>
  </r>
  <r>
    <x v="16"/>
    <x v="0"/>
    <x v="0"/>
    <x v="0"/>
  </r>
  <r>
    <x v="16"/>
    <x v="0"/>
    <x v="0"/>
    <x v="0"/>
  </r>
  <r>
    <x v="17"/>
    <x v="0"/>
    <x v="0"/>
    <x v="0"/>
  </r>
  <r>
    <x v="17"/>
    <x v="0"/>
    <x v="0"/>
    <x v="0"/>
  </r>
  <r>
    <x v="17"/>
    <x v="0"/>
    <x v="0"/>
    <x v="0"/>
  </r>
  <r>
    <x v="17"/>
    <x v="0"/>
    <x v="0"/>
    <x v="0"/>
  </r>
  <r>
    <x v="18"/>
    <x v="0"/>
    <x v="0"/>
    <x v="0"/>
  </r>
  <r>
    <x v="18"/>
    <x v="0"/>
    <x v="0"/>
    <x v="0"/>
  </r>
  <r>
    <x v="18"/>
    <x v="0"/>
    <x v="0"/>
    <x v="0"/>
  </r>
  <r>
    <x v="18"/>
    <x v="0"/>
    <x v="0"/>
    <x v="0"/>
  </r>
  <r>
    <x v="19"/>
    <x v="0"/>
    <x v="0"/>
    <x v="0"/>
  </r>
  <r>
    <x v="19"/>
    <x v="0"/>
    <x v="0"/>
    <x v="0"/>
  </r>
  <r>
    <x v="19"/>
    <x v="0"/>
    <x v="0"/>
    <x v="0"/>
  </r>
  <r>
    <x v="19"/>
    <x v="0"/>
    <x v="0"/>
    <x v="0"/>
  </r>
  <r>
    <x v="20"/>
    <x v="0"/>
    <x v="0"/>
    <x v="0"/>
  </r>
  <r>
    <x v="20"/>
    <x v="0"/>
    <x v="0"/>
    <x v="0"/>
  </r>
  <r>
    <x v="20"/>
    <x v="0"/>
    <x v="0"/>
    <x v="0"/>
  </r>
  <r>
    <x v="20"/>
    <x v="0"/>
    <x v="1"/>
    <x v="0"/>
  </r>
  <r>
    <x v="21"/>
    <x v="0"/>
    <x v="0"/>
    <x v="0"/>
  </r>
  <r>
    <x v="21"/>
    <x v="0"/>
    <x v="0"/>
    <x v="1"/>
  </r>
  <r>
    <x v="21"/>
    <x v="0"/>
    <x v="0"/>
    <x v="0"/>
  </r>
  <r>
    <x v="21"/>
    <x v="0"/>
    <x v="0"/>
    <x v="0"/>
  </r>
  <r>
    <x v="22"/>
    <x v="0"/>
    <x v="0"/>
    <x v="0"/>
  </r>
  <r>
    <x v="22"/>
    <x v="0"/>
    <x v="0"/>
    <x v="0"/>
  </r>
  <r>
    <x v="22"/>
    <x v="0"/>
    <x v="0"/>
    <x v="0"/>
  </r>
  <r>
    <x v="22"/>
    <x v="1"/>
    <x v="0"/>
    <x v="0"/>
  </r>
  <r>
    <x v="23"/>
    <x v="0"/>
    <x v="0"/>
    <x v="0"/>
  </r>
  <r>
    <x v="23"/>
    <x v="0"/>
    <x v="0"/>
    <x v="0"/>
  </r>
  <r>
    <x v="23"/>
    <x v="0"/>
    <x v="0"/>
    <x v="0"/>
  </r>
  <r>
    <x v="23"/>
    <x v="0"/>
    <x v="0"/>
    <x v="0"/>
  </r>
  <r>
    <x v="24"/>
    <x v="0"/>
    <x v="0"/>
    <x v="0"/>
  </r>
  <r>
    <x v="24"/>
    <x v="0"/>
    <x v="0"/>
    <x v="0"/>
  </r>
  <r>
    <x v="24"/>
    <x v="0"/>
    <x v="0"/>
    <x v="1"/>
  </r>
  <r>
    <x v="24"/>
    <x v="0"/>
    <x v="0"/>
    <x v="0"/>
  </r>
  <r>
    <x v="25"/>
    <x v="0"/>
    <x v="0"/>
    <x v="0"/>
  </r>
  <r>
    <x v="25"/>
    <x v="0"/>
    <x v="0"/>
    <x v="0"/>
  </r>
  <r>
    <x v="25"/>
    <x v="0"/>
    <x v="0"/>
    <x v="0"/>
  </r>
  <r>
    <x v="25"/>
    <x v="0"/>
    <x v="0"/>
    <x v="0"/>
  </r>
  <r>
    <x v="26"/>
    <x v="0"/>
    <x v="0"/>
    <x v="0"/>
  </r>
  <r>
    <x v="26"/>
    <x v="0"/>
    <x v="0"/>
    <x v="0"/>
  </r>
  <r>
    <x v="26"/>
    <x v="0"/>
    <x v="0"/>
    <x v="0"/>
  </r>
  <r>
    <x v="26"/>
    <x v="0"/>
    <x v="0"/>
    <x v="0"/>
  </r>
  <r>
    <x v="27"/>
    <x v="0"/>
    <x v="0"/>
    <x v="0"/>
  </r>
  <r>
    <x v="27"/>
    <x v="0"/>
    <x v="0"/>
    <x v="0"/>
  </r>
  <r>
    <x v="27"/>
    <x v="0"/>
    <x v="0"/>
    <x v="0"/>
  </r>
  <r>
    <x v="27"/>
    <x v="0"/>
    <x v="0"/>
    <x v="0"/>
  </r>
  <r>
    <x v="28"/>
    <x v="0"/>
    <x v="0"/>
    <x v="0"/>
  </r>
  <r>
    <x v="28"/>
    <x v="0"/>
    <x v="0"/>
    <x v="0"/>
  </r>
  <r>
    <x v="28"/>
    <x v="0"/>
    <x v="0"/>
    <x v="0"/>
  </r>
  <r>
    <x v="28"/>
    <x v="0"/>
    <x v="0"/>
    <x v="0"/>
  </r>
  <r>
    <x v="29"/>
    <x v="0"/>
    <x v="0"/>
    <x v="0"/>
  </r>
  <r>
    <x v="29"/>
    <x v="0"/>
    <x v="0"/>
    <x v="0"/>
  </r>
  <r>
    <x v="29"/>
    <x v="0"/>
    <x v="0"/>
    <x v="0"/>
  </r>
  <r>
    <x v="29"/>
    <x v="0"/>
    <x v="0"/>
    <x v="0"/>
  </r>
  <r>
    <x v="30"/>
    <x v="0"/>
    <x v="0"/>
    <x v="0"/>
  </r>
  <r>
    <x v="30"/>
    <x v="0"/>
    <x v="0"/>
    <x v="0"/>
  </r>
  <r>
    <x v="30"/>
    <x v="0"/>
    <x v="0"/>
    <x v="0"/>
  </r>
  <r>
    <x v="30"/>
    <x v="0"/>
    <x v="0"/>
    <x v="1"/>
  </r>
  <r>
    <x v="31"/>
    <x v="0"/>
    <x v="0"/>
    <x v="0"/>
  </r>
  <r>
    <x v="31"/>
    <x v="0"/>
    <x v="0"/>
    <x v="0"/>
  </r>
  <r>
    <x v="31"/>
    <x v="1"/>
    <x v="1"/>
    <x v="0"/>
  </r>
  <r>
    <x v="31"/>
    <x v="0"/>
    <x v="1"/>
    <x v="1"/>
  </r>
  <r>
    <x v="32"/>
    <x v="1"/>
    <x v="1"/>
    <x v="1"/>
  </r>
  <r>
    <x v="32"/>
    <x v="1"/>
    <x v="1"/>
    <x v="1"/>
  </r>
  <r>
    <x v="32"/>
    <x v="1"/>
    <x v="1"/>
    <x v="1"/>
  </r>
  <r>
    <x v="32"/>
    <x v="1"/>
    <x v="1"/>
    <x v="1"/>
  </r>
  <r>
    <x v="33"/>
    <x v="1"/>
    <x v="1"/>
    <x v="1"/>
  </r>
  <r>
    <x v="33"/>
    <x v="1"/>
    <x v="1"/>
    <x v="1"/>
  </r>
  <r>
    <x v="33"/>
    <x v="1"/>
    <x v="1"/>
    <x v="1"/>
  </r>
  <r>
    <x v="33"/>
    <x v="1"/>
    <x v="1"/>
    <x v="1"/>
  </r>
  <r>
    <x v="34"/>
    <x v="1"/>
    <x v="1"/>
    <x v="1"/>
  </r>
  <r>
    <x v="34"/>
    <x v="1"/>
    <x v="1"/>
    <x v="1"/>
  </r>
  <r>
    <x v="34"/>
    <x v="1"/>
    <x v="1"/>
    <x v="1"/>
  </r>
  <r>
    <x v="34"/>
    <x v="1"/>
    <x v="1"/>
    <x v="1"/>
  </r>
  <r>
    <x v="35"/>
    <x v="0"/>
    <x v="1"/>
    <x v="1"/>
  </r>
  <r>
    <x v="35"/>
    <x v="0"/>
    <x v="1"/>
    <x v="1"/>
  </r>
  <r>
    <x v="35"/>
    <x v="0"/>
    <x v="0"/>
    <x v="1"/>
  </r>
  <r>
    <x v="35"/>
    <x v="1"/>
    <x v="1"/>
    <x v="1"/>
  </r>
  <r>
    <x v="36"/>
    <x v="1"/>
    <x v="1"/>
    <x v="1"/>
  </r>
  <r>
    <x v="36"/>
    <x v="1"/>
    <x v="1"/>
    <x v="1"/>
  </r>
  <r>
    <x v="36"/>
    <x v="1"/>
    <x v="1"/>
    <x v="1"/>
  </r>
  <r>
    <x v="36"/>
    <x v="1"/>
    <x v="1"/>
    <x v="1"/>
  </r>
  <r>
    <x v="37"/>
    <x v="1"/>
    <x v="1"/>
    <x v="1"/>
  </r>
  <r>
    <x v="37"/>
    <x v="1"/>
    <x v="1"/>
    <x v="1"/>
  </r>
  <r>
    <x v="37"/>
    <x v="1"/>
    <x v="1"/>
    <x v="1"/>
  </r>
  <r>
    <x v="37"/>
    <x v="1"/>
    <x v="1"/>
    <x v="1"/>
  </r>
  <r>
    <x v="38"/>
    <x v="1"/>
    <x v="1"/>
    <x v="1"/>
  </r>
  <r>
    <x v="38"/>
    <x v="1"/>
    <x v="1"/>
    <x v="1"/>
  </r>
  <r>
    <x v="38"/>
    <x v="1"/>
    <x v="1"/>
    <x v="1"/>
  </r>
  <r>
    <x v="38"/>
    <x v="1"/>
    <x v="1"/>
    <x v="1"/>
  </r>
  <r>
    <x v="39"/>
    <x v="1"/>
    <x v="1"/>
    <x v="1"/>
  </r>
  <r>
    <x v="39"/>
    <x v="1"/>
    <x v="1"/>
    <x v="1"/>
  </r>
  <r>
    <x v="39"/>
    <x v="1"/>
    <x v="1"/>
    <x v="1"/>
  </r>
  <r>
    <x v="39"/>
    <x v="1"/>
    <x v="1"/>
    <x v="1"/>
  </r>
  <r>
    <x v="40"/>
    <x v="1"/>
    <x v="1"/>
    <x v="1"/>
  </r>
  <r>
    <x v="40"/>
    <x v="1"/>
    <x v="1"/>
    <x v="1"/>
  </r>
  <r>
    <x v="40"/>
    <x v="1"/>
    <x v="1"/>
    <x v="1"/>
  </r>
  <r>
    <x v="40"/>
    <x v="1"/>
    <x v="1"/>
    <x v="1"/>
  </r>
  <r>
    <x v="41"/>
    <x v="1"/>
    <x v="1"/>
    <x v="1"/>
  </r>
  <r>
    <x v="41"/>
    <x v="1"/>
    <x v="1"/>
    <x v="1"/>
  </r>
  <r>
    <x v="41"/>
    <x v="1"/>
    <x v="1"/>
    <x v="1"/>
  </r>
  <r>
    <x v="41"/>
    <x v="1"/>
    <x v="1"/>
    <x v="1"/>
  </r>
  <r>
    <x v="42"/>
    <x v="1"/>
    <x v="1"/>
    <x v="1"/>
  </r>
  <r>
    <x v="42"/>
    <x v="1"/>
    <x v="1"/>
    <x v="1"/>
  </r>
  <r>
    <x v="42"/>
    <x v="1"/>
    <x v="1"/>
    <x v="1"/>
  </r>
  <r>
    <x v="42"/>
    <x v="1"/>
    <x v="1"/>
    <x v="1"/>
  </r>
  <r>
    <x v="43"/>
    <x v="1"/>
    <x v="1"/>
    <x v="1"/>
  </r>
  <r>
    <x v="43"/>
    <x v="1"/>
    <x v="1"/>
    <x v="1"/>
  </r>
  <r>
    <x v="43"/>
    <x v="1"/>
    <x v="1"/>
    <x v="1"/>
  </r>
  <r>
    <x v="43"/>
    <x v="1"/>
    <x v="1"/>
    <x v="1"/>
  </r>
  <r>
    <x v="44"/>
    <x v="1"/>
    <x v="1"/>
    <x v="1"/>
  </r>
  <r>
    <x v="44"/>
    <x v="1"/>
    <x v="1"/>
    <x v="1"/>
  </r>
  <r>
    <x v="44"/>
    <x v="1"/>
    <x v="1"/>
    <x v="1"/>
  </r>
  <r>
    <x v="44"/>
    <x v="1"/>
    <x v="1"/>
    <x v="1"/>
  </r>
  <r>
    <x v="45"/>
    <x v="2"/>
    <x v="2"/>
    <x v="2"/>
  </r>
  <r>
    <x v="45"/>
    <x v="0"/>
    <x v="0"/>
    <x v="2"/>
  </r>
  <r>
    <x v="45"/>
    <x v="0"/>
    <x v="0"/>
    <x v="0"/>
  </r>
  <r>
    <x v="45"/>
    <x v="0"/>
    <x v="0"/>
    <x v="0"/>
  </r>
  <r>
    <x v="46"/>
    <x v="2"/>
    <x v="2"/>
    <x v="2"/>
  </r>
  <r>
    <x v="46"/>
    <x v="0"/>
    <x v="0"/>
    <x v="0"/>
  </r>
  <r>
    <x v="46"/>
    <x v="0"/>
    <x v="0"/>
    <x v="0"/>
  </r>
  <r>
    <x v="46"/>
    <x v="0"/>
    <x v="2"/>
    <x v="0"/>
  </r>
  <r>
    <x v="47"/>
    <x v="2"/>
    <x v="2"/>
    <x v="0"/>
  </r>
  <r>
    <x v="47"/>
    <x v="2"/>
    <x v="0"/>
    <x v="0"/>
  </r>
  <r>
    <x v="47"/>
    <x v="0"/>
    <x v="0"/>
    <x v="2"/>
  </r>
  <r>
    <x v="47"/>
    <x v="0"/>
    <x v="0"/>
    <x v="0"/>
  </r>
  <r>
    <x v="48"/>
    <x v="0"/>
    <x v="0"/>
    <x v="0"/>
  </r>
  <r>
    <x v="48"/>
    <x v="0"/>
    <x v="0"/>
    <x v="0"/>
  </r>
  <r>
    <x v="48"/>
    <x v="0"/>
    <x v="0"/>
    <x v="0"/>
  </r>
  <r>
    <x v="48"/>
    <x v="0"/>
    <x v="0"/>
    <x v="0"/>
  </r>
  <r>
    <x v="49"/>
    <x v="0"/>
    <x v="0"/>
    <x v="0"/>
  </r>
  <r>
    <x v="49"/>
    <x v="0"/>
    <x v="0"/>
    <x v="0"/>
  </r>
  <r>
    <x v="49"/>
    <x v="0"/>
    <x v="0"/>
    <x v="0"/>
  </r>
  <r>
    <x v="49"/>
    <x v="0"/>
    <x v="0"/>
    <x v="0"/>
  </r>
  <r>
    <x v="50"/>
    <x v="0"/>
    <x v="0"/>
    <x v="0"/>
  </r>
  <r>
    <x v="50"/>
    <x v="0"/>
    <x v="1"/>
    <x v="0"/>
  </r>
  <r>
    <x v="50"/>
    <x v="0"/>
    <x v="0"/>
    <x v="0"/>
  </r>
  <r>
    <x v="50"/>
    <x v="0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4">
  <r>
    <s v="851240"/>
    <x v="0"/>
    <x v="0"/>
    <s v="SHARED"/>
  </r>
  <r>
    <s v="851240"/>
    <x v="0"/>
    <x v="0"/>
    <s v="SHARED"/>
  </r>
  <r>
    <s v="851240"/>
    <x v="0"/>
    <x v="0"/>
    <s v="SHARED"/>
  </r>
  <r>
    <s v="851240"/>
    <x v="0"/>
    <x v="0"/>
    <s v="SHARED"/>
  </r>
  <r>
    <s v="870310"/>
    <x v="0"/>
    <x v="0"/>
    <s v="SHARED"/>
  </r>
  <r>
    <s v="870310"/>
    <x v="0"/>
    <x v="0"/>
    <s v="SHARED"/>
  </r>
  <r>
    <s v="870310"/>
    <x v="0"/>
    <x v="0"/>
    <s v="SHARED"/>
  </r>
  <r>
    <s v="870310"/>
    <x v="0"/>
    <x v="0"/>
    <s v="SHARED"/>
  </r>
  <r>
    <s v="870321"/>
    <x v="1"/>
    <x v="1"/>
    <s v="ICE_ONLY"/>
  </r>
  <r>
    <s v="870321"/>
    <x v="1"/>
    <x v="1"/>
    <s v="ICE_ONLY"/>
  </r>
  <r>
    <s v="870321"/>
    <x v="1"/>
    <x v="0"/>
    <s v="SHARED"/>
  </r>
  <r>
    <s v="870321"/>
    <x v="0"/>
    <x v="0"/>
    <s v="SHARED"/>
  </r>
  <r>
    <s v="870870"/>
    <x v="0"/>
    <x v="0"/>
    <s v="SHARED"/>
  </r>
  <r>
    <s v="870870"/>
    <x v="0"/>
    <x v="0"/>
    <s v="SHARED"/>
  </r>
  <r>
    <s v="870870"/>
    <x v="0"/>
    <x v="0"/>
    <s v="SHARED"/>
  </r>
  <r>
    <s v="870870"/>
    <x v="0"/>
    <x v="0"/>
    <s v="SHARED"/>
  </r>
  <r>
    <s v="870880"/>
    <x v="0"/>
    <x v="0"/>
    <s v="SHARED"/>
  </r>
  <r>
    <s v="870880"/>
    <x v="1"/>
    <x v="1"/>
    <s v="SHARED"/>
  </r>
  <r>
    <s v="870880"/>
    <x v="1"/>
    <x v="1"/>
    <s v="SHARED"/>
  </r>
  <r>
    <s v="870880"/>
    <x v="0"/>
    <x v="0"/>
    <s v="SHARED"/>
  </r>
  <r>
    <s v="870894"/>
    <x v="0"/>
    <x v="0"/>
    <s v="SHARED"/>
  </r>
  <r>
    <s v="870894"/>
    <x v="0"/>
    <x v="0"/>
    <s v="SHARED"/>
  </r>
  <r>
    <s v="870894"/>
    <x v="0"/>
    <x v="0"/>
    <s v="SHARED"/>
  </r>
  <r>
    <s v="870894"/>
    <x v="0"/>
    <x v="0"/>
    <s v="SHARED"/>
  </r>
  <r>
    <s v="870892"/>
    <x v="1"/>
    <x v="1"/>
    <s v="ICE_ONLY"/>
  </r>
  <r>
    <s v="870892"/>
    <x v="1"/>
    <x v="1"/>
    <s v="ICE_ONLY"/>
  </r>
  <r>
    <s v="870892"/>
    <x v="1"/>
    <x v="1"/>
    <s v="ICE_ONLY"/>
  </r>
  <r>
    <s v="870892"/>
    <x v="1"/>
    <x v="1"/>
    <s v="ICE_ONLY"/>
  </r>
  <r>
    <s v="870891"/>
    <x v="0"/>
    <x v="0"/>
    <s v="SHARED"/>
  </r>
  <r>
    <s v="870891"/>
    <x v="0"/>
    <x v="0"/>
    <s v="SHARED"/>
  </r>
  <r>
    <s v="870891"/>
    <x v="0"/>
    <x v="0"/>
    <s v="SHARED"/>
  </r>
  <r>
    <s v="870891"/>
    <x v="0"/>
    <x v="0"/>
    <s v="SHARED"/>
  </r>
  <r>
    <s v="870831"/>
    <x v="0"/>
    <x v="0"/>
    <s v="SHARED"/>
  </r>
  <r>
    <s v="870831"/>
    <x v="0"/>
    <x v="0"/>
    <s v="SHARED"/>
  </r>
  <r>
    <s v="870831"/>
    <x v="0"/>
    <x v="0"/>
    <s v="SHARED"/>
  </r>
  <r>
    <s v="870831"/>
    <x v="0"/>
    <x v="0"/>
    <s v="SHARED"/>
  </r>
  <r>
    <s v="870840"/>
    <x v="0"/>
    <x v="0"/>
    <s v="SHARED"/>
  </r>
  <r>
    <s v="870840"/>
    <x v="0"/>
    <x v="0"/>
    <s v="SHARED"/>
  </r>
  <r>
    <s v="870840"/>
    <x v="0"/>
    <x v="0"/>
    <s v="SHARED"/>
  </r>
  <r>
    <s v="870840"/>
    <x v="0"/>
    <x v="0"/>
    <s v="SHARED"/>
  </r>
  <r>
    <s v="870850"/>
    <x v="0"/>
    <x v="0"/>
    <s v="SHARED"/>
  </r>
  <r>
    <s v="870850"/>
    <x v="0"/>
    <x v="0"/>
    <s v="SHARED"/>
  </r>
  <r>
    <s v="870850"/>
    <x v="0"/>
    <x v="0"/>
    <s v="SHARED"/>
  </r>
  <r>
    <s v="870850"/>
    <x v="0"/>
    <x v="0"/>
    <s v="SHARED"/>
  </r>
  <r>
    <s v="870821"/>
    <x v="0"/>
    <x v="0"/>
    <s v="SHARED"/>
  </r>
  <r>
    <s v="870821"/>
    <x v="0"/>
    <x v="0"/>
    <s v="SHARED"/>
  </r>
  <r>
    <s v="870821"/>
    <x v="0"/>
    <x v="0"/>
    <s v="SHARED"/>
  </r>
  <r>
    <s v="870821"/>
    <x v="0"/>
    <x v="0"/>
    <s v="SHARED"/>
  </r>
  <r>
    <s v="870829"/>
    <x v="0"/>
    <x v="0"/>
    <s v="SHARED"/>
  </r>
  <r>
    <s v="870829"/>
    <x v="0"/>
    <x v="0"/>
    <s v="SHARED"/>
  </r>
  <r>
    <s v="870829"/>
    <x v="0"/>
    <x v="0"/>
    <s v="SHARED"/>
  </r>
  <r>
    <s v="870829"/>
    <x v="0"/>
    <x v="0"/>
    <s v="SHARED"/>
  </r>
  <r>
    <s v="870899"/>
    <x v="0"/>
    <x v="0"/>
    <s v="SHARED"/>
  </r>
  <r>
    <s v="870899"/>
    <x v="0"/>
    <x v="0"/>
    <s v="SHARED"/>
  </r>
  <r>
    <s v="870899"/>
    <x v="0"/>
    <x v="0"/>
    <s v="SHARED"/>
  </r>
  <r>
    <s v="870899"/>
    <x v="0"/>
    <x v="0"/>
    <s v="SHARED"/>
  </r>
  <r>
    <s v="870860"/>
    <x v="0"/>
    <x v="0"/>
    <s v="SHARED"/>
  </r>
  <r>
    <s v="870860"/>
    <x v="0"/>
    <x v="0"/>
    <s v="SHARED"/>
  </r>
  <r>
    <s v="870860"/>
    <x v="0"/>
    <x v="0"/>
    <s v="SHARED"/>
  </r>
  <r>
    <s v="870860"/>
    <x v="0"/>
    <x v="0"/>
    <s v="SHARED"/>
  </r>
  <r>
    <s v="870893"/>
    <x v="0"/>
    <x v="0"/>
    <s v="SHARED"/>
  </r>
  <r>
    <s v="870893"/>
    <x v="1"/>
    <x v="0"/>
    <s v="SHARED"/>
  </r>
  <r>
    <s v="870893"/>
    <x v="0"/>
    <x v="0"/>
    <s v="ICE_ONLY"/>
  </r>
  <r>
    <s v="870893"/>
    <x v="0"/>
    <x v="1"/>
    <s v="SHARED"/>
  </r>
  <r>
    <s v="870810"/>
    <x v="0"/>
    <x v="0"/>
    <s v="SHARED"/>
  </r>
  <r>
    <s v="870810"/>
    <x v="0"/>
    <x v="0"/>
    <s v="SHARED"/>
  </r>
  <r>
    <s v="870810"/>
    <x v="0"/>
    <x v="0"/>
    <s v="SHARED"/>
  </r>
  <r>
    <s v="870810"/>
    <x v="0"/>
    <x v="0"/>
    <s v="SHARED"/>
  </r>
  <r>
    <s v="870839"/>
    <x v="0"/>
    <x v="0"/>
    <s v="SHARED"/>
  </r>
  <r>
    <s v="870839"/>
    <x v="0"/>
    <x v="0"/>
    <s v="SHARED"/>
  </r>
  <r>
    <s v="870839"/>
    <x v="0"/>
    <x v="0"/>
    <s v="SHARED"/>
  </r>
  <r>
    <s v="870839"/>
    <x v="0"/>
    <x v="0"/>
    <s v="SHARED"/>
  </r>
  <r>
    <s v="870710"/>
    <x v="0"/>
    <x v="0"/>
    <s v="SHARED"/>
  </r>
  <r>
    <s v="870710"/>
    <x v="0"/>
    <x v="0"/>
    <s v="SHARED"/>
  </r>
  <r>
    <s v="870710"/>
    <x v="0"/>
    <x v="0"/>
    <s v="SHARED"/>
  </r>
  <r>
    <s v="870710"/>
    <x v="0"/>
    <x v="0"/>
    <s v="SHARED"/>
  </r>
  <r>
    <s v="870790"/>
    <x v="0"/>
    <x v="0"/>
    <s v="SHARED"/>
  </r>
  <r>
    <s v="870790"/>
    <x v="0"/>
    <x v="0"/>
    <s v="SHARED"/>
  </r>
  <r>
    <s v="870790"/>
    <x v="0"/>
    <x v="0"/>
    <s v="SHARED"/>
  </r>
  <r>
    <s v="870790"/>
    <x v="0"/>
    <x v="0"/>
    <s v="SHARED"/>
  </r>
  <r>
    <s v="851230"/>
    <x v="0"/>
    <x v="0"/>
    <s v="SHARED"/>
  </r>
  <r>
    <s v="851230"/>
    <x v="0"/>
    <x v="0"/>
    <s v="SHARED"/>
  </r>
  <r>
    <s v="851230"/>
    <x v="0"/>
    <x v="0"/>
    <s v="SHARED"/>
  </r>
  <r>
    <s v="851230"/>
    <x v="0"/>
    <x v="1"/>
    <s v="SHARED"/>
  </r>
  <r>
    <s v="401110"/>
    <x v="0"/>
    <x v="0"/>
    <s v="SHARED"/>
  </r>
  <r>
    <s v="401110"/>
    <x v="0"/>
    <x v="0"/>
    <s v="ICE_ONLY"/>
  </r>
  <r>
    <s v="401110"/>
    <x v="0"/>
    <x v="0"/>
    <s v="SHARED"/>
  </r>
  <r>
    <s v="401110"/>
    <x v="0"/>
    <x v="0"/>
    <s v="SHARED"/>
  </r>
  <r>
    <s v="401310"/>
    <x v="0"/>
    <x v="0"/>
    <s v="SHARED"/>
  </r>
  <r>
    <s v="401310"/>
    <x v="0"/>
    <x v="0"/>
    <s v="SHARED"/>
  </r>
  <r>
    <s v="401310"/>
    <x v="0"/>
    <x v="0"/>
    <s v="SHARED"/>
  </r>
  <r>
    <s v="401310"/>
    <x v="1"/>
    <x v="0"/>
    <s v="SHARED"/>
  </r>
  <r>
    <s v="401390"/>
    <x v="0"/>
    <x v="0"/>
    <s v="SHARED"/>
  </r>
  <r>
    <s v="401390"/>
    <x v="0"/>
    <x v="0"/>
    <s v="SHARED"/>
  </r>
  <r>
    <s v="401390"/>
    <x v="0"/>
    <x v="0"/>
    <s v="SHARED"/>
  </r>
  <r>
    <s v="401390"/>
    <x v="0"/>
    <x v="0"/>
    <s v="SHARED"/>
  </r>
  <r>
    <s v="401211"/>
    <x v="0"/>
    <x v="0"/>
    <s v="SHARED"/>
  </r>
  <r>
    <s v="401211"/>
    <x v="0"/>
    <x v="0"/>
    <s v="SHARED"/>
  </r>
  <r>
    <s v="401211"/>
    <x v="0"/>
    <x v="0"/>
    <s v="ICE_ONLY"/>
  </r>
  <r>
    <s v="401211"/>
    <x v="0"/>
    <x v="0"/>
    <s v="SHARED"/>
  </r>
  <r>
    <s v="852729"/>
    <x v="0"/>
    <x v="0"/>
    <s v="SHARED"/>
  </r>
  <r>
    <s v="852729"/>
    <x v="0"/>
    <x v="0"/>
    <s v="SHARED"/>
  </r>
  <r>
    <s v="852729"/>
    <x v="0"/>
    <x v="0"/>
    <s v="SHARED"/>
  </r>
  <r>
    <s v="852729"/>
    <x v="0"/>
    <x v="0"/>
    <s v="SHARED"/>
  </r>
  <r>
    <s v="852721"/>
    <x v="0"/>
    <x v="0"/>
    <s v="SHARED"/>
  </r>
  <r>
    <s v="852721"/>
    <x v="0"/>
    <x v="0"/>
    <s v="SHARED"/>
  </r>
  <r>
    <s v="852721"/>
    <x v="0"/>
    <x v="0"/>
    <s v="SHARED"/>
  </r>
  <r>
    <s v="852721"/>
    <x v="0"/>
    <x v="0"/>
    <s v="SHARED"/>
  </r>
  <r>
    <s v="830230"/>
    <x v="0"/>
    <x v="0"/>
    <s v="SHARED"/>
  </r>
  <r>
    <s v="830230"/>
    <x v="0"/>
    <x v="0"/>
    <s v="SHARED"/>
  </r>
  <r>
    <s v="830230"/>
    <x v="0"/>
    <x v="0"/>
    <s v="SHARED"/>
  </r>
  <r>
    <s v="830230"/>
    <x v="0"/>
    <x v="0"/>
    <s v="SHARED"/>
  </r>
  <r>
    <s v="851220"/>
    <x v="0"/>
    <x v="0"/>
    <s v="SHARED"/>
  </r>
  <r>
    <s v="851220"/>
    <x v="0"/>
    <x v="0"/>
    <s v="SHARED"/>
  </r>
  <r>
    <s v="851220"/>
    <x v="0"/>
    <x v="0"/>
    <s v="SHARED"/>
  </r>
  <r>
    <s v="851220"/>
    <x v="0"/>
    <x v="0"/>
    <s v="SHARED"/>
  </r>
  <r>
    <s v="853910"/>
    <x v="0"/>
    <x v="0"/>
    <s v="SHARED"/>
  </r>
  <r>
    <s v="853910"/>
    <x v="0"/>
    <x v="0"/>
    <s v="SHARED"/>
  </r>
  <r>
    <s v="853910"/>
    <x v="0"/>
    <x v="0"/>
    <s v="SHARED"/>
  </r>
  <r>
    <s v="853910"/>
    <x v="0"/>
    <x v="0"/>
    <s v="SHARED"/>
  </r>
  <r>
    <s v="854430"/>
    <x v="0"/>
    <x v="0"/>
    <s v="SHARED"/>
  </r>
  <r>
    <s v="854430"/>
    <x v="0"/>
    <x v="0"/>
    <s v="SHARED"/>
  </r>
  <r>
    <s v="854430"/>
    <x v="0"/>
    <x v="0"/>
    <s v="SHARED"/>
  </r>
  <r>
    <s v="854430"/>
    <x v="0"/>
    <x v="0"/>
    <s v="ICE_ONLY"/>
  </r>
  <r>
    <s v="851140"/>
    <x v="0"/>
    <x v="0"/>
    <s v="SHARED"/>
  </r>
  <r>
    <s v="851140"/>
    <x v="0"/>
    <x v="0"/>
    <s v="SHARED"/>
  </r>
  <r>
    <s v="851140"/>
    <x v="1"/>
    <x v="1"/>
    <s v="SHARED"/>
  </r>
  <r>
    <s v="851140"/>
    <x v="0"/>
    <x v="1"/>
    <s v="ICE_ONLY"/>
  </r>
  <r>
    <s v="851110"/>
    <x v="1"/>
    <x v="1"/>
    <s v="ICE_ONLY"/>
  </r>
  <r>
    <s v="851110"/>
    <x v="1"/>
    <x v="1"/>
    <s v="ICE_ONLY"/>
  </r>
  <r>
    <s v="851110"/>
    <x v="1"/>
    <x v="1"/>
    <s v="ICE_ONLY"/>
  </r>
  <r>
    <s v="851110"/>
    <x v="1"/>
    <x v="1"/>
    <s v="ICE_ONLY"/>
  </r>
  <r>
    <s v="851190"/>
    <x v="1"/>
    <x v="1"/>
    <s v="ICE_ONLY"/>
  </r>
  <r>
    <s v="851190"/>
    <x v="1"/>
    <x v="1"/>
    <s v="ICE_ONLY"/>
  </r>
  <r>
    <s v="851190"/>
    <x v="1"/>
    <x v="1"/>
    <s v="ICE_ONLY"/>
  </r>
  <r>
    <s v="851190"/>
    <x v="1"/>
    <x v="1"/>
    <s v="ICE_ONLY"/>
  </r>
  <r>
    <s v="851180"/>
    <x v="1"/>
    <x v="1"/>
    <s v="ICE_ONLY"/>
  </r>
  <r>
    <s v="851180"/>
    <x v="1"/>
    <x v="1"/>
    <s v="ICE_ONLY"/>
  </r>
  <r>
    <s v="851180"/>
    <x v="1"/>
    <x v="1"/>
    <s v="ICE_ONLY"/>
  </r>
  <r>
    <s v="851180"/>
    <x v="1"/>
    <x v="1"/>
    <s v="ICE_ONLY"/>
  </r>
  <r>
    <s v="851120"/>
    <x v="0"/>
    <x v="1"/>
    <s v="ICE_ONLY"/>
  </r>
  <r>
    <s v="851120"/>
    <x v="0"/>
    <x v="1"/>
    <s v="ICE_ONLY"/>
  </r>
  <r>
    <s v="851120"/>
    <x v="0"/>
    <x v="0"/>
    <s v="ICE_ONLY"/>
  </r>
  <r>
    <s v="851120"/>
    <x v="1"/>
    <x v="1"/>
    <s v="ICE_ONLY"/>
  </r>
  <r>
    <s v="851150"/>
    <x v="1"/>
    <x v="1"/>
    <s v="ICE_ONLY"/>
  </r>
  <r>
    <s v="851150"/>
    <x v="1"/>
    <x v="1"/>
    <s v="ICE_ONLY"/>
  </r>
  <r>
    <s v="851150"/>
    <x v="1"/>
    <x v="1"/>
    <s v="ICE_ONLY"/>
  </r>
  <r>
    <s v="851150"/>
    <x v="1"/>
    <x v="1"/>
    <s v="ICE_ONLY"/>
  </r>
  <r>
    <s v="851130"/>
    <x v="1"/>
    <x v="1"/>
    <s v="ICE_ONLY"/>
  </r>
  <r>
    <s v="851130"/>
    <x v="1"/>
    <x v="1"/>
    <s v="ICE_ONLY"/>
  </r>
  <r>
    <s v="851130"/>
    <x v="1"/>
    <x v="1"/>
    <s v="ICE_ONLY"/>
  </r>
  <r>
    <s v="851130"/>
    <x v="1"/>
    <x v="1"/>
    <s v="ICE_ONLY"/>
  </r>
  <r>
    <s v="840731"/>
    <x v="1"/>
    <x v="1"/>
    <s v="ICE_ONLY"/>
  </r>
  <r>
    <s v="840731"/>
    <x v="1"/>
    <x v="1"/>
    <s v="ICE_ONLY"/>
  </r>
  <r>
    <s v="840731"/>
    <x v="1"/>
    <x v="1"/>
    <s v="ICE_ONLY"/>
  </r>
  <r>
    <s v="840731"/>
    <x v="1"/>
    <x v="1"/>
    <s v="ICE_ONLY"/>
  </r>
  <r>
    <s v="840732"/>
    <x v="1"/>
    <x v="1"/>
    <s v="ICE_ONLY"/>
  </r>
  <r>
    <s v="840732"/>
    <x v="1"/>
    <x v="1"/>
    <s v="ICE_ONLY"/>
  </r>
  <r>
    <s v="840732"/>
    <x v="1"/>
    <x v="1"/>
    <s v="ICE_ONLY"/>
  </r>
  <r>
    <s v="840732"/>
    <x v="1"/>
    <x v="1"/>
    <s v="ICE_ONLY"/>
  </r>
  <r>
    <s v="840733"/>
    <x v="1"/>
    <x v="1"/>
    <s v="ICE_ONLY"/>
  </r>
  <r>
    <s v="840733"/>
    <x v="1"/>
    <x v="1"/>
    <s v="ICE_ONLY"/>
  </r>
  <r>
    <s v="840733"/>
    <x v="1"/>
    <x v="1"/>
    <s v="ICE_ONLY"/>
  </r>
  <r>
    <s v="840733"/>
    <x v="1"/>
    <x v="1"/>
    <s v="ICE_ONLY"/>
  </r>
  <r>
    <s v="840734"/>
    <x v="1"/>
    <x v="1"/>
    <s v="ICE_ONLY"/>
  </r>
  <r>
    <s v="840734"/>
    <x v="1"/>
    <x v="1"/>
    <s v="ICE_ONLY"/>
  </r>
  <r>
    <s v="840734"/>
    <x v="1"/>
    <x v="1"/>
    <s v="ICE_ONLY"/>
  </r>
  <r>
    <s v="840734"/>
    <x v="1"/>
    <x v="1"/>
    <s v="ICE_ONLY"/>
  </r>
  <r>
    <s v="840991"/>
    <x v="1"/>
    <x v="1"/>
    <s v="ICE_ONLY"/>
  </r>
  <r>
    <s v="840991"/>
    <x v="1"/>
    <x v="1"/>
    <s v="ICE_ONLY"/>
  </r>
  <r>
    <s v="840991"/>
    <x v="1"/>
    <x v="1"/>
    <s v="ICE_ONLY"/>
  </r>
  <r>
    <s v="840991"/>
    <x v="1"/>
    <x v="1"/>
    <s v="ICE_ONLY"/>
  </r>
  <r>
    <s v="840999"/>
    <x v="1"/>
    <x v="1"/>
    <s v="ICE_ONLY"/>
  </r>
  <r>
    <s v="840999"/>
    <x v="1"/>
    <x v="1"/>
    <s v="ICE_ONLY"/>
  </r>
  <r>
    <s v="840999"/>
    <x v="1"/>
    <x v="1"/>
    <s v="ICE_ONLY"/>
  </r>
  <r>
    <s v="840999"/>
    <x v="1"/>
    <x v="1"/>
    <s v="ICE_ONLY"/>
  </r>
  <r>
    <s v="840820"/>
    <x v="1"/>
    <x v="1"/>
    <s v="ICE_ONLY"/>
  </r>
  <r>
    <s v="840820"/>
    <x v="1"/>
    <x v="1"/>
    <s v="ICE_ONLY"/>
  </r>
  <r>
    <s v="840820"/>
    <x v="1"/>
    <x v="1"/>
    <s v="ICE_ONLY"/>
  </r>
  <r>
    <s v="840820"/>
    <x v="1"/>
    <x v="1"/>
    <s v="ICE_ONLY"/>
  </r>
  <r>
    <s v="850740"/>
    <x v="2"/>
    <x v="2"/>
    <s v="EV_ONLY"/>
  </r>
  <r>
    <s v="850740"/>
    <x v="0"/>
    <x v="0"/>
    <s v="EV_ONLY"/>
  </r>
  <r>
    <s v="850740"/>
    <x v="0"/>
    <x v="0"/>
    <s v="SHARED"/>
  </r>
  <r>
    <s v="850740"/>
    <x v="0"/>
    <x v="0"/>
    <s v="SHARED"/>
  </r>
  <r>
    <s v="850730"/>
    <x v="2"/>
    <x v="2"/>
    <s v="EV_ONLY"/>
  </r>
  <r>
    <s v="850730"/>
    <x v="0"/>
    <x v="0"/>
    <s v="SHARED"/>
  </r>
  <r>
    <s v="850730"/>
    <x v="0"/>
    <x v="0"/>
    <s v="SHARED"/>
  </r>
  <r>
    <s v="850730"/>
    <x v="0"/>
    <x v="2"/>
    <s v="SHARED"/>
  </r>
  <r>
    <s v="850780"/>
    <x v="2"/>
    <x v="2"/>
    <s v="SHARED"/>
  </r>
  <r>
    <s v="850780"/>
    <x v="2"/>
    <x v="0"/>
    <s v="SHARED"/>
  </r>
  <r>
    <s v="850780"/>
    <x v="0"/>
    <x v="0"/>
    <s v="EV_ONLY"/>
  </r>
  <r>
    <s v="850780"/>
    <x v="0"/>
    <x v="0"/>
    <s v="SHARED"/>
  </r>
  <r>
    <s v="850710"/>
    <x v="0"/>
    <x v="0"/>
    <s v="SHARED"/>
  </r>
  <r>
    <s v="850710"/>
    <x v="0"/>
    <x v="0"/>
    <s v="SHARED"/>
  </r>
  <r>
    <s v="850710"/>
    <x v="0"/>
    <x v="0"/>
    <s v="SHARED"/>
  </r>
  <r>
    <s v="850710"/>
    <x v="0"/>
    <x v="0"/>
    <s v="SHARED"/>
  </r>
  <r>
    <s v="850720"/>
    <x v="0"/>
    <x v="0"/>
    <s v="SHARED"/>
  </r>
  <r>
    <s v="850720"/>
    <x v="0"/>
    <x v="0"/>
    <s v="SHARED"/>
  </r>
  <r>
    <s v="850720"/>
    <x v="0"/>
    <x v="0"/>
    <s v="SHARED"/>
  </r>
  <r>
    <s v="850720"/>
    <x v="0"/>
    <x v="0"/>
    <s v="SHARED"/>
  </r>
  <r>
    <s v="870600"/>
    <x v="0"/>
    <x v="0"/>
    <s v="SHARED"/>
  </r>
  <r>
    <s v="870600"/>
    <x v="0"/>
    <x v="1"/>
    <s v="SHARED"/>
  </r>
  <r>
    <s v="870600"/>
    <x v="0"/>
    <x v="0"/>
    <s v="SHARED"/>
  </r>
  <r>
    <s v="870600"/>
    <x v="0"/>
    <x v="0"/>
    <s v="SHAR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2EC922-2F70-4F10-8B86-45A2C4B797B8}" name="PivotTable5" cacheId="1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C15" firstHeaderRow="1" firstDataRow="1" firstDataCol="3"/>
  <pivotFields count="4">
    <pivotField compact="0" outline="0" showAll="0" defaultSubtotal="0">
      <items count="51">
        <item x="21"/>
        <item x="24"/>
        <item x="22"/>
        <item x="23"/>
        <item x="27"/>
        <item x="38"/>
        <item x="39"/>
        <item x="40"/>
        <item x="41"/>
        <item x="44"/>
        <item x="42"/>
        <item x="43"/>
        <item x="48"/>
        <item x="49"/>
        <item x="46"/>
        <item x="45"/>
        <item x="47"/>
        <item x="32"/>
        <item x="35"/>
        <item x="37"/>
        <item x="31"/>
        <item x="36"/>
        <item x="34"/>
        <item x="33"/>
        <item x="28"/>
        <item x="20"/>
        <item x="0"/>
        <item x="26"/>
        <item x="25"/>
        <item x="29"/>
        <item x="30"/>
        <item x="1"/>
        <item x="2"/>
        <item x="50"/>
        <item x="18"/>
        <item x="19"/>
        <item x="16"/>
        <item x="11"/>
        <item x="12"/>
        <item x="8"/>
        <item x="17"/>
        <item x="9"/>
        <item x="10"/>
        <item x="14"/>
        <item x="3"/>
        <item x="4"/>
        <item x="7"/>
        <item x="6"/>
        <item x="15"/>
        <item x="5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2"/>
    <field x="1"/>
    <field x="3"/>
  </rowFields>
  <rowItems count="12">
    <i>
      <x/>
      <x/>
      <x/>
    </i>
    <i r="2">
      <x v="2"/>
    </i>
    <i r="1">
      <x v="2"/>
      <x v="2"/>
    </i>
    <i>
      <x v="1"/>
      <x v="1"/>
      <x v="1"/>
    </i>
    <i r="2">
      <x v="2"/>
    </i>
    <i r="1">
      <x v="2"/>
      <x v="1"/>
    </i>
    <i r="2">
      <x v="2"/>
    </i>
    <i>
      <x v="2"/>
      <x/>
      <x v="2"/>
    </i>
    <i r="1">
      <x v="1"/>
      <x v="2"/>
    </i>
    <i r="1">
      <x v="2"/>
      <x/>
    </i>
    <i r="2">
      <x v="1"/>
    </i>
    <i r="2">
      <x v="2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9EDEC9-BBEB-414A-A15C-551E7EB5EAD5}" name="PivotTable10" cacheId="2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3">
  <location ref="A3:B6" firstHeaderRow="1" firstDataRow="1" firstDataCol="1"/>
  <pivotFields count="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3"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3">
    <i>
      <x/>
    </i>
    <i>
      <x v="1"/>
    </i>
    <i>
      <x v="2"/>
    </i>
  </rowItems>
  <colItems count="1">
    <i/>
  </colItems>
  <dataFields count="1">
    <dataField name="Count of Classification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5"/>
  <sheetViews>
    <sheetView workbookViewId="0">
      <selection activeCell="F1" sqref="F1:F1048576"/>
    </sheetView>
  </sheetViews>
  <sheetFormatPr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7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0.88</v>
      </c>
      <c r="H2">
        <v>85</v>
      </c>
      <c r="I2">
        <v>90</v>
      </c>
      <c r="J2">
        <v>75</v>
      </c>
      <c r="K2">
        <v>65</v>
      </c>
      <c r="L2">
        <v>80</v>
      </c>
      <c r="M2">
        <v>90</v>
      </c>
      <c r="N2">
        <v>80</v>
      </c>
      <c r="O2" t="s">
        <v>22</v>
      </c>
      <c r="P2" t="s">
        <v>23</v>
      </c>
      <c r="Q2">
        <f>SUM(H2:M2)/6</f>
        <v>80.833333333333329</v>
      </c>
    </row>
    <row r="3" spans="1:17" x14ac:dyDescent="0.3">
      <c r="A3" t="s">
        <v>16</v>
      </c>
      <c r="B3" t="s">
        <v>17</v>
      </c>
      <c r="C3" t="s">
        <v>24</v>
      </c>
      <c r="D3" t="s">
        <v>25</v>
      </c>
      <c r="E3" t="s">
        <v>20</v>
      </c>
      <c r="F3" t="s">
        <v>21</v>
      </c>
      <c r="G3">
        <v>0.92</v>
      </c>
      <c r="H3">
        <v>75</v>
      </c>
      <c r="I3">
        <v>75</v>
      </c>
      <c r="J3">
        <v>75</v>
      </c>
      <c r="K3">
        <v>75</v>
      </c>
      <c r="L3">
        <v>75</v>
      </c>
      <c r="M3">
        <v>75</v>
      </c>
      <c r="N3">
        <v>75</v>
      </c>
      <c r="O3" t="s">
        <v>22</v>
      </c>
      <c r="P3" t="s">
        <v>23</v>
      </c>
      <c r="Q3">
        <f t="shared" ref="Q3:Q66" si="0">SUM(H3:M3)/6</f>
        <v>75</v>
      </c>
    </row>
    <row r="4" spans="1:17" x14ac:dyDescent="0.3">
      <c r="A4" t="s">
        <v>16</v>
      </c>
      <c r="B4" t="s">
        <v>17</v>
      </c>
      <c r="C4" t="s">
        <v>26</v>
      </c>
      <c r="D4" t="s">
        <v>27</v>
      </c>
      <c r="E4" t="s">
        <v>20</v>
      </c>
      <c r="F4" t="s">
        <v>21</v>
      </c>
      <c r="G4">
        <v>0.92</v>
      </c>
      <c r="H4">
        <v>75</v>
      </c>
      <c r="I4">
        <v>80</v>
      </c>
      <c r="J4">
        <v>60</v>
      </c>
      <c r="K4">
        <v>40</v>
      </c>
      <c r="L4">
        <v>90</v>
      </c>
      <c r="M4">
        <v>85</v>
      </c>
      <c r="N4">
        <v>71</v>
      </c>
      <c r="O4" t="s">
        <v>28</v>
      </c>
      <c r="P4" t="s">
        <v>23</v>
      </c>
      <c r="Q4">
        <f t="shared" si="0"/>
        <v>71.666666666666671</v>
      </c>
    </row>
    <row r="5" spans="1:17" x14ac:dyDescent="0.3">
      <c r="A5" t="s">
        <v>16</v>
      </c>
      <c r="B5" t="s">
        <v>17</v>
      </c>
      <c r="C5" t="s">
        <v>29</v>
      </c>
      <c r="D5" t="s">
        <v>30</v>
      </c>
      <c r="E5" t="s">
        <v>31</v>
      </c>
      <c r="F5" t="s">
        <v>21</v>
      </c>
      <c r="G5">
        <v>0.86</v>
      </c>
      <c r="H5">
        <v>75</v>
      </c>
      <c r="I5">
        <v>75</v>
      </c>
      <c r="J5">
        <v>75</v>
      </c>
      <c r="K5">
        <v>75</v>
      </c>
      <c r="L5">
        <v>75</v>
      </c>
      <c r="M5">
        <v>75</v>
      </c>
      <c r="N5">
        <v>75</v>
      </c>
      <c r="O5" t="s">
        <v>22</v>
      </c>
      <c r="P5" t="s">
        <v>23</v>
      </c>
      <c r="Q5">
        <f t="shared" si="0"/>
        <v>75</v>
      </c>
    </row>
    <row r="6" spans="1:17" x14ac:dyDescent="0.3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21</v>
      </c>
      <c r="G6">
        <v>0.95</v>
      </c>
      <c r="H6">
        <v>85</v>
      </c>
      <c r="I6">
        <v>70</v>
      </c>
      <c r="J6">
        <v>65</v>
      </c>
      <c r="K6">
        <v>80</v>
      </c>
      <c r="L6">
        <v>80</v>
      </c>
      <c r="M6">
        <v>60</v>
      </c>
      <c r="N6">
        <v>73</v>
      </c>
      <c r="O6" t="s">
        <v>28</v>
      </c>
      <c r="P6" t="s">
        <v>23</v>
      </c>
      <c r="Q6">
        <f t="shared" si="0"/>
        <v>73.333333333333329</v>
      </c>
    </row>
    <row r="7" spans="1:17" x14ac:dyDescent="0.3">
      <c r="A7" t="s">
        <v>32</v>
      </c>
      <c r="B7" t="s">
        <v>33</v>
      </c>
      <c r="C7" t="s">
        <v>37</v>
      </c>
      <c r="D7" t="s">
        <v>38</v>
      </c>
      <c r="E7" t="s">
        <v>39</v>
      </c>
      <c r="F7" t="s">
        <v>21</v>
      </c>
      <c r="G7">
        <v>0.85</v>
      </c>
      <c r="H7">
        <v>90</v>
      </c>
      <c r="I7">
        <v>85</v>
      </c>
      <c r="J7">
        <v>75</v>
      </c>
      <c r="K7">
        <v>95</v>
      </c>
      <c r="L7">
        <v>80</v>
      </c>
      <c r="M7">
        <v>80</v>
      </c>
      <c r="N7">
        <v>84</v>
      </c>
      <c r="O7" t="s">
        <v>22</v>
      </c>
      <c r="P7" t="s">
        <v>23</v>
      </c>
      <c r="Q7">
        <f t="shared" si="0"/>
        <v>84.166666666666671</v>
      </c>
    </row>
    <row r="8" spans="1:17" x14ac:dyDescent="0.3">
      <c r="A8" t="s">
        <v>32</v>
      </c>
      <c r="B8" t="s">
        <v>33</v>
      </c>
      <c r="C8" t="s">
        <v>40</v>
      </c>
      <c r="D8" t="s">
        <v>41</v>
      </c>
      <c r="E8" t="s">
        <v>42</v>
      </c>
      <c r="F8" t="s">
        <v>21</v>
      </c>
      <c r="G8">
        <v>0.95</v>
      </c>
      <c r="H8">
        <v>75</v>
      </c>
      <c r="I8">
        <v>75</v>
      </c>
      <c r="J8">
        <v>75</v>
      </c>
      <c r="K8">
        <v>75</v>
      </c>
      <c r="L8">
        <v>75</v>
      </c>
      <c r="M8">
        <v>75</v>
      </c>
      <c r="N8">
        <v>75</v>
      </c>
      <c r="O8" t="s">
        <v>22</v>
      </c>
      <c r="P8" t="s">
        <v>23</v>
      </c>
      <c r="Q8">
        <f t="shared" si="0"/>
        <v>75</v>
      </c>
    </row>
    <row r="9" spans="1:17" x14ac:dyDescent="0.3">
      <c r="A9" t="s">
        <v>32</v>
      </c>
      <c r="B9" t="s">
        <v>33</v>
      </c>
      <c r="C9" t="s">
        <v>43</v>
      </c>
      <c r="D9" t="s">
        <v>44</v>
      </c>
      <c r="E9" t="s">
        <v>45</v>
      </c>
      <c r="F9" t="s">
        <v>21</v>
      </c>
      <c r="G9">
        <v>0.9</v>
      </c>
      <c r="H9">
        <v>65</v>
      </c>
      <c r="I9">
        <v>70</v>
      </c>
      <c r="J9">
        <v>80</v>
      </c>
      <c r="K9">
        <v>30</v>
      </c>
      <c r="L9">
        <v>45</v>
      </c>
      <c r="M9">
        <v>80</v>
      </c>
      <c r="N9">
        <v>61</v>
      </c>
      <c r="O9" t="s">
        <v>28</v>
      </c>
      <c r="P9" t="s">
        <v>23</v>
      </c>
      <c r="Q9">
        <f t="shared" si="0"/>
        <v>61.666666666666664</v>
      </c>
    </row>
    <row r="10" spans="1:17" x14ac:dyDescent="0.3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>
        <v>0.92</v>
      </c>
      <c r="H10">
        <v>85</v>
      </c>
      <c r="I10">
        <v>80</v>
      </c>
      <c r="J10">
        <v>75</v>
      </c>
      <c r="K10">
        <v>90</v>
      </c>
      <c r="L10">
        <v>70</v>
      </c>
      <c r="M10">
        <v>70</v>
      </c>
      <c r="N10">
        <v>78</v>
      </c>
      <c r="O10" t="s">
        <v>22</v>
      </c>
      <c r="P10" t="s">
        <v>23</v>
      </c>
      <c r="Q10">
        <f t="shared" si="0"/>
        <v>78.333333333333329</v>
      </c>
    </row>
    <row r="11" spans="1:17" x14ac:dyDescent="0.3">
      <c r="A11" t="s">
        <v>46</v>
      </c>
      <c r="B11" t="s">
        <v>47</v>
      </c>
      <c r="C11" t="s">
        <v>52</v>
      </c>
      <c r="D11" t="s">
        <v>53</v>
      </c>
      <c r="E11" t="s">
        <v>39</v>
      </c>
      <c r="F11" t="s">
        <v>51</v>
      </c>
      <c r="G11">
        <v>0.88</v>
      </c>
      <c r="H11">
        <v>75</v>
      </c>
      <c r="I11">
        <v>80</v>
      </c>
      <c r="J11">
        <v>80</v>
      </c>
      <c r="K11">
        <v>60</v>
      </c>
      <c r="L11">
        <v>90</v>
      </c>
      <c r="M11">
        <v>65</v>
      </c>
      <c r="N11">
        <v>75</v>
      </c>
      <c r="O11" t="s">
        <v>22</v>
      </c>
      <c r="P11" t="s">
        <v>23</v>
      </c>
      <c r="Q11">
        <f t="shared" si="0"/>
        <v>75</v>
      </c>
    </row>
    <row r="12" spans="1:17" x14ac:dyDescent="0.3">
      <c r="A12" t="s">
        <v>46</v>
      </c>
      <c r="B12" t="s">
        <v>47</v>
      </c>
      <c r="C12" t="s">
        <v>54</v>
      </c>
      <c r="D12" t="s">
        <v>55</v>
      </c>
      <c r="E12" t="s">
        <v>56</v>
      </c>
      <c r="F12" t="s">
        <v>21</v>
      </c>
      <c r="G12">
        <v>0.93</v>
      </c>
      <c r="H12">
        <v>75</v>
      </c>
      <c r="I12">
        <v>80</v>
      </c>
      <c r="J12">
        <v>65</v>
      </c>
      <c r="K12">
        <v>90</v>
      </c>
      <c r="L12">
        <v>80</v>
      </c>
      <c r="M12">
        <v>85</v>
      </c>
      <c r="N12">
        <v>79</v>
      </c>
      <c r="O12" t="s">
        <v>22</v>
      </c>
      <c r="P12" t="s">
        <v>23</v>
      </c>
      <c r="Q12">
        <f t="shared" si="0"/>
        <v>79.166666666666671</v>
      </c>
    </row>
    <row r="13" spans="1:17" x14ac:dyDescent="0.3">
      <c r="A13" t="s">
        <v>46</v>
      </c>
      <c r="B13" t="s">
        <v>47</v>
      </c>
      <c r="C13" t="s">
        <v>57</v>
      </c>
      <c r="D13" t="s">
        <v>58</v>
      </c>
      <c r="E13" t="s">
        <v>42</v>
      </c>
      <c r="F13" t="s">
        <v>21</v>
      </c>
      <c r="G13">
        <v>0.9</v>
      </c>
      <c r="H13">
        <v>95</v>
      </c>
      <c r="I13">
        <v>80</v>
      </c>
      <c r="J13">
        <v>75</v>
      </c>
      <c r="K13">
        <v>90</v>
      </c>
      <c r="L13">
        <v>85</v>
      </c>
      <c r="M13">
        <v>90</v>
      </c>
      <c r="N13">
        <v>85</v>
      </c>
      <c r="O13" t="s">
        <v>22</v>
      </c>
      <c r="P13" t="s">
        <v>23</v>
      </c>
      <c r="Q13">
        <f t="shared" si="0"/>
        <v>85.833333333333329</v>
      </c>
    </row>
    <row r="14" spans="1:17" x14ac:dyDescent="0.3">
      <c r="A14" t="s">
        <v>59</v>
      </c>
      <c r="B14" t="s">
        <v>60</v>
      </c>
      <c r="C14" t="s">
        <v>61</v>
      </c>
      <c r="D14" t="s">
        <v>62</v>
      </c>
      <c r="E14" t="s">
        <v>63</v>
      </c>
      <c r="F14" t="s">
        <v>21</v>
      </c>
      <c r="G14">
        <v>0.93</v>
      </c>
      <c r="H14">
        <v>85</v>
      </c>
      <c r="I14">
        <v>75</v>
      </c>
      <c r="J14">
        <v>80</v>
      </c>
      <c r="K14">
        <v>60</v>
      </c>
      <c r="L14">
        <v>65</v>
      </c>
      <c r="M14">
        <v>70</v>
      </c>
      <c r="N14">
        <v>72</v>
      </c>
      <c r="O14" t="s">
        <v>28</v>
      </c>
      <c r="P14" t="s">
        <v>23</v>
      </c>
      <c r="Q14">
        <f t="shared" si="0"/>
        <v>72.5</v>
      </c>
    </row>
    <row r="15" spans="1:17" x14ac:dyDescent="0.3">
      <c r="A15" t="s">
        <v>59</v>
      </c>
      <c r="B15" t="s">
        <v>60</v>
      </c>
      <c r="C15" t="s">
        <v>64</v>
      </c>
      <c r="D15" t="s">
        <v>65</v>
      </c>
      <c r="E15" t="s">
        <v>63</v>
      </c>
      <c r="F15" t="s">
        <v>21</v>
      </c>
      <c r="G15">
        <v>0.95</v>
      </c>
      <c r="H15">
        <v>75</v>
      </c>
      <c r="I15">
        <v>75</v>
      </c>
      <c r="J15">
        <v>75</v>
      </c>
      <c r="K15">
        <v>75</v>
      </c>
      <c r="L15">
        <v>75</v>
      </c>
      <c r="M15">
        <v>75</v>
      </c>
      <c r="N15">
        <v>75</v>
      </c>
      <c r="O15" t="s">
        <v>22</v>
      </c>
      <c r="P15" t="s">
        <v>23</v>
      </c>
      <c r="Q15">
        <f t="shared" si="0"/>
        <v>75</v>
      </c>
    </row>
    <row r="16" spans="1:17" x14ac:dyDescent="0.3">
      <c r="A16" t="s">
        <v>59</v>
      </c>
      <c r="B16" t="s">
        <v>60</v>
      </c>
      <c r="C16" t="s">
        <v>66</v>
      </c>
      <c r="D16" t="s">
        <v>67</v>
      </c>
      <c r="E16" t="s">
        <v>63</v>
      </c>
      <c r="F16" t="s">
        <v>21</v>
      </c>
      <c r="G16">
        <v>0.92</v>
      </c>
      <c r="H16">
        <v>75</v>
      </c>
      <c r="I16">
        <v>80</v>
      </c>
      <c r="J16">
        <v>65</v>
      </c>
      <c r="K16">
        <v>40</v>
      </c>
      <c r="L16">
        <v>90</v>
      </c>
      <c r="M16">
        <v>70</v>
      </c>
      <c r="N16">
        <v>70</v>
      </c>
      <c r="O16" t="s">
        <v>28</v>
      </c>
      <c r="P16" t="s">
        <v>23</v>
      </c>
      <c r="Q16">
        <f t="shared" si="0"/>
        <v>70</v>
      </c>
    </row>
    <row r="17" spans="1:17" x14ac:dyDescent="0.3">
      <c r="A17" t="s">
        <v>59</v>
      </c>
      <c r="B17" t="s">
        <v>60</v>
      </c>
      <c r="C17" t="s">
        <v>68</v>
      </c>
      <c r="D17" t="s">
        <v>69</v>
      </c>
      <c r="E17" t="s">
        <v>70</v>
      </c>
      <c r="F17" t="s">
        <v>21</v>
      </c>
      <c r="G17">
        <v>0.9</v>
      </c>
      <c r="H17">
        <v>50</v>
      </c>
      <c r="I17">
        <v>60</v>
      </c>
      <c r="J17">
        <v>70</v>
      </c>
      <c r="K17">
        <v>20</v>
      </c>
      <c r="L17">
        <v>40</v>
      </c>
      <c r="M17">
        <v>30</v>
      </c>
      <c r="N17">
        <v>45</v>
      </c>
      <c r="O17" t="s">
        <v>71</v>
      </c>
      <c r="P17" t="s">
        <v>23</v>
      </c>
      <c r="Q17">
        <f t="shared" si="0"/>
        <v>45</v>
      </c>
    </row>
    <row r="18" spans="1:17" x14ac:dyDescent="0.3">
      <c r="A18" t="s">
        <v>72</v>
      </c>
      <c r="B18" t="s">
        <v>73</v>
      </c>
      <c r="C18" t="s">
        <v>74</v>
      </c>
      <c r="D18" t="s">
        <v>75</v>
      </c>
      <c r="E18" t="s">
        <v>76</v>
      </c>
      <c r="F18" t="s">
        <v>21</v>
      </c>
      <c r="G18">
        <v>0.7</v>
      </c>
      <c r="H18">
        <v>85</v>
      </c>
      <c r="I18">
        <v>90</v>
      </c>
      <c r="J18">
        <v>70</v>
      </c>
      <c r="K18">
        <v>60</v>
      </c>
      <c r="L18">
        <v>70</v>
      </c>
      <c r="M18">
        <v>75</v>
      </c>
      <c r="N18">
        <v>75</v>
      </c>
      <c r="O18" t="s">
        <v>22</v>
      </c>
      <c r="P18" t="s">
        <v>23</v>
      </c>
      <c r="Q18">
        <f t="shared" si="0"/>
        <v>75</v>
      </c>
    </row>
    <row r="19" spans="1:17" x14ac:dyDescent="0.3">
      <c r="A19" t="s">
        <v>72</v>
      </c>
      <c r="B19" t="s">
        <v>73</v>
      </c>
      <c r="C19" t="s">
        <v>77</v>
      </c>
      <c r="D19" t="s">
        <v>78</v>
      </c>
      <c r="E19" t="s">
        <v>76</v>
      </c>
      <c r="F19" t="s">
        <v>21</v>
      </c>
      <c r="G19">
        <v>0.85</v>
      </c>
      <c r="H19">
        <v>85</v>
      </c>
      <c r="I19">
        <v>70</v>
      </c>
      <c r="J19">
        <v>60</v>
      </c>
      <c r="K19">
        <v>40</v>
      </c>
      <c r="L19">
        <v>90</v>
      </c>
      <c r="M19">
        <v>65</v>
      </c>
      <c r="N19">
        <v>68</v>
      </c>
      <c r="O19" t="s">
        <v>28</v>
      </c>
      <c r="P19" t="s">
        <v>23</v>
      </c>
      <c r="Q19">
        <f t="shared" si="0"/>
        <v>68.333333333333329</v>
      </c>
    </row>
    <row r="20" spans="1:17" x14ac:dyDescent="0.3">
      <c r="A20" t="s">
        <v>72</v>
      </c>
      <c r="B20" t="s">
        <v>73</v>
      </c>
      <c r="C20" t="s">
        <v>79</v>
      </c>
      <c r="D20" t="s">
        <v>80</v>
      </c>
      <c r="E20" t="s">
        <v>76</v>
      </c>
      <c r="F20" t="s">
        <v>21</v>
      </c>
      <c r="G20">
        <v>0.75</v>
      </c>
      <c r="H20">
        <v>60</v>
      </c>
      <c r="I20">
        <v>75</v>
      </c>
      <c r="J20">
        <v>80</v>
      </c>
      <c r="K20">
        <v>30</v>
      </c>
      <c r="L20">
        <v>40</v>
      </c>
      <c r="M20">
        <v>20</v>
      </c>
      <c r="N20">
        <v>50</v>
      </c>
      <c r="O20" t="s">
        <v>71</v>
      </c>
      <c r="P20" t="s">
        <v>23</v>
      </c>
      <c r="Q20">
        <f t="shared" si="0"/>
        <v>50.833333333333336</v>
      </c>
    </row>
    <row r="21" spans="1:17" x14ac:dyDescent="0.3">
      <c r="A21" t="s">
        <v>72</v>
      </c>
      <c r="B21" t="s">
        <v>73</v>
      </c>
      <c r="C21" t="s">
        <v>81</v>
      </c>
      <c r="D21" t="s">
        <v>82</v>
      </c>
      <c r="E21" t="s">
        <v>76</v>
      </c>
      <c r="F21" t="s">
        <v>21</v>
      </c>
      <c r="G21">
        <v>0.85</v>
      </c>
      <c r="H21">
        <v>75</v>
      </c>
      <c r="I21">
        <v>80</v>
      </c>
      <c r="J21">
        <v>65</v>
      </c>
      <c r="K21">
        <v>40</v>
      </c>
      <c r="L21">
        <v>70</v>
      </c>
      <c r="M21">
        <v>80</v>
      </c>
      <c r="N21">
        <v>68</v>
      </c>
      <c r="O21" t="s">
        <v>28</v>
      </c>
      <c r="P21" t="s">
        <v>23</v>
      </c>
      <c r="Q21">
        <f t="shared" si="0"/>
        <v>68.333333333333329</v>
      </c>
    </row>
    <row r="22" spans="1:17" x14ac:dyDescent="0.3">
      <c r="A22" t="s">
        <v>83</v>
      </c>
      <c r="B22" t="s">
        <v>84</v>
      </c>
      <c r="C22" t="s">
        <v>85</v>
      </c>
      <c r="D22" t="s">
        <v>86</v>
      </c>
      <c r="E22" t="s">
        <v>87</v>
      </c>
      <c r="F22" t="s">
        <v>21</v>
      </c>
      <c r="G22">
        <v>0.95</v>
      </c>
      <c r="H22">
        <v>75</v>
      </c>
      <c r="I22">
        <v>80</v>
      </c>
      <c r="J22">
        <v>70</v>
      </c>
      <c r="K22">
        <v>70</v>
      </c>
      <c r="L22">
        <v>80</v>
      </c>
      <c r="M22">
        <v>85</v>
      </c>
      <c r="N22">
        <v>76</v>
      </c>
      <c r="O22" t="s">
        <v>22</v>
      </c>
      <c r="P22" t="s">
        <v>23</v>
      </c>
      <c r="Q22">
        <f t="shared" si="0"/>
        <v>76.666666666666671</v>
      </c>
    </row>
    <row r="23" spans="1:17" x14ac:dyDescent="0.3">
      <c r="A23" t="s">
        <v>83</v>
      </c>
      <c r="B23" t="s">
        <v>84</v>
      </c>
      <c r="C23" t="s">
        <v>88</v>
      </c>
      <c r="D23" t="s">
        <v>89</v>
      </c>
      <c r="E23" t="s">
        <v>87</v>
      </c>
      <c r="F23" t="s">
        <v>21</v>
      </c>
      <c r="G23">
        <v>0.8</v>
      </c>
      <c r="H23">
        <v>50</v>
      </c>
      <c r="I23">
        <v>60</v>
      </c>
      <c r="J23">
        <v>70</v>
      </c>
      <c r="K23">
        <v>30</v>
      </c>
      <c r="L23">
        <v>80</v>
      </c>
      <c r="M23">
        <v>75</v>
      </c>
      <c r="N23">
        <v>60</v>
      </c>
      <c r="O23" t="s">
        <v>28</v>
      </c>
      <c r="P23" t="s">
        <v>23</v>
      </c>
      <c r="Q23">
        <f t="shared" si="0"/>
        <v>60.833333333333336</v>
      </c>
    </row>
    <row r="24" spans="1:17" x14ac:dyDescent="0.3">
      <c r="A24" t="s">
        <v>83</v>
      </c>
      <c r="B24" t="s">
        <v>84</v>
      </c>
      <c r="C24" t="s">
        <v>90</v>
      </c>
      <c r="D24" t="s">
        <v>91</v>
      </c>
      <c r="E24" t="s">
        <v>87</v>
      </c>
      <c r="F24" t="s">
        <v>21</v>
      </c>
      <c r="G24">
        <v>0.9</v>
      </c>
      <c r="H24">
        <v>65</v>
      </c>
      <c r="I24">
        <v>70</v>
      </c>
      <c r="J24">
        <v>80</v>
      </c>
      <c r="K24">
        <v>30</v>
      </c>
      <c r="L24">
        <v>40</v>
      </c>
      <c r="M24">
        <v>60</v>
      </c>
      <c r="N24">
        <v>57</v>
      </c>
      <c r="O24" t="s">
        <v>71</v>
      </c>
      <c r="P24" t="s">
        <v>23</v>
      </c>
      <c r="Q24">
        <f t="shared" si="0"/>
        <v>57.5</v>
      </c>
    </row>
    <row r="25" spans="1:17" x14ac:dyDescent="0.3">
      <c r="A25" t="s">
        <v>83</v>
      </c>
      <c r="B25" t="s">
        <v>84</v>
      </c>
      <c r="C25" t="s">
        <v>92</v>
      </c>
      <c r="D25" t="s">
        <v>93</v>
      </c>
      <c r="E25" t="s">
        <v>87</v>
      </c>
      <c r="F25" t="s">
        <v>21</v>
      </c>
      <c r="G25">
        <v>0.9</v>
      </c>
      <c r="H25">
        <v>80</v>
      </c>
      <c r="I25">
        <v>85</v>
      </c>
      <c r="J25">
        <v>75</v>
      </c>
      <c r="K25">
        <v>65</v>
      </c>
      <c r="L25">
        <v>90</v>
      </c>
      <c r="M25">
        <v>95</v>
      </c>
      <c r="N25">
        <v>81</v>
      </c>
      <c r="O25" t="s">
        <v>22</v>
      </c>
      <c r="P25" t="s">
        <v>23</v>
      </c>
      <c r="Q25">
        <f t="shared" si="0"/>
        <v>81.666666666666671</v>
      </c>
    </row>
    <row r="26" spans="1:17" x14ac:dyDescent="0.3">
      <c r="A26" t="s">
        <v>94</v>
      </c>
      <c r="B26" t="s">
        <v>95</v>
      </c>
      <c r="C26" t="s">
        <v>96</v>
      </c>
      <c r="D26" t="s">
        <v>97</v>
      </c>
      <c r="E26" t="s">
        <v>98</v>
      </c>
      <c r="F26" t="s">
        <v>51</v>
      </c>
      <c r="G26">
        <v>0.92</v>
      </c>
      <c r="H26">
        <v>20</v>
      </c>
      <c r="I26">
        <v>30</v>
      </c>
      <c r="J26">
        <v>40</v>
      </c>
      <c r="K26">
        <v>10</v>
      </c>
      <c r="L26">
        <v>60</v>
      </c>
      <c r="M26">
        <v>50</v>
      </c>
      <c r="N26">
        <v>35</v>
      </c>
      <c r="O26" t="s">
        <v>99</v>
      </c>
      <c r="P26" t="s">
        <v>23</v>
      </c>
      <c r="Q26">
        <f t="shared" si="0"/>
        <v>35</v>
      </c>
    </row>
    <row r="27" spans="1:17" x14ac:dyDescent="0.3">
      <c r="A27" t="s">
        <v>94</v>
      </c>
      <c r="B27" t="s">
        <v>95</v>
      </c>
      <c r="C27" t="s">
        <v>100</v>
      </c>
      <c r="D27" t="s">
        <v>101</v>
      </c>
      <c r="E27" t="s">
        <v>98</v>
      </c>
      <c r="F27" t="s">
        <v>51</v>
      </c>
      <c r="G27">
        <v>0.9</v>
      </c>
      <c r="H27">
        <v>85</v>
      </c>
      <c r="I27">
        <v>70</v>
      </c>
      <c r="J27">
        <v>80</v>
      </c>
      <c r="K27">
        <v>60</v>
      </c>
      <c r="L27">
        <v>90</v>
      </c>
      <c r="M27">
        <v>75</v>
      </c>
      <c r="N27">
        <v>76</v>
      </c>
      <c r="O27" t="s">
        <v>22</v>
      </c>
      <c r="P27" t="s">
        <v>23</v>
      </c>
      <c r="Q27">
        <f t="shared" si="0"/>
        <v>76.666666666666671</v>
      </c>
    </row>
    <row r="28" spans="1:17" x14ac:dyDescent="0.3">
      <c r="A28" t="s">
        <v>94</v>
      </c>
      <c r="B28" t="s">
        <v>95</v>
      </c>
      <c r="C28" t="s">
        <v>102</v>
      </c>
      <c r="D28" t="s">
        <v>103</v>
      </c>
      <c r="E28" t="s">
        <v>98</v>
      </c>
      <c r="F28" t="s">
        <v>51</v>
      </c>
      <c r="G28">
        <v>0.85</v>
      </c>
      <c r="H28">
        <v>85</v>
      </c>
      <c r="I28">
        <v>75</v>
      </c>
      <c r="J28">
        <v>70</v>
      </c>
      <c r="K28">
        <v>60</v>
      </c>
      <c r="L28">
        <v>80</v>
      </c>
      <c r="M28">
        <v>80</v>
      </c>
      <c r="N28">
        <v>75</v>
      </c>
      <c r="O28" t="s">
        <v>22</v>
      </c>
      <c r="P28" t="s">
        <v>23</v>
      </c>
      <c r="Q28">
        <f t="shared" si="0"/>
        <v>75</v>
      </c>
    </row>
    <row r="29" spans="1:17" x14ac:dyDescent="0.3">
      <c r="A29" t="s">
        <v>94</v>
      </c>
      <c r="B29" t="s">
        <v>95</v>
      </c>
      <c r="C29" t="s">
        <v>104</v>
      </c>
      <c r="D29" t="s">
        <v>105</v>
      </c>
      <c r="E29" t="s">
        <v>98</v>
      </c>
      <c r="F29" t="s">
        <v>51</v>
      </c>
      <c r="G29">
        <v>0.92</v>
      </c>
      <c r="H29">
        <v>75</v>
      </c>
      <c r="I29">
        <v>85</v>
      </c>
      <c r="J29">
        <v>70</v>
      </c>
      <c r="K29">
        <v>60</v>
      </c>
      <c r="L29">
        <v>90</v>
      </c>
      <c r="M29">
        <v>80</v>
      </c>
      <c r="N29">
        <v>76</v>
      </c>
      <c r="O29" t="s">
        <v>22</v>
      </c>
      <c r="P29" t="s">
        <v>23</v>
      </c>
      <c r="Q29">
        <f t="shared" si="0"/>
        <v>76.666666666666671</v>
      </c>
    </row>
    <row r="30" spans="1:17" x14ac:dyDescent="0.3">
      <c r="A30" t="s">
        <v>106</v>
      </c>
      <c r="B30" t="s">
        <v>107</v>
      </c>
      <c r="C30" t="s">
        <v>108</v>
      </c>
      <c r="D30" t="s">
        <v>109</v>
      </c>
      <c r="E30" t="s">
        <v>110</v>
      </c>
      <c r="F30" t="s">
        <v>21</v>
      </c>
      <c r="G30">
        <v>0.88</v>
      </c>
      <c r="H30">
        <v>75</v>
      </c>
      <c r="I30">
        <v>85</v>
      </c>
      <c r="J30">
        <v>90</v>
      </c>
      <c r="K30">
        <v>45</v>
      </c>
      <c r="L30">
        <v>60</v>
      </c>
      <c r="M30">
        <v>70</v>
      </c>
      <c r="N30">
        <v>70</v>
      </c>
      <c r="O30" t="s">
        <v>28</v>
      </c>
      <c r="P30" t="s">
        <v>23</v>
      </c>
      <c r="Q30">
        <f t="shared" si="0"/>
        <v>70.833333333333329</v>
      </c>
    </row>
    <row r="31" spans="1:17" x14ac:dyDescent="0.3">
      <c r="A31" t="s">
        <v>106</v>
      </c>
      <c r="B31" t="s">
        <v>107</v>
      </c>
      <c r="C31" t="s">
        <v>111</v>
      </c>
      <c r="D31" t="s">
        <v>112</v>
      </c>
      <c r="E31" t="s">
        <v>110</v>
      </c>
      <c r="F31" t="s">
        <v>21</v>
      </c>
      <c r="G31">
        <v>0.85</v>
      </c>
      <c r="H31">
        <v>85</v>
      </c>
      <c r="I31">
        <v>75</v>
      </c>
      <c r="J31">
        <v>65</v>
      </c>
      <c r="K31">
        <v>90</v>
      </c>
      <c r="L31">
        <v>70</v>
      </c>
      <c r="M31">
        <v>80</v>
      </c>
      <c r="N31">
        <v>77</v>
      </c>
      <c r="O31" t="s">
        <v>22</v>
      </c>
      <c r="P31" t="s">
        <v>23</v>
      </c>
      <c r="Q31">
        <f t="shared" si="0"/>
        <v>77.5</v>
      </c>
    </row>
    <row r="32" spans="1:17" x14ac:dyDescent="0.3">
      <c r="A32" t="s">
        <v>106</v>
      </c>
      <c r="B32" t="s">
        <v>107</v>
      </c>
      <c r="C32" t="s">
        <v>113</v>
      </c>
      <c r="D32" t="s">
        <v>114</v>
      </c>
      <c r="E32" t="s">
        <v>110</v>
      </c>
      <c r="F32" t="s">
        <v>21</v>
      </c>
      <c r="G32">
        <v>0.88</v>
      </c>
      <c r="H32">
        <v>65</v>
      </c>
      <c r="I32">
        <v>75</v>
      </c>
      <c r="J32">
        <v>80</v>
      </c>
      <c r="K32">
        <v>45</v>
      </c>
      <c r="L32">
        <v>70</v>
      </c>
      <c r="M32">
        <v>70</v>
      </c>
      <c r="N32">
        <v>67</v>
      </c>
      <c r="O32" t="s">
        <v>28</v>
      </c>
      <c r="P32" t="s">
        <v>23</v>
      </c>
      <c r="Q32">
        <f t="shared" si="0"/>
        <v>67.5</v>
      </c>
    </row>
    <row r="33" spans="1:17" x14ac:dyDescent="0.3">
      <c r="A33" t="s">
        <v>106</v>
      </c>
      <c r="B33" t="s">
        <v>107</v>
      </c>
      <c r="C33" t="s">
        <v>115</v>
      </c>
      <c r="D33" t="s">
        <v>116</v>
      </c>
      <c r="E33" t="s">
        <v>110</v>
      </c>
      <c r="F33" t="s">
        <v>21</v>
      </c>
      <c r="G33">
        <v>0.85</v>
      </c>
      <c r="H33">
        <v>20</v>
      </c>
      <c r="I33">
        <v>40</v>
      </c>
      <c r="J33">
        <v>60</v>
      </c>
      <c r="K33">
        <v>10</v>
      </c>
      <c r="L33">
        <v>80</v>
      </c>
      <c r="M33">
        <v>50</v>
      </c>
      <c r="N33">
        <v>43</v>
      </c>
      <c r="O33" t="s">
        <v>71</v>
      </c>
      <c r="P33" t="s">
        <v>23</v>
      </c>
      <c r="Q33">
        <f t="shared" si="0"/>
        <v>43.333333333333336</v>
      </c>
    </row>
    <row r="34" spans="1:17" x14ac:dyDescent="0.3">
      <c r="A34" t="s">
        <v>117</v>
      </c>
      <c r="B34" t="s">
        <v>118</v>
      </c>
      <c r="C34" t="s">
        <v>119</v>
      </c>
      <c r="D34" t="s">
        <v>120</v>
      </c>
      <c r="E34" t="s">
        <v>70</v>
      </c>
      <c r="F34" t="s">
        <v>21</v>
      </c>
      <c r="G34">
        <v>0.85</v>
      </c>
      <c r="H34">
        <v>75</v>
      </c>
      <c r="I34">
        <v>80</v>
      </c>
      <c r="J34">
        <v>60</v>
      </c>
      <c r="K34">
        <v>40</v>
      </c>
      <c r="L34">
        <v>90</v>
      </c>
      <c r="M34">
        <v>70</v>
      </c>
      <c r="N34">
        <v>69</v>
      </c>
      <c r="O34" t="s">
        <v>28</v>
      </c>
      <c r="P34" t="s">
        <v>23</v>
      </c>
      <c r="Q34">
        <f t="shared" si="0"/>
        <v>69.166666666666671</v>
      </c>
    </row>
    <row r="35" spans="1:17" x14ac:dyDescent="0.3">
      <c r="A35" t="s">
        <v>117</v>
      </c>
      <c r="B35" t="s">
        <v>118</v>
      </c>
      <c r="C35" t="s">
        <v>121</v>
      </c>
      <c r="D35" t="s">
        <v>122</v>
      </c>
      <c r="E35" t="s">
        <v>70</v>
      </c>
      <c r="F35" t="s">
        <v>21</v>
      </c>
      <c r="G35">
        <v>0.93</v>
      </c>
      <c r="H35">
        <v>75</v>
      </c>
      <c r="I35">
        <v>75</v>
      </c>
      <c r="J35">
        <v>75</v>
      </c>
      <c r="K35">
        <v>75</v>
      </c>
      <c r="L35">
        <v>75</v>
      </c>
      <c r="M35">
        <v>75</v>
      </c>
      <c r="N35">
        <v>75</v>
      </c>
      <c r="O35" t="s">
        <v>22</v>
      </c>
      <c r="P35" t="s">
        <v>23</v>
      </c>
      <c r="Q35">
        <f t="shared" si="0"/>
        <v>75</v>
      </c>
    </row>
    <row r="36" spans="1:17" x14ac:dyDescent="0.3">
      <c r="A36" t="s">
        <v>117</v>
      </c>
      <c r="B36" t="s">
        <v>118</v>
      </c>
      <c r="C36" t="s">
        <v>123</v>
      </c>
      <c r="D36" t="s">
        <v>124</v>
      </c>
      <c r="E36" t="s">
        <v>70</v>
      </c>
      <c r="F36" t="s">
        <v>21</v>
      </c>
      <c r="G36">
        <v>0.88</v>
      </c>
      <c r="H36">
        <v>75</v>
      </c>
      <c r="I36">
        <v>80</v>
      </c>
      <c r="J36">
        <v>65</v>
      </c>
      <c r="K36">
        <v>40</v>
      </c>
      <c r="L36">
        <v>60</v>
      </c>
      <c r="M36">
        <v>85</v>
      </c>
      <c r="N36">
        <v>67</v>
      </c>
      <c r="O36" t="s">
        <v>28</v>
      </c>
      <c r="P36" t="s">
        <v>23</v>
      </c>
      <c r="Q36">
        <f t="shared" si="0"/>
        <v>67.5</v>
      </c>
    </row>
    <row r="37" spans="1:17" x14ac:dyDescent="0.3">
      <c r="A37" t="s">
        <v>117</v>
      </c>
      <c r="B37" t="s">
        <v>118</v>
      </c>
      <c r="C37" t="s">
        <v>125</v>
      </c>
      <c r="D37" t="s">
        <v>126</v>
      </c>
      <c r="E37" t="s">
        <v>70</v>
      </c>
      <c r="F37" t="s">
        <v>21</v>
      </c>
      <c r="G37">
        <v>0.88</v>
      </c>
      <c r="H37">
        <v>75</v>
      </c>
      <c r="I37">
        <v>75</v>
      </c>
      <c r="J37">
        <v>75</v>
      </c>
      <c r="K37">
        <v>75</v>
      </c>
      <c r="L37">
        <v>75</v>
      </c>
      <c r="M37">
        <v>75</v>
      </c>
      <c r="N37">
        <v>75</v>
      </c>
      <c r="O37" t="s">
        <v>22</v>
      </c>
      <c r="P37" t="s">
        <v>23</v>
      </c>
      <c r="Q37">
        <f t="shared" si="0"/>
        <v>75</v>
      </c>
    </row>
    <row r="38" spans="1:17" x14ac:dyDescent="0.3">
      <c r="A38" t="s">
        <v>127</v>
      </c>
      <c r="B38" t="s">
        <v>128</v>
      </c>
      <c r="C38" t="s">
        <v>129</v>
      </c>
      <c r="D38" t="s">
        <v>130</v>
      </c>
      <c r="E38" t="s">
        <v>131</v>
      </c>
      <c r="F38" t="s">
        <v>21</v>
      </c>
      <c r="G38">
        <v>0.85</v>
      </c>
      <c r="H38">
        <v>65</v>
      </c>
      <c r="I38">
        <v>70</v>
      </c>
      <c r="J38">
        <v>85</v>
      </c>
      <c r="K38">
        <v>60</v>
      </c>
      <c r="L38">
        <v>75</v>
      </c>
      <c r="M38">
        <v>70</v>
      </c>
      <c r="N38">
        <v>70</v>
      </c>
      <c r="O38" t="s">
        <v>28</v>
      </c>
      <c r="P38" t="s">
        <v>23</v>
      </c>
      <c r="Q38">
        <f t="shared" si="0"/>
        <v>70.833333333333329</v>
      </c>
    </row>
    <row r="39" spans="1:17" x14ac:dyDescent="0.3">
      <c r="A39" t="s">
        <v>127</v>
      </c>
      <c r="B39" t="s">
        <v>128</v>
      </c>
      <c r="C39" t="s">
        <v>132</v>
      </c>
      <c r="D39" t="s">
        <v>133</v>
      </c>
      <c r="E39" t="s">
        <v>131</v>
      </c>
      <c r="F39" t="s">
        <v>21</v>
      </c>
      <c r="G39">
        <v>0.85</v>
      </c>
      <c r="H39">
        <v>20</v>
      </c>
      <c r="I39">
        <v>45</v>
      </c>
      <c r="J39">
        <v>60</v>
      </c>
      <c r="K39">
        <v>10</v>
      </c>
      <c r="L39">
        <v>30</v>
      </c>
      <c r="M39">
        <v>75</v>
      </c>
      <c r="N39">
        <v>40</v>
      </c>
      <c r="O39" t="s">
        <v>71</v>
      </c>
      <c r="P39" t="s">
        <v>23</v>
      </c>
      <c r="Q39">
        <f t="shared" si="0"/>
        <v>40</v>
      </c>
    </row>
    <row r="40" spans="1:17" x14ac:dyDescent="0.3">
      <c r="A40" t="s">
        <v>127</v>
      </c>
      <c r="B40" t="s">
        <v>128</v>
      </c>
      <c r="C40" t="s">
        <v>134</v>
      </c>
      <c r="D40" t="s">
        <v>135</v>
      </c>
      <c r="E40" t="s">
        <v>131</v>
      </c>
      <c r="F40" t="s">
        <v>21</v>
      </c>
      <c r="G40">
        <v>0.85</v>
      </c>
      <c r="H40">
        <v>60</v>
      </c>
      <c r="I40">
        <v>75</v>
      </c>
      <c r="J40">
        <v>80</v>
      </c>
      <c r="K40">
        <v>30</v>
      </c>
      <c r="L40">
        <v>70</v>
      </c>
      <c r="M40">
        <v>40</v>
      </c>
      <c r="N40">
        <v>59</v>
      </c>
      <c r="O40" t="s">
        <v>71</v>
      </c>
      <c r="P40" t="s">
        <v>23</v>
      </c>
      <c r="Q40">
        <f t="shared" si="0"/>
        <v>59.166666666666664</v>
      </c>
    </row>
    <row r="41" spans="1:17" x14ac:dyDescent="0.3">
      <c r="A41" t="s">
        <v>127</v>
      </c>
      <c r="B41" t="s">
        <v>128</v>
      </c>
      <c r="C41" t="s">
        <v>136</v>
      </c>
      <c r="D41" t="s">
        <v>137</v>
      </c>
      <c r="E41" t="s">
        <v>131</v>
      </c>
      <c r="F41" t="s">
        <v>21</v>
      </c>
      <c r="G41">
        <v>0.88</v>
      </c>
      <c r="H41">
        <v>50</v>
      </c>
      <c r="I41">
        <v>70</v>
      </c>
      <c r="J41">
        <v>85</v>
      </c>
      <c r="K41">
        <v>75</v>
      </c>
      <c r="L41">
        <v>60</v>
      </c>
      <c r="M41">
        <v>70</v>
      </c>
      <c r="N41">
        <v>68</v>
      </c>
      <c r="O41" t="s">
        <v>28</v>
      </c>
      <c r="P41" t="s">
        <v>23</v>
      </c>
      <c r="Q41">
        <f t="shared" si="0"/>
        <v>68.333333333333329</v>
      </c>
    </row>
    <row r="42" spans="1:17" x14ac:dyDescent="0.3">
      <c r="A42" t="s">
        <v>138</v>
      </c>
      <c r="B42" t="s">
        <v>139</v>
      </c>
      <c r="C42" t="s">
        <v>140</v>
      </c>
      <c r="D42" t="s">
        <v>141</v>
      </c>
      <c r="E42" t="s">
        <v>142</v>
      </c>
      <c r="F42" t="s">
        <v>21</v>
      </c>
      <c r="G42">
        <v>0.9</v>
      </c>
      <c r="H42">
        <v>85</v>
      </c>
      <c r="I42">
        <v>75</v>
      </c>
      <c r="J42">
        <v>65</v>
      </c>
      <c r="K42">
        <v>95</v>
      </c>
      <c r="L42">
        <v>70</v>
      </c>
      <c r="M42">
        <v>80</v>
      </c>
      <c r="N42">
        <v>78</v>
      </c>
      <c r="O42" t="s">
        <v>22</v>
      </c>
      <c r="P42" t="s">
        <v>23</v>
      </c>
      <c r="Q42">
        <f t="shared" si="0"/>
        <v>78.333333333333329</v>
      </c>
    </row>
    <row r="43" spans="1:17" x14ac:dyDescent="0.3">
      <c r="A43" t="s">
        <v>138</v>
      </c>
      <c r="B43" t="s">
        <v>139</v>
      </c>
      <c r="C43" t="s">
        <v>143</v>
      </c>
      <c r="D43" t="s">
        <v>144</v>
      </c>
      <c r="E43" t="s">
        <v>142</v>
      </c>
      <c r="F43" t="s">
        <v>21</v>
      </c>
      <c r="G43">
        <v>0.85</v>
      </c>
      <c r="H43">
        <v>85</v>
      </c>
      <c r="I43">
        <v>90</v>
      </c>
      <c r="J43">
        <v>70</v>
      </c>
      <c r="K43">
        <v>60</v>
      </c>
      <c r="L43">
        <v>75</v>
      </c>
      <c r="M43">
        <v>80</v>
      </c>
      <c r="N43">
        <v>76</v>
      </c>
      <c r="O43" t="s">
        <v>22</v>
      </c>
      <c r="P43" t="s">
        <v>23</v>
      </c>
      <c r="Q43">
        <f t="shared" si="0"/>
        <v>76.666666666666671</v>
      </c>
    </row>
    <row r="44" spans="1:17" x14ac:dyDescent="0.3">
      <c r="A44" t="s">
        <v>138</v>
      </c>
      <c r="B44" t="s">
        <v>139</v>
      </c>
      <c r="C44" t="s">
        <v>145</v>
      </c>
      <c r="D44" t="s">
        <v>146</v>
      </c>
      <c r="E44" t="s">
        <v>142</v>
      </c>
      <c r="F44" t="s">
        <v>21</v>
      </c>
      <c r="G44">
        <v>0.87</v>
      </c>
      <c r="H44">
        <v>85</v>
      </c>
      <c r="I44">
        <v>75</v>
      </c>
      <c r="J44">
        <v>80</v>
      </c>
      <c r="K44">
        <v>60</v>
      </c>
      <c r="L44">
        <v>70</v>
      </c>
      <c r="M44">
        <v>90</v>
      </c>
      <c r="N44">
        <v>76</v>
      </c>
      <c r="O44" t="s">
        <v>22</v>
      </c>
      <c r="P44" t="s">
        <v>23</v>
      </c>
      <c r="Q44">
        <f t="shared" si="0"/>
        <v>76.666666666666671</v>
      </c>
    </row>
    <row r="45" spans="1:17" x14ac:dyDescent="0.3">
      <c r="A45" t="s">
        <v>138</v>
      </c>
      <c r="B45" t="s">
        <v>139</v>
      </c>
      <c r="C45" t="s">
        <v>147</v>
      </c>
      <c r="D45" t="s">
        <v>148</v>
      </c>
      <c r="E45" t="s">
        <v>149</v>
      </c>
      <c r="F45" t="s">
        <v>21</v>
      </c>
      <c r="G45">
        <v>0.92</v>
      </c>
      <c r="H45">
        <v>70</v>
      </c>
      <c r="I45">
        <v>65</v>
      </c>
      <c r="J45">
        <v>80</v>
      </c>
      <c r="K45">
        <v>50</v>
      </c>
      <c r="L45">
        <v>90</v>
      </c>
      <c r="M45">
        <v>75</v>
      </c>
      <c r="N45">
        <v>71</v>
      </c>
      <c r="O45" t="s">
        <v>28</v>
      </c>
      <c r="P45" t="s">
        <v>23</v>
      </c>
      <c r="Q45">
        <f t="shared" si="0"/>
        <v>71.666666666666671</v>
      </c>
    </row>
    <row r="46" spans="1:17" x14ac:dyDescent="0.3">
      <c r="A46" t="s">
        <v>150</v>
      </c>
      <c r="B46" t="s">
        <v>151</v>
      </c>
      <c r="C46" t="s">
        <v>152</v>
      </c>
      <c r="D46" t="s">
        <v>153</v>
      </c>
      <c r="E46" t="s">
        <v>154</v>
      </c>
      <c r="F46" t="s">
        <v>21</v>
      </c>
      <c r="G46">
        <v>0.92</v>
      </c>
      <c r="H46">
        <v>90</v>
      </c>
      <c r="I46">
        <v>85</v>
      </c>
      <c r="J46">
        <v>75</v>
      </c>
      <c r="K46">
        <v>60</v>
      </c>
      <c r="L46">
        <v>70</v>
      </c>
      <c r="M46">
        <v>80</v>
      </c>
      <c r="N46">
        <v>76</v>
      </c>
      <c r="O46" t="s">
        <v>22</v>
      </c>
      <c r="P46" t="s">
        <v>23</v>
      </c>
      <c r="Q46">
        <f t="shared" si="0"/>
        <v>76.666666666666671</v>
      </c>
    </row>
    <row r="47" spans="1:17" x14ac:dyDescent="0.3">
      <c r="A47" t="s">
        <v>150</v>
      </c>
      <c r="B47" t="s">
        <v>151</v>
      </c>
      <c r="C47" t="s">
        <v>155</v>
      </c>
      <c r="D47" t="s">
        <v>156</v>
      </c>
      <c r="E47" t="s">
        <v>154</v>
      </c>
      <c r="F47" t="s">
        <v>21</v>
      </c>
      <c r="G47">
        <v>0.92</v>
      </c>
      <c r="H47">
        <v>85</v>
      </c>
      <c r="I47">
        <v>90</v>
      </c>
      <c r="J47">
        <v>70</v>
      </c>
      <c r="K47">
        <v>60</v>
      </c>
      <c r="L47">
        <v>80</v>
      </c>
      <c r="M47">
        <v>80</v>
      </c>
      <c r="N47">
        <v>77</v>
      </c>
      <c r="O47" t="s">
        <v>22</v>
      </c>
      <c r="P47" t="s">
        <v>23</v>
      </c>
      <c r="Q47">
        <f t="shared" si="0"/>
        <v>77.5</v>
      </c>
    </row>
    <row r="48" spans="1:17" x14ac:dyDescent="0.3">
      <c r="A48" t="s">
        <v>150</v>
      </c>
      <c r="B48" t="s">
        <v>151</v>
      </c>
      <c r="C48" t="s">
        <v>157</v>
      </c>
      <c r="D48" t="s">
        <v>158</v>
      </c>
      <c r="E48" t="s">
        <v>154</v>
      </c>
      <c r="F48" t="s">
        <v>21</v>
      </c>
      <c r="G48">
        <v>0.92</v>
      </c>
      <c r="H48">
        <v>75</v>
      </c>
      <c r="I48">
        <v>75</v>
      </c>
      <c r="J48">
        <v>75</v>
      </c>
      <c r="K48">
        <v>70</v>
      </c>
      <c r="L48">
        <v>75</v>
      </c>
      <c r="M48">
        <v>75</v>
      </c>
      <c r="N48">
        <v>74</v>
      </c>
      <c r="O48" t="s">
        <v>28</v>
      </c>
      <c r="P48" t="s">
        <v>23</v>
      </c>
      <c r="Q48">
        <f t="shared" si="0"/>
        <v>74.166666666666671</v>
      </c>
    </row>
    <row r="49" spans="1:17" x14ac:dyDescent="0.3">
      <c r="A49" t="s">
        <v>150</v>
      </c>
      <c r="B49" t="s">
        <v>151</v>
      </c>
      <c r="C49" t="s">
        <v>159</v>
      </c>
      <c r="D49" t="s">
        <v>160</v>
      </c>
      <c r="E49" t="s">
        <v>154</v>
      </c>
      <c r="F49" t="s">
        <v>21</v>
      </c>
      <c r="G49">
        <v>0.88</v>
      </c>
      <c r="H49">
        <v>95</v>
      </c>
      <c r="I49">
        <v>95</v>
      </c>
      <c r="J49">
        <v>85</v>
      </c>
      <c r="K49">
        <v>70</v>
      </c>
      <c r="L49">
        <v>90</v>
      </c>
      <c r="M49">
        <v>95</v>
      </c>
      <c r="N49">
        <v>88</v>
      </c>
      <c r="O49" t="s">
        <v>22</v>
      </c>
      <c r="P49" t="s">
        <v>23</v>
      </c>
      <c r="Q49">
        <f t="shared" si="0"/>
        <v>88.333333333333329</v>
      </c>
    </row>
    <row r="50" spans="1:17" x14ac:dyDescent="0.3">
      <c r="A50" t="s">
        <v>161</v>
      </c>
      <c r="B50" t="s">
        <v>162</v>
      </c>
      <c r="C50" t="s">
        <v>163</v>
      </c>
      <c r="D50" t="s">
        <v>164</v>
      </c>
      <c r="E50" t="s">
        <v>165</v>
      </c>
      <c r="F50" t="s">
        <v>21</v>
      </c>
      <c r="G50">
        <v>0.95</v>
      </c>
      <c r="H50">
        <v>70</v>
      </c>
      <c r="I50">
        <v>75</v>
      </c>
      <c r="J50">
        <v>80</v>
      </c>
      <c r="K50">
        <v>95</v>
      </c>
      <c r="L50">
        <v>70</v>
      </c>
      <c r="M50">
        <v>95</v>
      </c>
      <c r="N50">
        <v>80</v>
      </c>
      <c r="O50" t="s">
        <v>22</v>
      </c>
      <c r="P50" t="s">
        <v>23</v>
      </c>
      <c r="Q50">
        <f t="shared" si="0"/>
        <v>80.833333333333329</v>
      </c>
    </row>
    <row r="51" spans="1:17" x14ac:dyDescent="0.3">
      <c r="A51" t="s">
        <v>161</v>
      </c>
      <c r="B51" t="s">
        <v>162</v>
      </c>
      <c r="C51" t="s">
        <v>166</v>
      </c>
      <c r="D51" t="s">
        <v>167</v>
      </c>
      <c r="E51" t="s">
        <v>165</v>
      </c>
      <c r="F51" t="s">
        <v>21</v>
      </c>
      <c r="G51">
        <v>0.92</v>
      </c>
      <c r="H51">
        <v>75</v>
      </c>
      <c r="I51">
        <v>75</v>
      </c>
      <c r="J51">
        <v>75</v>
      </c>
      <c r="K51">
        <v>75</v>
      </c>
      <c r="L51">
        <v>75</v>
      </c>
      <c r="M51">
        <v>75</v>
      </c>
      <c r="N51">
        <v>75</v>
      </c>
      <c r="O51" t="s">
        <v>22</v>
      </c>
      <c r="P51" t="s">
        <v>23</v>
      </c>
      <c r="Q51">
        <f t="shared" si="0"/>
        <v>75</v>
      </c>
    </row>
    <row r="52" spans="1:17" x14ac:dyDescent="0.3">
      <c r="A52" t="s">
        <v>161</v>
      </c>
      <c r="B52" t="s">
        <v>162</v>
      </c>
      <c r="C52" t="s">
        <v>168</v>
      </c>
      <c r="D52" t="s">
        <v>169</v>
      </c>
      <c r="E52" t="s">
        <v>170</v>
      </c>
      <c r="F52" t="s">
        <v>21</v>
      </c>
      <c r="G52">
        <v>0.87</v>
      </c>
      <c r="H52">
        <v>75</v>
      </c>
      <c r="I52">
        <v>85</v>
      </c>
      <c r="J52">
        <v>65</v>
      </c>
      <c r="K52">
        <v>55</v>
      </c>
      <c r="L52">
        <v>90</v>
      </c>
      <c r="M52">
        <v>80</v>
      </c>
      <c r="N52">
        <v>75</v>
      </c>
      <c r="O52" t="s">
        <v>22</v>
      </c>
      <c r="P52" t="s">
        <v>23</v>
      </c>
      <c r="Q52">
        <f t="shared" si="0"/>
        <v>75</v>
      </c>
    </row>
    <row r="53" spans="1:17" x14ac:dyDescent="0.3">
      <c r="A53" t="s">
        <v>161</v>
      </c>
      <c r="B53" t="s">
        <v>162</v>
      </c>
      <c r="C53" t="s">
        <v>171</v>
      </c>
      <c r="D53" t="s">
        <v>172</v>
      </c>
      <c r="E53" t="s">
        <v>173</v>
      </c>
      <c r="F53" t="s">
        <v>21</v>
      </c>
      <c r="G53">
        <v>0.9</v>
      </c>
      <c r="H53">
        <v>85</v>
      </c>
      <c r="I53">
        <v>90</v>
      </c>
      <c r="J53">
        <v>75</v>
      </c>
      <c r="K53">
        <v>80</v>
      </c>
      <c r="L53">
        <v>70</v>
      </c>
      <c r="M53">
        <v>90</v>
      </c>
      <c r="N53">
        <v>81</v>
      </c>
      <c r="O53" t="s">
        <v>22</v>
      </c>
      <c r="P53" t="s">
        <v>23</v>
      </c>
      <c r="Q53">
        <f t="shared" si="0"/>
        <v>81.666666666666671</v>
      </c>
    </row>
    <row r="54" spans="1:17" x14ac:dyDescent="0.3">
      <c r="A54" t="s">
        <v>174</v>
      </c>
      <c r="B54" t="s">
        <v>175</v>
      </c>
      <c r="C54" t="s">
        <v>176</v>
      </c>
      <c r="D54" t="s">
        <v>177</v>
      </c>
      <c r="E54" t="s">
        <v>39</v>
      </c>
      <c r="F54" t="s">
        <v>21</v>
      </c>
      <c r="G54">
        <v>0.88</v>
      </c>
      <c r="H54">
        <v>75</v>
      </c>
      <c r="I54">
        <v>80</v>
      </c>
      <c r="J54">
        <v>65</v>
      </c>
      <c r="K54">
        <v>90</v>
      </c>
      <c r="L54">
        <v>80</v>
      </c>
      <c r="M54">
        <v>60</v>
      </c>
      <c r="N54">
        <v>75</v>
      </c>
      <c r="O54" t="s">
        <v>22</v>
      </c>
      <c r="P54" t="s">
        <v>23</v>
      </c>
      <c r="Q54">
        <f t="shared" si="0"/>
        <v>75</v>
      </c>
    </row>
    <row r="55" spans="1:17" x14ac:dyDescent="0.3">
      <c r="A55" t="s">
        <v>174</v>
      </c>
      <c r="B55" t="s">
        <v>175</v>
      </c>
      <c r="C55" t="s">
        <v>178</v>
      </c>
      <c r="D55" t="s">
        <v>179</v>
      </c>
      <c r="E55" t="s">
        <v>180</v>
      </c>
      <c r="F55" t="s">
        <v>21</v>
      </c>
      <c r="G55">
        <v>0.9</v>
      </c>
      <c r="H55">
        <v>75</v>
      </c>
      <c r="I55">
        <v>75</v>
      </c>
      <c r="J55">
        <v>75</v>
      </c>
      <c r="K55">
        <v>75</v>
      </c>
      <c r="L55">
        <v>75</v>
      </c>
      <c r="M55">
        <v>75</v>
      </c>
      <c r="N55">
        <v>75</v>
      </c>
      <c r="O55" t="s">
        <v>22</v>
      </c>
      <c r="P55" t="s">
        <v>23</v>
      </c>
      <c r="Q55">
        <f t="shared" si="0"/>
        <v>75</v>
      </c>
    </row>
    <row r="56" spans="1:17" x14ac:dyDescent="0.3">
      <c r="A56" t="s">
        <v>174</v>
      </c>
      <c r="B56" t="s">
        <v>175</v>
      </c>
      <c r="C56" t="s">
        <v>181</v>
      </c>
      <c r="D56" t="s">
        <v>182</v>
      </c>
      <c r="E56" t="s">
        <v>87</v>
      </c>
      <c r="F56" t="s">
        <v>21</v>
      </c>
      <c r="G56">
        <v>0.92</v>
      </c>
      <c r="H56">
        <v>85</v>
      </c>
      <c r="I56">
        <v>90</v>
      </c>
      <c r="J56">
        <v>70</v>
      </c>
      <c r="K56">
        <v>60</v>
      </c>
      <c r="L56">
        <v>80</v>
      </c>
      <c r="M56">
        <v>65</v>
      </c>
      <c r="N56">
        <v>75</v>
      </c>
      <c r="O56" t="s">
        <v>22</v>
      </c>
      <c r="P56" t="s">
        <v>23</v>
      </c>
      <c r="Q56">
        <f t="shared" si="0"/>
        <v>75</v>
      </c>
    </row>
    <row r="57" spans="1:17" x14ac:dyDescent="0.3">
      <c r="A57" t="s">
        <v>174</v>
      </c>
      <c r="B57" t="s">
        <v>175</v>
      </c>
      <c r="C57" t="s">
        <v>183</v>
      </c>
      <c r="D57" t="s">
        <v>184</v>
      </c>
      <c r="E57" t="s">
        <v>70</v>
      </c>
      <c r="F57" t="s">
        <v>21</v>
      </c>
      <c r="G57">
        <v>0.93</v>
      </c>
      <c r="H57">
        <v>75</v>
      </c>
      <c r="I57">
        <v>75</v>
      </c>
      <c r="J57">
        <v>75</v>
      </c>
      <c r="K57">
        <v>75</v>
      </c>
      <c r="L57">
        <v>75</v>
      </c>
      <c r="M57">
        <v>75</v>
      </c>
      <c r="N57">
        <v>75</v>
      </c>
      <c r="O57" t="s">
        <v>22</v>
      </c>
      <c r="P57" t="s">
        <v>23</v>
      </c>
      <c r="Q57">
        <f t="shared" si="0"/>
        <v>75</v>
      </c>
    </row>
    <row r="58" spans="1:17" x14ac:dyDescent="0.3">
      <c r="A58" t="s">
        <v>185</v>
      </c>
      <c r="B58" t="s">
        <v>186</v>
      </c>
      <c r="C58" t="s">
        <v>187</v>
      </c>
      <c r="D58" t="s">
        <v>188</v>
      </c>
      <c r="E58" t="s">
        <v>76</v>
      </c>
      <c r="F58" t="s">
        <v>21</v>
      </c>
      <c r="G58">
        <v>0.85</v>
      </c>
      <c r="H58">
        <v>75</v>
      </c>
      <c r="I58">
        <v>80</v>
      </c>
      <c r="J58">
        <v>80</v>
      </c>
      <c r="K58">
        <v>60</v>
      </c>
      <c r="L58">
        <v>70</v>
      </c>
      <c r="M58">
        <v>65</v>
      </c>
      <c r="N58">
        <v>71</v>
      </c>
      <c r="O58" t="s">
        <v>28</v>
      </c>
      <c r="P58" t="s">
        <v>23</v>
      </c>
      <c r="Q58">
        <f t="shared" si="0"/>
        <v>71.666666666666671</v>
      </c>
    </row>
    <row r="59" spans="1:17" x14ac:dyDescent="0.3">
      <c r="A59" t="s">
        <v>185</v>
      </c>
      <c r="B59" t="s">
        <v>186</v>
      </c>
      <c r="C59" t="s">
        <v>189</v>
      </c>
      <c r="D59" t="s">
        <v>190</v>
      </c>
      <c r="E59" t="s">
        <v>191</v>
      </c>
      <c r="F59" t="s">
        <v>21</v>
      </c>
      <c r="G59">
        <v>0.88</v>
      </c>
      <c r="H59">
        <v>65</v>
      </c>
      <c r="I59">
        <v>80</v>
      </c>
      <c r="J59">
        <v>75</v>
      </c>
      <c r="K59">
        <v>40</v>
      </c>
      <c r="L59">
        <v>90</v>
      </c>
      <c r="M59">
        <v>60</v>
      </c>
      <c r="N59">
        <v>68</v>
      </c>
      <c r="O59" t="s">
        <v>28</v>
      </c>
      <c r="P59" t="s">
        <v>23</v>
      </c>
      <c r="Q59">
        <f t="shared" si="0"/>
        <v>68.333333333333329</v>
      </c>
    </row>
    <row r="60" spans="1:17" x14ac:dyDescent="0.3">
      <c r="A60" t="s">
        <v>185</v>
      </c>
      <c r="B60" t="s">
        <v>186</v>
      </c>
      <c r="C60" t="s">
        <v>192</v>
      </c>
      <c r="D60" t="s">
        <v>193</v>
      </c>
      <c r="E60" t="s">
        <v>194</v>
      </c>
      <c r="F60" t="s">
        <v>21</v>
      </c>
      <c r="G60">
        <v>0.9</v>
      </c>
      <c r="H60">
        <v>75</v>
      </c>
      <c r="I60">
        <v>75</v>
      </c>
      <c r="J60">
        <v>75</v>
      </c>
      <c r="K60">
        <v>65</v>
      </c>
      <c r="L60">
        <v>75</v>
      </c>
      <c r="M60">
        <v>75</v>
      </c>
      <c r="N60">
        <v>73</v>
      </c>
      <c r="O60" t="s">
        <v>28</v>
      </c>
      <c r="P60" t="s">
        <v>23</v>
      </c>
      <c r="Q60">
        <f t="shared" si="0"/>
        <v>73.333333333333329</v>
      </c>
    </row>
    <row r="61" spans="1:17" x14ac:dyDescent="0.3">
      <c r="A61" t="s">
        <v>185</v>
      </c>
      <c r="B61" t="s">
        <v>186</v>
      </c>
      <c r="C61" t="s">
        <v>195</v>
      </c>
      <c r="D61" t="s">
        <v>196</v>
      </c>
      <c r="E61" t="s">
        <v>197</v>
      </c>
      <c r="F61" t="s">
        <v>21</v>
      </c>
      <c r="G61">
        <v>0.93</v>
      </c>
      <c r="H61">
        <v>50</v>
      </c>
      <c r="I61">
        <v>60</v>
      </c>
      <c r="J61">
        <v>70</v>
      </c>
      <c r="K61">
        <v>30</v>
      </c>
      <c r="L61">
        <v>40</v>
      </c>
      <c r="M61">
        <v>60</v>
      </c>
      <c r="N61">
        <v>51</v>
      </c>
      <c r="O61" t="s">
        <v>71</v>
      </c>
      <c r="P61" t="s">
        <v>23</v>
      </c>
      <c r="Q61">
        <f t="shared" si="0"/>
        <v>51.666666666666664</v>
      </c>
    </row>
    <row r="62" spans="1:17" x14ac:dyDescent="0.3">
      <c r="A62" t="s">
        <v>198</v>
      </c>
      <c r="B62" t="s">
        <v>199</v>
      </c>
      <c r="C62" t="s">
        <v>200</v>
      </c>
      <c r="D62" t="s">
        <v>201</v>
      </c>
      <c r="E62" t="s">
        <v>202</v>
      </c>
      <c r="F62" t="s">
        <v>21</v>
      </c>
      <c r="G62">
        <v>0.85</v>
      </c>
      <c r="H62">
        <v>75</v>
      </c>
      <c r="I62">
        <v>80</v>
      </c>
      <c r="J62">
        <v>60</v>
      </c>
      <c r="K62">
        <v>40</v>
      </c>
      <c r="L62">
        <v>90</v>
      </c>
      <c r="M62">
        <v>65</v>
      </c>
      <c r="N62">
        <v>68</v>
      </c>
      <c r="O62" t="s">
        <v>28</v>
      </c>
      <c r="P62" t="s">
        <v>23</v>
      </c>
      <c r="Q62">
        <f t="shared" si="0"/>
        <v>68.333333333333329</v>
      </c>
    </row>
    <row r="63" spans="1:17" x14ac:dyDescent="0.3">
      <c r="A63" t="s">
        <v>198</v>
      </c>
      <c r="B63" t="s">
        <v>199</v>
      </c>
      <c r="C63" t="s">
        <v>203</v>
      </c>
      <c r="D63" t="s">
        <v>204</v>
      </c>
      <c r="E63" t="s">
        <v>202</v>
      </c>
      <c r="F63" t="s">
        <v>21</v>
      </c>
      <c r="G63">
        <v>0.85</v>
      </c>
      <c r="H63">
        <v>75</v>
      </c>
      <c r="I63">
        <v>75</v>
      </c>
      <c r="J63">
        <v>75</v>
      </c>
      <c r="K63">
        <v>75</v>
      </c>
      <c r="L63">
        <v>75</v>
      </c>
      <c r="M63">
        <v>75</v>
      </c>
      <c r="N63">
        <v>75</v>
      </c>
      <c r="O63" t="s">
        <v>22</v>
      </c>
      <c r="P63" t="s">
        <v>23</v>
      </c>
      <c r="Q63">
        <f t="shared" si="0"/>
        <v>75</v>
      </c>
    </row>
    <row r="64" spans="1:17" x14ac:dyDescent="0.3">
      <c r="A64" t="s">
        <v>198</v>
      </c>
      <c r="B64" t="s">
        <v>199</v>
      </c>
      <c r="C64" t="s">
        <v>205</v>
      </c>
      <c r="D64" t="s">
        <v>206</v>
      </c>
      <c r="E64" t="s">
        <v>202</v>
      </c>
      <c r="F64" t="s">
        <v>51</v>
      </c>
      <c r="G64">
        <v>0.88</v>
      </c>
      <c r="H64">
        <v>75</v>
      </c>
      <c r="I64">
        <v>75</v>
      </c>
      <c r="J64">
        <v>75</v>
      </c>
      <c r="K64">
        <v>75</v>
      </c>
      <c r="L64">
        <v>75</v>
      </c>
      <c r="M64">
        <v>75</v>
      </c>
      <c r="N64">
        <v>75</v>
      </c>
      <c r="O64" t="s">
        <v>22</v>
      </c>
      <c r="P64" t="s">
        <v>23</v>
      </c>
      <c r="Q64">
        <f t="shared" si="0"/>
        <v>75</v>
      </c>
    </row>
    <row r="65" spans="1:17" x14ac:dyDescent="0.3">
      <c r="A65" t="s">
        <v>198</v>
      </c>
      <c r="B65" t="s">
        <v>199</v>
      </c>
      <c r="C65" t="s">
        <v>207</v>
      </c>
      <c r="D65" t="s">
        <v>208</v>
      </c>
      <c r="E65" t="s">
        <v>202</v>
      </c>
      <c r="F65" t="s">
        <v>21</v>
      </c>
      <c r="G65">
        <v>0.75</v>
      </c>
      <c r="H65">
        <v>75</v>
      </c>
      <c r="I65">
        <v>75</v>
      </c>
      <c r="J65">
        <v>75</v>
      </c>
      <c r="K65">
        <v>75</v>
      </c>
      <c r="L65">
        <v>75</v>
      </c>
      <c r="M65">
        <v>75</v>
      </c>
      <c r="N65">
        <v>75</v>
      </c>
      <c r="O65" t="s">
        <v>22</v>
      </c>
      <c r="P65" t="s">
        <v>23</v>
      </c>
      <c r="Q65">
        <f t="shared" si="0"/>
        <v>75</v>
      </c>
    </row>
    <row r="66" spans="1:17" x14ac:dyDescent="0.3">
      <c r="A66" t="s">
        <v>209</v>
      </c>
      <c r="B66" t="s">
        <v>210</v>
      </c>
      <c r="C66" t="s">
        <v>211</v>
      </c>
      <c r="D66" t="s">
        <v>212</v>
      </c>
      <c r="E66" t="s">
        <v>213</v>
      </c>
      <c r="F66" t="s">
        <v>21</v>
      </c>
      <c r="G66">
        <v>0.92</v>
      </c>
      <c r="H66">
        <v>75</v>
      </c>
      <c r="I66">
        <v>75</v>
      </c>
      <c r="J66">
        <v>75</v>
      </c>
      <c r="K66">
        <v>65</v>
      </c>
      <c r="L66">
        <v>75</v>
      </c>
      <c r="M66">
        <v>75</v>
      </c>
      <c r="N66">
        <v>73</v>
      </c>
      <c r="O66" t="s">
        <v>28</v>
      </c>
      <c r="P66" t="s">
        <v>23</v>
      </c>
      <c r="Q66">
        <f t="shared" si="0"/>
        <v>73.333333333333329</v>
      </c>
    </row>
    <row r="67" spans="1:17" x14ac:dyDescent="0.3">
      <c r="A67" t="s">
        <v>209</v>
      </c>
      <c r="B67" t="s">
        <v>210</v>
      </c>
      <c r="C67" t="s">
        <v>214</v>
      </c>
      <c r="D67" t="s">
        <v>215</v>
      </c>
      <c r="E67" t="s">
        <v>216</v>
      </c>
      <c r="F67" t="s">
        <v>21</v>
      </c>
      <c r="G67">
        <v>0.92</v>
      </c>
      <c r="H67">
        <v>65</v>
      </c>
      <c r="I67">
        <v>70</v>
      </c>
      <c r="J67">
        <v>60</v>
      </c>
      <c r="K67">
        <v>40</v>
      </c>
      <c r="L67">
        <v>80</v>
      </c>
      <c r="M67">
        <v>75</v>
      </c>
      <c r="N67">
        <v>65</v>
      </c>
      <c r="O67" t="s">
        <v>28</v>
      </c>
      <c r="P67" t="s">
        <v>23</v>
      </c>
      <c r="Q67">
        <f t="shared" ref="Q67:Q130" si="1">SUM(H67:M67)/6</f>
        <v>65</v>
      </c>
    </row>
    <row r="68" spans="1:17" x14ac:dyDescent="0.3">
      <c r="A68" t="s">
        <v>209</v>
      </c>
      <c r="B68" t="s">
        <v>210</v>
      </c>
      <c r="C68" t="s">
        <v>217</v>
      </c>
      <c r="D68" t="s">
        <v>218</v>
      </c>
      <c r="E68" t="s">
        <v>219</v>
      </c>
      <c r="F68" t="s">
        <v>21</v>
      </c>
      <c r="G68">
        <v>0.88</v>
      </c>
      <c r="H68">
        <v>85</v>
      </c>
      <c r="I68">
        <v>90</v>
      </c>
      <c r="J68">
        <v>70</v>
      </c>
      <c r="K68">
        <v>60</v>
      </c>
      <c r="L68">
        <v>80</v>
      </c>
      <c r="M68">
        <v>75</v>
      </c>
      <c r="N68">
        <v>76</v>
      </c>
      <c r="O68" t="s">
        <v>22</v>
      </c>
      <c r="P68" t="s">
        <v>23</v>
      </c>
      <c r="Q68">
        <f t="shared" si="1"/>
        <v>76.666666666666671</v>
      </c>
    </row>
    <row r="69" spans="1:17" x14ac:dyDescent="0.3">
      <c r="A69" t="s">
        <v>209</v>
      </c>
      <c r="B69" t="s">
        <v>210</v>
      </c>
      <c r="C69" t="s">
        <v>220</v>
      </c>
      <c r="D69" t="s">
        <v>221</v>
      </c>
      <c r="E69" t="s">
        <v>222</v>
      </c>
      <c r="F69" t="s">
        <v>21</v>
      </c>
      <c r="G69">
        <v>0.9</v>
      </c>
      <c r="H69">
        <v>75</v>
      </c>
      <c r="I69">
        <v>75</v>
      </c>
      <c r="J69">
        <v>75</v>
      </c>
      <c r="K69">
        <v>95</v>
      </c>
      <c r="L69">
        <v>75</v>
      </c>
      <c r="M69">
        <v>75</v>
      </c>
      <c r="N69">
        <v>78</v>
      </c>
      <c r="O69" t="s">
        <v>22</v>
      </c>
      <c r="P69" t="s">
        <v>23</v>
      </c>
      <c r="Q69">
        <f t="shared" si="1"/>
        <v>78.333333333333329</v>
      </c>
    </row>
    <row r="70" spans="1:17" x14ac:dyDescent="0.3">
      <c r="A70" t="s">
        <v>223</v>
      </c>
      <c r="B70" t="s">
        <v>224</v>
      </c>
      <c r="C70" t="s">
        <v>225</v>
      </c>
      <c r="D70" t="s">
        <v>226</v>
      </c>
      <c r="E70" t="s">
        <v>227</v>
      </c>
      <c r="F70" t="s">
        <v>21</v>
      </c>
      <c r="G70">
        <v>0.85</v>
      </c>
      <c r="H70">
        <v>65</v>
      </c>
      <c r="I70">
        <v>70</v>
      </c>
      <c r="J70">
        <v>85</v>
      </c>
      <c r="K70">
        <v>60</v>
      </c>
      <c r="L70">
        <v>70</v>
      </c>
      <c r="M70">
        <v>40</v>
      </c>
      <c r="N70">
        <v>65</v>
      </c>
      <c r="O70" t="s">
        <v>28</v>
      </c>
      <c r="P70" t="s">
        <v>23</v>
      </c>
      <c r="Q70">
        <f t="shared" si="1"/>
        <v>65</v>
      </c>
    </row>
    <row r="71" spans="1:17" x14ac:dyDescent="0.3">
      <c r="A71" t="s">
        <v>223</v>
      </c>
      <c r="B71" t="s">
        <v>224</v>
      </c>
      <c r="C71" t="s">
        <v>228</v>
      </c>
      <c r="D71" t="s">
        <v>229</v>
      </c>
      <c r="E71" t="s">
        <v>230</v>
      </c>
      <c r="F71" t="s">
        <v>21</v>
      </c>
      <c r="G71">
        <v>0.85</v>
      </c>
      <c r="H71">
        <v>85</v>
      </c>
      <c r="I71">
        <v>90</v>
      </c>
      <c r="J71">
        <v>70</v>
      </c>
      <c r="K71">
        <v>60</v>
      </c>
      <c r="L71">
        <v>80</v>
      </c>
      <c r="M71">
        <v>65</v>
      </c>
      <c r="N71">
        <v>75</v>
      </c>
      <c r="O71" t="s">
        <v>22</v>
      </c>
      <c r="P71" t="s">
        <v>23</v>
      </c>
      <c r="Q71">
        <f t="shared" si="1"/>
        <v>75</v>
      </c>
    </row>
    <row r="72" spans="1:17" x14ac:dyDescent="0.3">
      <c r="A72" t="s">
        <v>223</v>
      </c>
      <c r="B72" t="s">
        <v>224</v>
      </c>
      <c r="C72" t="s">
        <v>231</v>
      </c>
      <c r="D72" t="s">
        <v>232</v>
      </c>
      <c r="E72" t="s">
        <v>227</v>
      </c>
      <c r="F72" t="s">
        <v>21</v>
      </c>
      <c r="G72">
        <v>0.93</v>
      </c>
      <c r="H72">
        <v>65</v>
      </c>
      <c r="I72">
        <v>80</v>
      </c>
      <c r="J72">
        <v>70</v>
      </c>
      <c r="K72">
        <v>40</v>
      </c>
      <c r="L72">
        <v>75</v>
      </c>
      <c r="M72">
        <v>50</v>
      </c>
      <c r="N72">
        <v>63</v>
      </c>
      <c r="O72" t="s">
        <v>28</v>
      </c>
      <c r="P72" t="s">
        <v>23</v>
      </c>
      <c r="Q72">
        <f t="shared" si="1"/>
        <v>63.333333333333336</v>
      </c>
    </row>
    <row r="73" spans="1:17" x14ac:dyDescent="0.3">
      <c r="A73" t="s">
        <v>223</v>
      </c>
      <c r="B73" t="s">
        <v>224</v>
      </c>
      <c r="C73" t="s">
        <v>68</v>
      </c>
      <c r="D73" t="s">
        <v>233</v>
      </c>
      <c r="E73" t="s">
        <v>234</v>
      </c>
      <c r="F73" t="s">
        <v>21</v>
      </c>
      <c r="G73">
        <v>0.92</v>
      </c>
      <c r="H73">
        <v>25</v>
      </c>
      <c r="I73">
        <v>30</v>
      </c>
      <c r="J73">
        <v>45</v>
      </c>
      <c r="K73">
        <v>60</v>
      </c>
      <c r="L73">
        <v>70</v>
      </c>
      <c r="M73">
        <v>80</v>
      </c>
      <c r="N73">
        <v>51</v>
      </c>
      <c r="O73" t="s">
        <v>71</v>
      </c>
      <c r="P73" t="s">
        <v>23</v>
      </c>
      <c r="Q73">
        <f t="shared" si="1"/>
        <v>51.666666666666664</v>
      </c>
    </row>
    <row r="74" spans="1:17" x14ac:dyDescent="0.3">
      <c r="A74" t="s">
        <v>235</v>
      </c>
      <c r="B74" t="s">
        <v>236</v>
      </c>
      <c r="C74" t="s">
        <v>237</v>
      </c>
      <c r="D74" t="s">
        <v>238</v>
      </c>
      <c r="E74" t="s">
        <v>239</v>
      </c>
      <c r="F74" t="s">
        <v>21</v>
      </c>
      <c r="G74">
        <v>0.9</v>
      </c>
      <c r="H74">
        <v>85</v>
      </c>
      <c r="I74">
        <v>90</v>
      </c>
      <c r="J74">
        <v>75</v>
      </c>
      <c r="K74">
        <v>60</v>
      </c>
      <c r="L74">
        <v>80</v>
      </c>
      <c r="M74">
        <v>70</v>
      </c>
      <c r="N74">
        <v>76</v>
      </c>
      <c r="O74" t="s">
        <v>22</v>
      </c>
      <c r="P74" t="s">
        <v>23</v>
      </c>
      <c r="Q74">
        <f t="shared" si="1"/>
        <v>76.666666666666671</v>
      </c>
    </row>
    <row r="75" spans="1:17" x14ac:dyDescent="0.3">
      <c r="A75" t="s">
        <v>235</v>
      </c>
      <c r="B75" t="s">
        <v>236</v>
      </c>
      <c r="C75" t="s">
        <v>240</v>
      </c>
      <c r="D75" t="s">
        <v>241</v>
      </c>
      <c r="E75" t="s">
        <v>242</v>
      </c>
      <c r="F75" t="s">
        <v>21</v>
      </c>
      <c r="G75">
        <v>0.92</v>
      </c>
      <c r="H75">
        <v>85</v>
      </c>
      <c r="I75">
        <v>70</v>
      </c>
      <c r="J75">
        <v>75</v>
      </c>
      <c r="K75">
        <v>65</v>
      </c>
      <c r="L75">
        <v>80</v>
      </c>
      <c r="M75">
        <v>90</v>
      </c>
      <c r="N75">
        <v>77</v>
      </c>
      <c r="O75" t="s">
        <v>22</v>
      </c>
      <c r="P75" t="s">
        <v>23</v>
      </c>
      <c r="Q75">
        <f t="shared" si="1"/>
        <v>77.5</v>
      </c>
    </row>
    <row r="76" spans="1:17" x14ac:dyDescent="0.3">
      <c r="A76" t="s">
        <v>235</v>
      </c>
      <c r="B76" t="s">
        <v>236</v>
      </c>
      <c r="C76" t="s">
        <v>243</v>
      </c>
      <c r="D76" t="s">
        <v>244</v>
      </c>
      <c r="E76" t="s">
        <v>245</v>
      </c>
      <c r="F76" t="s">
        <v>21</v>
      </c>
      <c r="G76">
        <v>0.9</v>
      </c>
      <c r="H76">
        <v>85</v>
      </c>
      <c r="I76">
        <v>90</v>
      </c>
      <c r="J76">
        <v>80</v>
      </c>
      <c r="K76">
        <v>80</v>
      </c>
      <c r="L76">
        <v>70</v>
      </c>
      <c r="M76">
        <v>90</v>
      </c>
      <c r="N76">
        <v>82</v>
      </c>
      <c r="O76" t="s">
        <v>22</v>
      </c>
      <c r="P76" t="s">
        <v>23</v>
      </c>
      <c r="Q76">
        <f t="shared" si="1"/>
        <v>82.5</v>
      </c>
    </row>
    <row r="77" spans="1:17" x14ac:dyDescent="0.3">
      <c r="A77" t="s">
        <v>235</v>
      </c>
      <c r="B77" t="s">
        <v>236</v>
      </c>
      <c r="C77" t="s">
        <v>246</v>
      </c>
      <c r="D77" t="s">
        <v>247</v>
      </c>
      <c r="E77" t="s">
        <v>248</v>
      </c>
      <c r="F77" t="s">
        <v>21</v>
      </c>
      <c r="G77">
        <v>0.88</v>
      </c>
      <c r="H77">
        <v>65</v>
      </c>
      <c r="I77">
        <v>70</v>
      </c>
      <c r="J77">
        <v>80</v>
      </c>
      <c r="K77">
        <v>40</v>
      </c>
      <c r="L77">
        <v>70</v>
      </c>
      <c r="M77">
        <v>55</v>
      </c>
      <c r="N77">
        <v>63</v>
      </c>
      <c r="O77" t="s">
        <v>28</v>
      </c>
      <c r="P77" t="s">
        <v>23</v>
      </c>
      <c r="Q77">
        <f t="shared" si="1"/>
        <v>63.333333333333336</v>
      </c>
    </row>
    <row r="78" spans="1:17" x14ac:dyDescent="0.3">
      <c r="A78" t="s">
        <v>249</v>
      </c>
      <c r="B78" t="s">
        <v>250</v>
      </c>
      <c r="C78" t="s">
        <v>251</v>
      </c>
      <c r="D78" t="s">
        <v>252</v>
      </c>
      <c r="E78" t="s">
        <v>253</v>
      </c>
      <c r="F78" t="s">
        <v>21</v>
      </c>
      <c r="G78">
        <v>0.93</v>
      </c>
      <c r="H78">
        <v>75</v>
      </c>
      <c r="I78">
        <v>75</v>
      </c>
      <c r="J78">
        <v>75</v>
      </c>
      <c r="K78">
        <v>75</v>
      </c>
      <c r="L78">
        <v>75</v>
      </c>
      <c r="M78">
        <v>75</v>
      </c>
      <c r="N78">
        <v>75</v>
      </c>
      <c r="O78" t="s">
        <v>22</v>
      </c>
      <c r="P78" t="s">
        <v>23</v>
      </c>
      <c r="Q78">
        <f t="shared" si="1"/>
        <v>75</v>
      </c>
    </row>
    <row r="79" spans="1:17" x14ac:dyDescent="0.3">
      <c r="A79" t="s">
        <v>249</v>
      </c>
      <c r="B79" t="s">
        <v>250</v>
      </c>
      <c r="C79" t="s">
        <v>254</v>
      </c>
      <c r="D79" t="s">
        <v>255</v>
      </c>
      <c r="E79" t="s">
        <v>253</v>
      </c>
      <c r="F79" t="s">
        <v>21</v>
      </c>
      <c r="G79">
        <v>0.88</v>
      </c>
      <c r="H79">
        <v>75</v>
      </c>
      <c r="I79">
        <v>75</v>
      </c>
      <c r="J79">
        <v>75</v>
      </c>
      <c r="K79">
        <v>75</v>
      </c>
      <c r="L79">
        <v>75</v>
      </c>
      <c r="M79">
        <v>75</v>
      </c>
      <c r="N79">
        <v>75</v>
      </c>
      <c r="O79" t="s">
        <v>22</v>
      </c>
      <c r="P79" t="s">
        <v>23</v>
      </c>
      <c r="Q79">
        <f t="shared" si="1"/>
        <v>75</v>
      </c>
    </row>
    <row r="80" spans="1:17" x14ac:dyDescent="0.3">
      <c r="A80" t="s">
        <v>249</v>
      </c>
      <c r="B80" t="s">
        <v>250</v>
      </c>
      <c r="C80" t="s">
        <v>256</v>
      </c>
      <c r="D80" t="s">
        <v>257</v>
      </c>
      <c r="E80" t="s">
        <v>258</v>
      </c>
      <c r="F80" t="s">
        <v>21</v>
      </c>
      <c r="G80">
        <v>0.93</v>
      </c>
      <c r="H80">
        <v>85</v>
      </c>
      <c r="I80">
        <v>75</v>
      </c>
      <c r="J80">
        <v>65</v>
      </c>
      <c r="K80">
        <v>90</v>
      </c>
      <c r="L80">
        <v>80</v>
      </c>
      <c r="M80">
        <v>80</v>
      </c>
      <c r="N80">
        <v>79</v>
      </c>
      <c r="O80" t="s">
        <v>22</v>
      </c>
      <c r="P80" t="s">
        <v>23</v>
      </c>
      <c r="Q80">
        <f t="shared" si="1"/>
        <v>79.166666666666671</v>
      </c>
    </row>
    <row r="81" spans="1:17" x14ac:dyDescent="0.3">
      <c r="A81" t="s">
        <v>249</v>
      </c>
      <c r="B81" t="s">
        <v>250</v>
      </c>
      <c r="C81" t="s">
        <v>259</v>
      </c>
      <c r="D81" t="s">
        <v>260</v>
      </c>
      <c r="E81" t="s">
        <v>253</v>
      </c>
      <c r="F81" t="s">
        <v>21</v>
      </c>
      <c r="G81">
        <v>0.92</v>
      </c>
      <c r="H81">
        <v>75</v>
      </c>
      <c r="I81">
        <v>75</v>
      </c>
      <c r="J81">
        <v>75</v>
      </c>
      <c r="K81">
        <v>75</v>
      </c>
      <c r="L81">
        <v>75</v>
      </c>
      <c r="M81">
        <v>75</v>
      </c>
      <c r="N81">
        <v>75</v>
      </c>
      <c r="O81" t="s">
        <v>22</v>
      </c>
      <c r="P81" t="s">
        <v>23</v>
      </c>
      <c r="Q81">
        <f t="shared" si="1"/>
        <v>75</v>
      </c>
    </row>
    <row r="82" spans="1:17" x14ac:dyDescent="0.3">
      <c r="A82" t="s">
        <v>261</v>
      </c>
      <c r="B82" t="s">
        <v>262</v>
      </c>
      <c r="C82" t="s">
        <v>263</v>
      </c>
      <c r="D82" t="s">
        <v>264</v>
      </c>
      <c r="E82" t="s">
        <v>265</v>
      </c>
      <c r="F82" t="s">
        <v>21</v>
      </c>
      <c r="G82">
        <v>0.85</v>
      </c>
      <c r="H82">
        <v>75</v>
      </c>
      <c r="I82">
        <v>75</v>
      </c>
      <c r="J82">
        <v>75</v>
      </c>
      <c r="K82">
        <v>75</v>
      </c>
      <c r="L82">
        <v>75</v>
      </c>
      <c r="M82">
        <v>75</v>
      </c>
      <c r="N82">
        <v>75</v>
      </c>
      <c r="O82" t="s">
        <v>22</v>
      </c>
      <c r="P82" t="s">
        <v>23</v>
      </c>
      <c r="Q82">
        <f t="shared" si="1"/>
        <v>75</v>
      </c>
    </row>
    <row r="83" spans="1:17" x14ac:dyDescent="0.3">
      <c r="A83" t="s">
        <v>261</v>
      </c>
      <c r="B83" t="s">
        <v>262</v>
      </c>
      <c r="C83" t="s">
        <v>266</v>
      </c>
      <c r="D83" t="s">
        <v>267</v>
      </c>
      <c r="E83" t="s">
        <v>265</v>
      </c>
      <c r="F83" t="s">
        <v>21</v>
      </c>
      <c r="G83">
        <v>0.85</v>
      </c>
      <c r="H83">
        <v>75</v>
      </c>
      <c r="I83">
        <v>80</v>
      </c>
      <c r="J83">
        <v>60</v>
      </c>
      <c r="K83">
        <v>40</v>
      </c>
      <c r="L83">
        <v>85</v>
      </c>
      <c r="M83">
        <v>70</v>
      </c>
      <c r="N83">
        <v>68</v>
      </c>
      <c r="O83" t="s">
        <v>28</v>
      </c>
      <c r="P83" t="s">
        <v>23</v>
      </c>
      <c r="Q83">
        <f t="shared" si="1"/>
        <v>68.333333333333329</v>
      </c>
    </row>
    <row r="84" spans="1:17" x14ac:dyDescent="0.3">
      <c r="A84" t="s">
        <v>261</v>
      </c>
      <c r="B84" t="s">
        <v>262</v>
      </c>
      <c r="C84" t="s">
        <v>268</v>
      </c>
      <c r="D84" t="s">
        <v>269</v>
      </c>
      <c r="E84" t="s">
        <v>265</v>
      </c>
      <c r="F84" t="s">
        <v>21</v>
      </c>
      <c r="G84">
        <v>0.83</v>
      </c>
      <c r="H84">
        <v>75</v>
      </c>
      <c r="I84">
        <v>75</v>
      </c>
      <c r="J84">
        <v>75</v>
      </c>
      <c r="K84">
        <v>90</v>
      </c>
      <c r="L84">
        <v>75</v>
      </c>
      <c r="M84">
        <v>75</v>
      </c>
      <c r="N84">
        <v>77</v>
      </c>
      <c r="O84" t="s">
        <v>22</v>
      </c>
      <c r="P84" t="s">
        <v>23</v>
      </c>
      <c r="Q84">
        <f t="shared" si="1"/>
        <v>77.5</v>
      </c>
    </row>
    <row r="85" spans="1:17" x14ac:dyDescent="0.3">
      <c r="A85" t="s">
        <v>261</v>
      </c>
      <c r="B85" t="s">
        <v>262</v>
      </c>
      <c r="C85" t="s">
        <v>270</v>
      </c>
      <c r="D85" t="s">
        <v>271</v>
      </c>
      <c r="E85" t="s">
        <v>265</v>
      </c>
      <c r="F85" t="s">
        <v>21</v>
      </c>
      <c r="G85">
        <v>0.9</v>
      </c>
      <c r="H85">
        <v>65</v>
      </c>
      <c r="I85">
        <v>70</v>
      </c>
      <c r="J85">
        <v>80</v>
      </c>
      <c r="K85">
        <v>40</v>
      </c>
      <c r="L85">
        <v>50</v>
      </c>
      <c r="M85">
        <v>90</v>
      </c>
      <c r="N85">
        <v>65</v>
      </c>
      <c r="O85" t="s">
        <v>28</v>
      </c>
      <c r="P85" t="s">
        <v>23</v>
      </c>
      <c r="Q85">
        <f t="shared" si="1"/>
        <v>65.833333333333329</v>
      </c>
    </row>
    <row r="86" spans="1:17" x14ac:dyDescent="0.3">
      <c r="A86" t="s">
        <v>272</v>
      </c>
      <c r="B86" t="s">
        <v>273</v>
      </c>
      <c r="C86" t="s">
        <v>274</v>
      </c>
      <c r="D86" t="s">
        <v>275</v>
      </c>
      <c r="E86" t="s">
        <v>276</v>
      </c>
      <c r="F86" t="s">
        <v>21</v>
      </c>
      <c r="G86">
        <v>0.9</v>
      </c>
      <c r="H86">
        <v>85</v>
      </c>
      <c r="I86">
        <v>90</v>
      </c>
      <c r="J86">
        <v>75</v>
      </c>
      <c r="K86">
        <v>60</v>
      </c>
      <c r="L86">
        <v>80</v>
      </c>
      <c r="M86">
        <v>70</v>
      </c>
      <c r="N86">
        <v>76</v>
      </c>
      <c r="O86" t="s">
        <v>22</v>
      </c>
      <c r="P86" t="s">
        <v>23</v>
      </c>
      <c r="Q86">
        <f t="shared" si="1"/>
        <v>76.666666666666671</v>
      </c>
    </row>
    <row r="87" spans="1:17" x14ac:dyDescent="0.3">
      <c r="A87" t="s">
        <v>272</v>
      </c>
      <c r="B87" t="s">
        <v>273</v>
      </c>
      <c r="C87" t="s">
        <v>277</v>
      </c>
      <c r="D87" t="s">
        <v>278</v>
      </c>
      <c r="E87" t="s">
        <v>276</v>
      </c>
      <c r="F87" t="s">
        <v>51</v>
      </c>
      <c r="G87">
        <v>0.85</v>
      </c>
      <c r="H87">
        <v>85</v>
      </c>
      <c r="I87">
        <v>75</v>
      </c>
      <c r="J87">
        <v>90</v>
      </c>
      <c r="K87">
        <v>60</v>
      </c>
      <c r="L87">
        <v>80</v>
      </c>
      <c r="M87">
        <v>70</v>
      </c>
      <c r="N87">
        <v>76</v>
      </c>
      <c r="O87" t="s">
        <v>22</v>
      </c>
      <c r="P87" t="s">
        <v>23</v>
      </c>
      <c r="Q87">
        <f t="shared" si="1"/>
        <v>76.666666666666671</v>
      </c>
    </row>
    <row r="88" spans="1:17" x14ac:dyDescent="0.3">
      <c r="A88" t="s">
        <v>272</v>
      </c>
      <c r="B88" t="s">
        <v>273</v>
      </c>
      <c r="C88" t="s">
        <v>279</v>
      </c>
      <c r="D88" t="s">
        <v>280</v>
      </c>
      <c r="E88" t="s">
        <v>276</v>
      </c>
      <c r="F88" t="s">
        <v>21</v>
      </c>
      <c r="G88">
        <v>0.85</v>
      </c>
      <c r="H88">
        <v>75</v>
      </c>
      <c r="I88">
        <v>80</v>
      </c>
      <c r="J88">
        <v>80</v>
      </c>
      <c r="K88">
        <v>60</v>
      </c>
      <c r="L88">
        <v>70</v>
      </c>
      <c r="M88">
        <v>60</v>
      </c>
      <c r="N88">
        <v>70</v>
      </c>
      <c r="O88" t="s">
        <v>28</v>
      </c>
      <c r="P88" t="s">
        <v>23</v>
      </c>
      <c r="Q88">
        <f t="shared" si="1"/>
        <v>70.833333333333329</v>
      </c>
    </row>
    <row r="89" spans="1:17" x14ac:dyDescent="0.3">
      <c r="A89" t="s">
        <v>272</v>
      </c>
      <c r="B89" t="s">
        <v>273</v>
      </c>
      <c r="C89" t="s">
        <v>281</v>
      </c>
      <c r="D89" t="s">
        <v>282</v>
      </c>
      <c r="E89" t="s">
        <v>276</v>
      </c>
      <c r="F89" t="s">
        <v>21</v>
      </c>
      <c r="G89">
        <v>0.93</v>
      </c>
      <c r="H89">
        <v>70</v>
      </c>
      <c r="I89">
        <v>85</v>
      </c>
      <c r="J89">
        <v>80</v>
      </c>
      <c r="K89">
        <v>65</v>
      </c>
      <c r="L89">
        <v>70</v>
      </c>
      <c r="M89">
        <v>80</v>
      </c>
      <c r="N89">
        <v>75</v>
      </c>
      <c r="O89" t="s">
        <v>22</v>
      </c>
      <c r="P89" t="s">
        <v>23</v>
      </c>
      <c r="Q89">
        <f t="shared" si="1"/>
        <v>75</v>
      </c>
    </row>
    <row r="90" spans="1:17" x14ac:dyDescent="0.3">
      <c r="A90" t="s">
        <v>283</v>
      </c>
      <c r="B90" t="s">
        <v>284</v>
      </c>
      <c r="C90" t="s">
        <v>285</v>
      </c>
      <c r="D90" t="s">
        <v>286</v>
      </c>
      <c r="E90" t="s">
        <v>287</v>
      </c>
      <c r="F90" t="s">
        <v>21</v>
      </c>
      <c r="G90">
        <v>0.86</v>
      </c>
      <c r="H90">
        <v>75</v>
      </c>
      <c r="I90">
        <v>75</v>
      </c>
      <c r="J90">
        <v>75</v>
      </c>
      <c r="K90">
        <v>50</v>
      </c>
      <c r="L90">
        <v>75</v>
      </c>
      <c r="M90">
        <v>75</v>
      </c>
      <c r="N90">
        <v>70</v>
      </c>
      <c r="O90" t="s">
        <v>28</v>
      </c>
      <c r="P90" t="s">
        <v>23</v>
      </c>
      <c r="Q90">
        <f t="shared" si="1"/>
        <v>70.833333333333329</v>
      </c>
    </row>
    <row r="91" spans="1:17" x14ac:dyDescent="0.3">
      <c r="A91" t="s">
        <v>283</v>
      </c>
      <c r="B91" t="s">
        <v>284</v>
      </c>
      <c r="C91" t="s">
        <v>288</v>
      </c>
      <c r="D91" t="s">
        <v>289</v>
      </c>
      <c r="E91" t="s">
        <v>287</v>
      </c>
      <c r="F91" t="s">
        <v>21</v>
      </c>
      <c r="G91">
        <v>0.85</v>
      </c>
      <c r="H91">
        <v>85</v>
      </c>
      <c r="I91">
        <v>80</v>
      </c>
      <c r="J91">
        <v>75</v>
      </c>
      <c r="K91">
        <v>50</v>
      </c>
      <c r="L91">
        <v>60</v>
      </c>
      <c r="M91">
        <v>80</v>
      </c>
      <c r="N91">
        <v>71</v>
      </c>
      <c r="O91" t="s">
        <v>28</v>
      </c>
      <c r="P91" t="s">
        <v>23</v>
      </c>
      <c r="Q91">
        <f t="shared" si="1"/>
        <v>71.666666666666671</v>
      </c>
    </row>
    <row r="92" spans="1:17" x14ac:dyDescent="0.3">
      <c r="A92" t="s">
        <v>283</v>
      </c>
      <c r="B92" t="s">
        <v>284</v>
      </c>
      <c r="C92" t="s">
        <v>290</v>
      </c>
      <c r="D92" t="s">
        <v>291</v>
      </c>
      <c r="E92" t="s">
        <v>287</v>
      </c>
      <c r="F92" t="s">
        <v>21</v>
      </c>
      <c r="G92">
        <v>0.85</v>
      </c>
      <c r="H92">
        <v>75</v>
      </c>
      <c r="I92">
        <v>75</v>
      </c>
      <c r="J92">
        <v>75</v>
      </c>
      <c r="K92">
        <v>60</v>
      </c>
      <c r="L92">
        <v>75</v>
      </c>
      <c r="M92">
        <v>75</v>
      </c>
      <c r="N92">
        <v>72</v>
      </c>
      <c r="O92" t="s">
        <v>28</v>
      </c>
      <c r="P92" t="s">
        <v>23</v>
      </c>
      <c r="Q92">
        <f t="shared" si="1"/>
        <v>72.5</v>
      </c>
    </row>
    <row r="93" spans="1:17" x14ac:dyDescent="0.3">
      <c r="A93" t="s">
        <v>283</v>
      </c>
      <c r="B93" t="s">
        <v>284</v>
      </c>
      <c r="C93" t="s">
        <v>292</v>
      </c>
      <c r="D93" t="s">
        <v>293</v>
      </c>
      <c r="E93" t="s">
        <v>287</v>
      </c>
      <c r="F93" t="s">
        <v>21</v>
      </c>
      <c r="G93">
        <v>0.85</v>
      </c>
      <c r="H93">
        <v>70</v>
      </c>
      <c r="I93">
        <v>80</v>
      </c>
      <c r="J93">
        <v>75</v>
      </c>
      <c r="K93">
        <v>60</v>
      </c>
      <c r="L93">
        <v>85</v>
      </c>
      <c r="M93">
        <v>90</v>
      </c>
      <c r="N93">
        <v>76</v>
      </c>
      <c r="O93" t="s">
        <v>22</v>
      </c>
      <c r="P93" t="s">
        <v>23</v>
      </c>
      <c r="Q93">
        <f t="shared" si="1"/>
        <v>76.666666666666671</v>
      </c>
    </row>
    <row r="94" spans="1:17" x14ac:dyDescent="0.3">
      <c r="A94" t="s">
        <v>294</v>
      </c>
      <c r="B94" t="s">
        <v>295</v>
      </c>
      <c r="C94" t="s">
        <v>296</v>
      </c>
      <c r="D94" t="s">
        <v>297</v>
      </c>
      <c r="E94" t="s">
        <v>298</v>
      </c>
      <c r="F94" t="s">
        <v>21</v>
      </c>
      <c r="G94">
        <v>0.92</v>
      </c>
      <c r="H94">
        <v>75</v>
      </c>
      <c r="I94">
        <v>80</v>
      </c>
      <c r="J94">
        <v>60</v>
      </c>
      <c r="K94">
        <v>40</v>
      </c>
      <c r="L94">
        <v>90</v>
      </c>
      <c r="M94">
        <v>65</v>
      </c>
      <c r="N94">
        <v>68</v>
      </c>
      <c r="O94" t="s">
        <v>28</v>
      </c>
      <c r="P94" t="s">
        <v>23</v>
      </c>
      <c r="Q94">
        <f t="shared" si="1"/>
        <v>68.333333333333329</v>
      </c>
    </row>
    <row r="95" spans="1:17" x14ac:dyDescent="0.3">
      <c r="A95" t="s">
        <v>294</v>
      </c>
      <c r="B95" t="s">
        <v>295</v>
      </c>
      <c r="C95" t="s">
        <v>299</v>
      </c>
      <c r="D95" t="s">
        <v>300</v>
      </c>
      <c r="E95" t="s">
        <v>298</v>
      </c>
      <c r="F95" t="s">
        <v>21</v>
      </c>
      <c r="G95">
        <v>0.9</v>
      </c>
      <c r="H95">
        <v>85</v>
      </c>
      <c r="I95">
        <v>90</v>
      </c>
      <c r="J95">
        <v>70</v>
      </c>
      <c r="K95">
        <v>60</v>
      </c>
      <c r="L95">
        <v>80</v>
      </c>
      <c r="M95">
        <v>90</v>
      </c>
      <c r="N95">
        <v>79</v>
      </c>
      <c r="O95" t="s">
        <v>22</v>
      </c>
      <c r="P95" t="s">
        <v>23</v>
      </c>
      <c r="Q95">
        <f t="shared" si="1"/>
        <v>79.166666666666671</v>
      </c>
    </row>
    <row r="96" spans="1:17" x14ac:dyDescent="0.3">
      <c r="A96" t="s">
        <v>294</v>
      </c>
      <c r="B96" t="s">
        <v>295</v>
      </c>
      <c r="C96" t="s">
        <v>301</v>
      </c>
      <c r="D96" t="s">
        <v>302</v>
      </c>
      <c r="E96" t="s">
        <v>298</v>
      </c>
      <c r="F96" t="s">
        <v>21</v>
      </c>
      <c r="G96">
        <v>0.86</v>
      </c>
      <c r="H96">
        <v>85</v>
      </c>
      <c r="I96">
        <v>90</v>
      </c>
      <c r="J96">
        <v>70</v>
      </c>
      <c r="K96">
        <v>65</v>
      </c>
      <c r="L96">
        <v>80</v>
      </c>
      <c r="M96">
        <v>95</v>
      </c>
      <c r="N96">
        <v>80</v>
      </c>
      <c r="O96" t="s">
        <v>22</v>
      </c>
      <c r="P96" t="s">
        <v>23</v>
      </c>
      <c r="Q96">
        <f t="shared" si="1"/>
        <v>80.833333333333329</v>
      </c>
    </row>
    <row r="97" spans="1:17" x14ac:dyDescent="0.3">
      <c r="A97" t="s">
        <v>294</v>
      </c>
      <c r="B97" t="s">
        <v>295</v>
      </c>
      <c r="C97" t="s">
        <v>303</v>
      </c>
      <c r="D97" t="s">
        <v>304</v>
      </c>
      <c r="E97" t="s">
        <v>298</v>
      </c>
      <c r="F97" t="s">
        <v>21</v>
      </c>
      <c r="G97">
        <v>0.86</v>
      </c>
      <c r="H97">
        <v>85</v>
      </c>
      <c r="I97">
        <v>90</v>
      </c>
      <c r="J97">
        <v>70</v>
      </c>
      <c r="K97">
        <v>60</v>
      </c>
      <c r="L97">
        <v>80</v>
      </c>
      <c r="M97">
        <v>80</v>
      </c>
      <c r="N97">
        <v>77</v>
      </c>
      <c r="O97" t="s">
        <v>22</v>
      </c>
      <c r="P97" t="s">
        <v>23</v>
      </c>
      <c r="Q97">
        <f t="shared" si="1"/>
        <v>77.5</v>
      </c>
    </row>
    <row r="98" spans="1:17" x14ac:dyDescent="0.3">
      <c r="A98" t="s">
        <v>305</v>
      </c>
      <c r="B98" t="s">
        <v>306</v>
      </c>
      <c r="C98" t="s">
        <v>307</v>
      </c>
      <c r="D98" t="s">
        <v>308</v>
      </c>
      <c r="E98" t="s">
        <v>309</v>
      </c>
      <c r="F98" t="s">
        <v>21</v>
      </c>
      <c r="G98">
        <v>0.88</v>
      </c>
      <c r="H98">
        <v>85</v>
      </c>
      <c r="I98">
        <v>75</v>
      </c>
      <c r="J98">
        <v>90</v>
      </c>
      <c r="K98">
        <v>60</v>
      </c>
      <c r="L98">
        <v>80</v>
      </c>
      <c r="M98">
        <v>70</v>
      </c>
      <c r="N98">
        <v>76</v>
      </c>
      <c r="O98" t="s">
        <v>22</v>
      </c>
      <c r="P98" t="s">
        <v>23</v>
      </c>
      <c r="Q98">
        <f t="shared" si="1"/>
        <v>76.666666666666671</v>
      </c>
    </row>
    <row r="99" spans="1:17" x14ac:dyDescent="0.3">
      <c r="A99" t="s">
        <v>305</v>
      </c>
      <c r="B99" t="s">
        <v>306</v>
      </c>
      <c r="C99" t="s">
        <v>310</v>
      </c>
      <c r="D99" t="s">
        <v>311</v>
      </c>
      <c r="E99" t="s">
        <v>309</v>
      </c>
      <c r="F99" t="s">
        <v>21</v>
      </c>
      <c r="G99">
        <v>0.9</v>
      </c>
      <c r="H99">
        <v>85</v>
      </c>
      <c r="I99">
        <v>70</v>
      </c>
      <c r="J99">
        <v>65</v>
      </c>
      <c r="K99">
        <v>40</v>
      </c>
      <c r="L99">
        <v>80</v>
      </c>
      <c r="M99">
        <v>60</v>
      </c>
      <c r="N99">
        <v>66</v>
      </c>
      <c r="O99" t="s">
        <v>28</v>
      </c>
      <c r="P99" t="s">
        <v>23</v>
      </c>
      <c r="Q99">
        <f t="shared" si="1"/>
        <v>66.666666666666671</v>
      </c>
    </row>
    <row r="100" spans="1:17" x14ac:dyDescent="0.3">
      <c r="A100" t="s">
        <v>305</v>
      </c>
      <c r="B100" t="s">
        <v>306</v>
      </c>
      <c r="C100" t="s">
        <v>312</v>
      </c>
      <c r="D100" t="s">
        <v>313</v>
      </c>
      <c r="E100" t="s">
        <v>309</v>
      </c>
      <c r="F100" t="s">
        <v>51</v>
      </c>
      <c r="G100">
        <v>0.8</v>
      </c>
      <c r="H100">
        <v>85</v>
      </c>
      <c r="I100">
        <v>90</v>
      </c>
      <c r="J100">
        <v>75</v>
      </c>
      <c r="K100">
        <v>60</v>
      </c>
      <c r="L100">
        <v>80</v>
      </c>
      <c r="M100">
        <v>90</v>
      </c>
      <c r="N100">
        <v>80</v>
      </c>
      <c r="O100" t="s">
        <v>22</v>
      </c>
      <c r="P100" t="s">
        <v>23</v>
      </c>
      <c r="Q100">
        <f t="shared" si="1"/>
        <v>80</v>
      </c>
    </row>
    <row r="101" spans="1:17" x14ac:dyDescent="0.3">
      <c r="A101" t="s">
        <v>305</v>
      </c>
      <c r="B101" t="s">
        <v>306</v>
      </c>
      <c r="C101" t="s">
        <v>314</v>
      </c>
      <c r="D101" t="s">
        <v>315</v>
      </c>
      <c r="E101" t="s">
        <v>309</v>
      </c>
      <c r="F101" t="s">
        <v>21</v>
      </c>
      <c r="G101">
        <v>0.88</v>
      </c>
      <c r="H101">
        <v>75</v>
      </c>
      <c r="I101">
        <v>75</v>
      </c>
      <c r="J101">
        <v>75</v>
      </c>
      <c r="K101">
        <v>75</v>
      </c>
      <c r="L101">
        <v>75</v>
      </c>
      <c r="M101">
        <v>75</v>
      </c>
      <c r="N101">
        <v>75</v>
      </c>
      <c r="O101" t="s">
        <v>22</v>
      </c>
      <c r="P101" t="s">
        <v>23</v>
      </c>
      <c r="Q101">
        <f t="shared" si="1"/>
        <v>75</v>
      </c>
    </row>
    <row r="102" spans="1:17" x14ac:dyDescent="0.3">
      <c r="A102" t="s">
        <v>316</v>
      </c>
      <c r="B102" t="s">
        <v>317</v>
      </c>
      <c r="C102" t="s">
        <v>318</v>
      </c>
      <c r="D102" t="s">
        <v>319</v>
      </c>
      <c r="E102" t="s">
        <v>320</v>
      </c>
      <c r="F102" t="s">
        <v>21</v>
      </c>
      <c r="G102">
        <v>0.85</v>
      </c>
      <c r="H102">
        <v>90</v>
      </c>
      <c r="I102">
        <v>85</v>
      </c>
      <c r="J102">
        <v>70</v>
      </c>
      <c r="K102">
        <v>60</v>
      </c>
      <c r="L102">
        <v>80</v>
      </c>
      <c r="M102">
        <v>85</v>
      </c>
      <c r="N102">
        <v>78</v>
      </c>
      <c r="O102" t="s">
        <v>22</v>
      </c>
      <c r="P102" t="s">
        <v>23</v>
      </c>
      <c r="Q102">
        <f t="shared" si="1"/>
        <v>78.333333333333329</v>
      </c>
    </row>
    <row r="103" spans="1:17" x14ac:dyDescent="0.3">
      <c r="A103" t="s">
        <v>316</v>
      </c>
      <c r="B103" t="s">
        <v>317</v>
      </c>
      <c r="C103" t="s">
        <v>321</v>
      </c>
      <c r="D103" t="s">
        <v>322</v>
      </c>
      <c r="E103" t="s">
        <v>323</v>
      </c>
      <c r="F103" t="s">
        <v>21</v>
      </c>
      <c r="G103">
        <v>0.86</v>
      </c>
      <c r="H103">
        <v>85</v>
      </c>
      <c r="I103">
        <v>75</v>
      </c>
      <c r="J103">
        <v>90</v>
      </c>
      <c r="K103">
        <v>60</v>
      </c>
      <c r="L103">
        <v>70</v>
      </c>
      <c r="M103">
        <v>80</v>
      </c>
      <c r="N103">
        <v>76</v>
      </c>
      <c r="O103" t="s">
        <v>22</v>
      </c>
      <c r="P103" t="s">
        <v>23</v>
      </c>
      <c r="Q103">
        <f t="shared" si="1"/>
        <v>76.666666666666671</v>
      </c>
    </row>
    <row r="104" spans="1:17" x14ac:dyDescent="0.3">
      <c r="A104" t="s">
        <v>316</v>
      </c>
      <c r="B104" t="s">
        <v>317</v>
      </c>
      <c r="C104" t="s">
        <v>324</v>
      </c>
      <c r="D104" t="s">
        <v>325</v>
      </c>
      <c r="E104" t="s">
        <v>326</v>
      </c>
      <c r="F104" t="s">
        <v>21</v>
      </c>
      <c r="G104">
        <v>0.85</v>
      </c>
      <c r="H104">
        <v>85</v>
      </c>
      <c r="I104">
        <v>70</v>
      </c>
      <c r="J104">
        <v>60</v>
      </c>
      <c r="K104">
        <v>80</v>
      </c>
      <c r="L104">
        <v>90</v>
      </c>
      <c r="M104">
        <v>95</v>
      </c>
      <c r="N104">
        <v>80</v>
      </c>
      <c r="O104" t="s">
        <v>22</v>
      </c>
      <c r="P104" t="s">
        <v>23</v>
      </c>
      <c r="Q104">
        <f t="shared" si="1"/>
        <v>80</v>
      </c>
    </row>
    <row r="105" spans="1:17" x14ac:dyDescent="0.3">
      <c r="A105" t="s">
        <v>316</v>
      </c>
      <c r="B105" t="s">
        <v>317</v>
      </c>
      <c r="C105" t="s">
        <v>327</v>
      </c>
      <c r="D105" t="s">
        <v>328</v>
      </c>
      <c r="E105" t="s">
        <v>329</v>
      </c>
      <c r="F105" t="s">
        <v>21</v>
      </c>
      <c r="G105">
        <v>0.88</v>
      </c>
      <c r="H105">
        <v>70</v>
      </c>
      <c r="I105">
        <v>85</v>
      </c>
      <c r="J105">
        <v>65</v>
      </c>
      <c r="K105">
        <v>90</v>
      </c>
      <c r="L105">
        <v>80</v>
      </c>
      <c r="M105">
        <v>75</v>
      </c>
      <c r="N105">
        <v>77</v>
      </c>
      <c r="O105" t="s">
        <v>22</v>
      </c>
      <c r="P105" t="s">
        <v>23</v>
      </c>
      <c r="Q105">
        <f t="shared" si="1"/>
        <v>77.5</v>
      </c>
    </row>
    <row r="106" spans="1:17" x14ac:dyDescent="0.3">
      <c r="A106" t="s">
        <v>330</v>
      </c>
      <c r="B106" t="s">
        <v>331</v>
      </c>
      <c r="C106" t="s">
        <v>332</v>
      </c>
      <c r="D106" t="s">
        <v>333</v>
      </c>
      <c r="E106" t="s">
        <v>334</v>
      </c>
      <c r="F106" t="s">
        <v>21</v>
      </c>
      <c r="G106">
        <v>0.85</v>
      </c>
      <c r="H106">
        <v>75</v>
      </c>
      <c r="I106">
        <v>80</v>
      </c>
      <c r="J106">
        <v>60</v>
      </c>
      <c r="K106">
        <v>65</v>
      </c>
      <c r="L106">
        <v>90</v>
      </c>
      <c r="M106">
        <v>80</v>
      </c>
      <c r="N106">
        <v>75</v>
      </c>
      <c r="O106" t="s">
        <v>22</v>
      </c>
      <c r="P106" t="s">
        <v>23</v>
      </c>
      <c r="Q106">
        <f t="shared" si="1"/>
        <v>75</v>
      </c>
    </row>
    <row r="107" spans="1:17" x14ac:dyDescent="0.3">
      <c r="A107" t="s">
        <v>330</v>
      </c>
      <c r="B107" t="s">
        <v>331</v>
      </c>
      <c r="C107" t="s">
        <v>335</v>
      </c>
      <c r="D107" t="s">
        <v>336</v>
      </c>
      <c r="E107" t="s">
        <v>337</v>
      </c>
      <c r="F107" t="s">
        <v>21</v>
      </c>
      <c r="G107">
        <v>0.88</v>
      </c>
      <c r="H107">
        <v>90</v>
      </c>
      <c r="I107">
        <v>85</v>
      </c>
      <c r="J107">
        <v>75</v>
      </c>
      <c r="K107">
        <v>60</v>
      </c>
      <c r="L107">
        <v>80</v>
      </c>
      <c r="M107">
        <v>95</v>
      </c>
      <c r="N107">
        <v>80</v>
      </c>
      <c r="O107" t="s">
        <v>22</v>
      </c>
      <c r="P107" t="s">
        <v>23</v>
      </c>
      <c r="Q107">
        <f t="shared" si="1"/>
        <v>80.833333333333329</v>
      </c>
    </row>
    <row r="108" spans="1:17" x14ac:dyDescent="0.3">
      <c r="A108" t="s">
        <v>330</v>
      </c>
      <c r="B108" t="s">
        <v>331</v>
      </c>
      <c r="C108" t="s">
        <v>338</v>
      </c>
      <c r="D108" t="s">
        <v>339</v>
      </c>
      <c r="E108" t="s">
        <v>340</v>
      </c>
      <c r="F108" t="s">
        <v>21</v>
      </c>
      <c r="G108">
        <v>0.92</v>
      </c>
      <c r="H108">
        <v>75</v>
      </c>
      <c r="I108">
        <v>75</v>
      </c>
      <c r="J108">
        <v>75</v>
      </c>
      <c r="K108">
        <v>80</v>
      </c>
      <c r="L108">
        <v>75</v>
      </c>
      <c r="M108">
        <v>75</v>
      </c>
      <c r="N108">
        <v>75</v>
      </c>
      <c r="O108" t="s">
        <v>22</v>
      </c>
      <c r="P108" t="s">
        <v>23</v>
      </c>
      <c r="Q108">
        <f t="shared" si="1"/>
        <v>75.833333333333329</v>
      </c>
    </row>
    <row r="109" spans="1:17" x14ac:dyDescent="0.3">
      <c r="A109" t="s">
        <v>330</v>
      </c>
      <c r="B109" t="s">
        <v>331</v>
      </c>
      <c r="C109" t="s">
        <v>341</v>
      </c>
      <c r="D109" t="s">
        <v>342</v>
      </c>
      <c r="E109" t="s">
        <v>334</v>
      </c>
      <c r="F109" t="s">
        <v>21</v>
      </c>
      <c r="G109">
        <v>0.85</v>
      </c>
      <c r="H109">
        <v>25</v>
      </c>
      <c r="I109">
        <v>40</v>
      </c>
      <c r="J109">
        <v>30</v>
      </c>
      <c r="K109">
        <v>15</v>
      </c>
      <c r="L109">
        <v>50</v>
      </c>
      <c r="M109">
        <v>60</v>
      </c>
      <c r="N109">
        <v>36</v>
      </c>
      <c r="O109" t="s">
        <v>99</v>
      </c>
      <c r="P109" t="s">
        <v>23</v>
      </c>
      <c r="Q109">
        <f t="shared" si="1"/>
        <v>36.666666666666664</v>
      </c>
    </row>
    <row r="110" spans="1:17" x14ac:dyDescent="0.3">
      <c r="A110" t="s">
        <v>343</v>
      </c>
      <c r="B110" t="s">
        <v>344</v>
      </c>
      <c r="C110" t="s">
        <v>345</v>
      </c>
      <c r="D110" t="s">
        <v>346</v>
      </c>
      <c r="E110" t="s">
        <v>50</v>
      </c>
      <c r="F110" t="s">
        <v>21</v>
      </c>
      <c r="G110">
        <v>0.87</v>
      </c>
      <c r="H110">
        <v>85</v>
      </c>
      <c r="I110">
        <v>90</v>
      </c>
      <c r="J110">
        <v>80</v>
      </c>
      <c r="K110">
        <v>75</v>
      </c>
      <c r="L110">
        <v>80</v>
      </c>
      <c r="M110">
        <v>90</v>
      </c>
      <c r="N110">
        <v>83</v>
      </c>
      <c r="O110" t="s">
        <v>22</v>
      </c>
      <c r="P110" t="s">
        <v>23</v>
      </c>
      <c r="Q110">
        <f t="shared" si="1"/>
        <v>83.333333333333329</v>
      </c>
    </row>
    <row r="111" spans="1:17" x14ac:dyDescent="0.3">
      <c r="A111" t="s">
        <v>343</v>
      </c>
      <c r="B111" t="s">
        <v>344</v>
      </c>
      <c r="C111" t="s">
        <v>347</v>
      </c>
      <c r="D111" t="s">
        <v>348</v>
      </c>
      <c r="E111" t="s">
        <v>253</v>
      </c>
      <c r="F111" t="s">
        <v>21</v>
      </c>
      <c r="G111">
        <v>0.92</v>
      </c>
      <c r="H111">
        <v>85</v>
      </c>
      <c r="I111">
        <v>90</v>
      </c>
      <c r="J111">
        <v>75</v>
      </c>
      <c r="K111">
        <v>60</v>
      </c>
      <c r="L111">
        <v>80</v>
      </c>
      <c r="M111">
        <v>90</v>
      </c>
      <c r="N111">
        <v>80</v>
      </c>
      <c r="O111" t="s">
        <v>22</v>
      </c>
      <c r="P111" t="s">
        <v>23</v>
      </c>
      <c r="Q111">
        <f t="shared" si="1"/>
        <v>80</v>
      </c>
    </row>
    <row r="112" spans="1:17" x14ac:dyDescent="0.3">
      <c r="A112" t="s">
        <v>343</v>
      </c>
      <c r="B112" t="s">
        <v>344</v>
      </c>
      <c r="C112" t="s">
        <v>349</v>
      </c>
      <c r="D112" t="s">
        <v>350</v>
      </c>
      <c r="E112" t="s">
        <v>351</v>
      </c>
      <c r="F112" t="s">
        <v>21</v>
      </c>
      <c r="G112">
        <v>0.9</v>
      </c>
      <c r="H112">
        <v>85</v>
      </c>
      <c r="I112">
        <v>70</v>
      </c>
      <c r="J112">
        <v>65</v>
      </c>
      <c r="K112">
        <v>60</v>
      </c>
      <c r="L112">
        <v>80</v>
      </c>
      <c r="M112">
        <v>90</v>
      </c>
      <c r="N112">
        <v>75</v>
      </c>
      <c r="O112" t="s">
        <v>22</v>
      </c>
      <c r="P112" t="s">
        <v>23</v>
      </c>
      <c r="Q112">
        <f t="shared" si="1"/>
        <v>75</v>
      </c>
    </row>
    <row r="113" spans="1:17" x14ac:dyDescent="0.3">
      <c r="A113" t="s">
        <v>343</v>
      </c>
      <c r="B113" t="s">
        <v>344</v>
      </c>
      <c r="C113" t="s">
        <v>352</v>
      </c>
      <c r="D113" t="s">
        <v>353</v>
      </c>
      <c r="E113" t="s">
        <v>191</v>
      </c>
      <c r="F113" t="s">
        <v>21</v>
      </c>
      <c r="G113">
        <v>0.9</v>
      </c>
      <c r="H113">
        <v>75</v>
      </c>
      <c r="I113">
        <v>80</v>
      </c>
      <c r="J113">
        <v>60</v>
      </c>
      <c r="K113">
        <v>40</v>
      </c>
      <c r="L113">
        <v>90</v>
      </c>
      <c r="M113">
        <v>95</v>
      </c>
      <c r="N113">
        <v>73</v>
      </c>
      <c r="O113" t="s">
        <v>28</v>
      </c>
      <c r="P113" t="s">
        <v>23</v>
      </c>
      <c r="Q113">
        <f t="shared" si="1"/>
        <v>73.333333333333329</v>
      </c>
    </row>
    <row r="114" spans="1:17" x14ac:dyDescent="0.3">
      <c r="A114" t="s">
        <v>354</v>
      </c>
      <c r="B114" t="s">
        <v>355</v>
      </c>
      <c r="C114" t="s">
        <v>356</v>
      </c>
      <c r="D114" t="s">
        <v>357</v>
      </c>
      <c r="E114" t="s">
        <v>358</v>
      </c>
      <c r="F114" t="s">
        <v>21</v>
      </c>
      <c r="G114">
        <v>0.87</v>
      </c>
      <c r="H114">
        <v>85</v>
      </c>
      <c r="I114">
        <v>75</v>
      </c>
      <c r="J114">
        <v>90</v>
      </c>
      <c r="K114">
        <v>60</v>
      </c>
      <c r="L114">
        <v>80</v>
      </c>
      <c r="M114">
        <v>70</v>
      </c>
      <c r="N114">
        <v>76</v>
      </c>
      <c r="O114" t="s">
        <v>22</v>
      </c>
      <c r="P114" t="s">
        <v>23</v>
      </c>
      <c r="Q114">
        <f t="shared" si="1"/>
        <v>76.666666666666671</v>
      </c>
    </row>
    <row r="115" spans="1:17" x14ac:dyDescent="0.3">
      <c r="A115" t="s">
        <v>354</v>
      </c>
      <c r="B115" t="s">
        <v>355</v>
      </c>
      <c r="C115" t="s">
        <v>359</v>
      </c>
      <c r="D115" t="s">
        <v>360</v>
      </c>
      <c r="E115" t="s">
        <v>358</v>
      </c>
      <c r="F115" t="s">
        <v>21</v>
      </c>
      <c r="G115">
        <v>0.9</v>
      </c>
      <c r="H115">
        <v>70</v>
      </c>
      <c r="I115">
        <v>85</v>
      </c>
      <c r="J115">
        <v>90</v>
      </c>
      <c r="K115">
        <v>65</v>
      </c>
      <c r="L115">
        <v>80</v>
      </c>
      <c r="M115">
        <v>95</v>
      </c>
      <c r="N115">
        <v>80</v>
      </c>
      <c r="O115" t="s">
        <v>22</v>
      </c>
      <c r="P115" t="s">
        <v>23</v>
      </c>
      <c r="Q115">
        <f t="shared" si="1"/>
        <v>80.833333333333329</v>
      </c>
    </row>
    <row r="116" spans="1:17" x14ac:dyDescent="0.3">
      <c r="A116" t="s">
        <v>354</v>
      </c>
      <c r="B116" t="s">
        <v>355</v>
      </c>
      <c r="C116" t="s">
        <v>361</v>
      </c>
      <c r="D116" t="s">
        <v>362</v>
      </c>
      <c r="E116" t="s">
        <v>358</v>
      </c>
      <c r="F116" t="s">
        <v>21</v>
      </c>
      <c r="G116">
        <v>0.89</v>
      </c>
      <c r="H116">
        <v>95</v>
      </c>
      <c r="I116">
        <v>85</v>
      </c>
      <c r="J116">
        <v>70</v>
      </c>
      <c r="K116">
        <v>60</v>
      </c>
      <c r="L116">
        <v>80</v>
      </c>
      <c r="M116">
        <v>90</v>
      </c>
      <c r="N116">
        <v>80</v>
      </c>
      <c r="O116" t="s">
        <v>22</v>
      </c>
      <c r="P116" t="s">
        <v>23</v>
      </c>
      <c r="Q116">
        <f t="shared" si="1"/>
        <v>80</v>
      </c>
    </row>
    <row r="117" spans="1:17" x14ac:dyDescent="0.3">
      <c r="A117" t="s">
        <v>354</v>
      </c>
      <c r="B117" t="s">
        <v>355</v>
      </c>
      <c r="C117" t="s">
        <v>363</v>
      </c>
      <c r="D117" t="s">
        <v>364</v>
      </c>
      <c r="E117" t="s">
        <v>358</v>
      </c>
      <c r="F117" t="s">
        <v>21</v>
      </c>
      <c r="G117">
        <v>0.92</v>
      </c>
      <c r="H117">
        <v>85</v>
      </c>
      <c r="I117">
        <v>75</v>
      </c>
      <c r="J117">
        <v>80</v>
      </c>
      <c r="K117">
        <v>60</v>
      </c>
      <c r="L117">
        <v>90</v>
      </c>
      <c r="M117">
        <v>80</v>
      </c>
      <c r="N117">
        <v>78</v>
      </c>
      <c r="O117" t="s">
        <v>22</v>
      </c>
      <c r="P117" t="s">
        <v>23</v>
      </c>
      <c r="Q117">
        <f t="shared" si="1"/>
        <v>78.333333333333329</v>
      </c>
    </row>
    <row r="118" spans="1:17" x14ac:dyDescent="0.3">
      <c r="A118" t="s">
        <v>365</v>
      </c>
      <c r="B118" t="s">
        <v>366</v>
      </c>
      <c r="C118" t="s">
        <v>367</v>
      </c>
      <c r="D118" t="s">
        <v>368</v>
      </c>
      <c r="E118" t="s">
        <v>369</v>
      </c>
      <c r="F118" t="s">
        <v>21</v>
      </c>
      <c r="G118">
        <v>0.88</v>
      </c>
      <c r="H118">
        <v>75</v>
      </c>
      <c r="I118">
        <v>75</v>
      </c>
      <c r="J118">
        <v>75</v>
      </c>
      <c r="K118">
        <v>75</v>
      </c>
      <c r="L118">
        <v>75</v>
      </c>
      <c r="M118">
        <v>75</v>
      </c>
      <c r="N118">
        <v>75</v>
      </c>
      <c r="O118" t="s">
        <v>22</v>
      </c>
      <c r="P118" t="s">
        <v>23</v>
      </c>
      <c r="Q118">
        <f t="shared" si="1"/>
        <v>75</v>
      </c>
    </row>
    <row r="119" spans="1:17" x14ac:dyDescent="0.3">
      <c r="A119" t="s">
        <v>365</v>
      </c>
      <c r="B119" t="s">
        <v>366</v>
      </c>
      <c r="C119" t="s">
        <v>370</v>
      </c>
      <c r="D119" t="s">
        <v>371</v>
      </c>
      <c r="E119" t="s">
        <v>369</v>
      </c>
      <c r="F119" t="s">
        <v>21</v>
      </c>
      <c r="G119">
        <v>0.92</v>
      </c>
      <c r="H119">
        <v>85</v>
      </c>
      <c r="I119">
        <v>70</v>
      </c>
      <c r="J119">
        <v>65</v>
      </c>
      <c r="K119">
        <v>40</v>
      </c>
      <c r="L119">
        <v>70</v>
      </c>
      <c r="M119">
        <v>60</v>
      </c>
      <c r="N119">
        <v>65</v>
      </c>
      <c r="O119" t="s">
        <v>28</v>
      </c>
      <c r="P119" t="s">
        <v>23</v>
      </c>
      <c r="Q119">
        <f t="shared" si="1"/>
        <v>65</v>
      </c>
    </row>
    <row r="120" spans="1:17" x14ac:dyDescent="0.3">
      <c r="A120" t="s">
        <v>365</v>
      </c>
      <c r="B120" t="s">
        <v>366</v>
      </c>
      <c r="C120" t="s">
        <v>372</v>
      </c>
      <c r="D120" t="s">
        <v>373</v>
      </c>
      <c r="E120" t="s">
        <v>369</v>
      </c>
      <c r="F120" t="s">
        <v>21</v>
      </c>
      <c r="G120">
        <v>0.88</v>
      </c>
      <c r="H120">
        <v>20</v>
      </c>
      <c r="I120">
        <v>40</v>
      </c>
      <c r="J120">
        <v>50</v>
      </c>
      <c r="K120">
        <v>30</v>
      </c>
      <c r="L120">
        <v>10</v>
      </c>
      <c r="M120">
        <v>50</v>
      </c>
      <c r="N120">
        <v>33</v>
      </c>
      <c r="O120" t="s">
        <v>99</v>
      </c>
      <c r="P120" t="s">
        <v>23</v>
      </c>
      <c r="Q120">
        <f t="shared" si="1"/>
        <v>33.333333333333336</v>
      </c>
    </row>
    <row r="121" spans="1:17" x14ac:dyDescent="0.3">
      <c r="A121" t="s">
        <v>365</v>
      </c>
      <c r="B121" t="s">
        <v>366</v>
      </c>
      <c r="C121" t="s">
        <v>374</v>
      </c>
      <c r="D121" t="s">
        <v>375</v>
      </c>
      <c r="E121" t="s">
        <v>369</v>
      </c>
      <c r="F121" t="s">
        <v>21</v>
      </c>
      <c r="G121">
        <v>0.65</v>
      </c>
      <c r="H121">
        <v>75</v>
      </c>
      <c r="I121">
        <v>80</v>
      </c>
      <c r="J121">
        <v>70</v>
      </c>
      <c r="K121">
        <v>60</v>
      </c>
      <c r="L121">
        <v>85</v>
      </c>
      <c r="M121">
        <v>90</v>
      </c>
      <c r="N121">
        <v>76</v>
      </c>
      <c r="O121" t="s">
        <v>22</v>
      </c>
      <c r="P121" t="s">
        <v>23</v>
      </c>
      <c r="Q121">
        <f t="shared" si="1"/>
        <v>76.666666666666671</v>
      </c>
    </row>
    <row r="122" spans="1:17" x14ac:dyDescent="0.3">
      <c r="A122" t="s">
        <v>376</v>
      </c>
      <c r="B122" t="s">
        <v>377</v>
      </c>
      <c r="C122" t="s">
        <v>378</v>
      </c>
      <c r="D122" t="s">
        <v>379</v>
      </c>
      <c r="E122" t="s">
        <v>380</v>
      </c>
      <c r="F122" t="s">
        <v>21</v>
      </c>
      <c r="G122">
        <v>0.92</v>
      </c>
      <c r="H122">
        <v>85</v>
      </c>
      <c r="I122">
        <v>90</v>
      </c>
      <c r="J122">
        <v>75</v>
      </c>
      <c r="K122">
        <v>60</v>
      </c>
      <c r="L122">
        <v>80</v>
      </c>
      <c r="M122">
        <v>90</v>
      </c>
      <c r="N122">
        <v>80</v>
      </c>
      <c r="O122" t="s">
        <v>22</v>
      </c>
      <c r="P122" t="s">
        <v>23</v>
      </c>
      <c r="Q122">
        <f t="shared" si="1"/>
        <v>80</v>
      </c>
    </row>
    <row r="123" spans="1:17" x14ac:dyDescent="0.3">
      <c r="A123" t="s">
        <v>376</v>
      </c>
      <c r="B123" t="s">
        <v>377</v>
      </c>
      <c r="C123" t="s">
        <v>381</v>
      </c>
      <c r="D123" t="s">
        <v>382</v>
      </c>
      <c r="E123" t="s">
        <v>380</v>
      </c>
      <c r="F123" t="s">
        <v>21</v>
      </c>
      <c r="G123">
        <v>0.88</v>
      </c>
      <c r="H123">
        <v>85</v>
      </c>
      <c r="I123">
        <v>90</v>
      </c>
      <c r="J123">
        <v>70</v>
      </c>
      <c r="K123">
        <v>65</v>
      </c>
      <c r="L123">
        <v>90</v>
      </c>
      <c r="M123">
        <v>80</v>
      </c>
      <c r="N123">
        <v>80</v>
      </c>
      <c r="O123" t="s">
        <v>22</v>
      </c>
      <c r="P123" t="s">
        <v>23</v>
      </c>
      <c r="Q123">
        <f t="shared" si="1"/>
        <v>80</v>
      </c>
    </row>
    <row r="124" spans="1:17" x14ac:dyDescent="0.3">
      <c r="A124" t="s">
        <v>376</v>
      </c>
      <c r="B124" t="s">
        <v>377</v>
      </c>
      <c r="C124" t="s">
        <v>383</v>
      </c>
      <c r="D124" t="s">
        <v>384</v>
      </c>
      <c r="E124" t="s">
        <v>380</v>
      </c>
      <c r="F124" t="s">
        <v>21</v>
      </c>
      <c r="G124">
        <v>0.9</v>
      </c>
      <c r="H124">
        <v>75</v>
      </c>
      <c r="I124">
        <v>75</v>
      </c>
      <c r="J124">
        <v>75</v>
      </c>
      <c r="K124">
        <v>75</v>
      </c>
      <c r="L124">
        <v>75</v>
      </c>
      <c r="M124">
        <v>75</v>
      </c>
      <c r="N124">
        <v>75</v>
      </c>
      <c r="O124" t="s">
        <v>22</v>
      </c>
      <c r="P124" t="s">
        <v>23</v>
      </c>
      <c r="Q124">
        <f t="shared" si="1"/>
        <v>75</v>
      </c>
    </row>
    <row r="125" spans="1:17" x14ac:dyDescent="0.3">
      <c r="A125" t="s">
        <v>376</v>
      </c>
      <c r="B125" t="s">
        <v>377</v>
      </c>
      <c r="C125" t="s">
        <v>385</v>
      </c>
      <c r="D125" t="s">
        <v>386</v>
      </c>
      <c r="E125" t="s">
        <v>387</v>
      </c>
      <c r="F125" t="s">
        <v>51</v>
      </c>
      <c r="G125">
        <v>0.92</v>
      </c>
      <c r="H125">
        <v>75</v>
      </c>
      <c r="I125">
        <v>75</v>
      </c>
      <c r="J125">
        <v>75</v>
      </c>
      <c r="K125">
        <v>75</v>
      </c>
      <c r="L125">
        <v>75</v>
      </c>
      <c r="M125">
        <v>75</v>
      </c>
      <c r="N125">
        <v>75</v>
      </c>
      <c r="O125" t="s">
        <v>22</v>
      </c>
      <c r="P125" t="s">
        <v>23</v>
      </c>
      <c r="Q125">
        <f t="shared" si="1"/>
        <v>75</v>
      </c>
    </row>
    <row r="126" spans="1:17" x14ac:dyDescent="0.3">
      <c r="A126" t="s">
        <v>388</v>
      </c>
      <c r="B126" t="s">
        <v>389</v>
      </c>
      <c r="C126" t="s">
        <v>390</v>
      </c>
      <c r="D126" t="s">
        <v>391</v>
      </c>
      <c r="E126" t="s">
        <v>392</v>
      </c>
      <c r="F126" t="s">
        <v>21</v>
      </c>
      <c r="G126">
        <v>0.85</v>
      </c>
      <c r="H126">
        <v>75</v>
      </c>
      <c r="I126">
        <v>80</v>
      </c>
      <c r="J126">
        <v>70</v>
      </c>
      <c r="K126">
        <v>60</v>
      </c>
      <c r="L126">
        <v>90</v>
      </c>
      <c r="M126">
        <v>80</v>
      </c>
      <c r="N126">
        <v>75</v>
      </c>
      <c r="O126" t="s">
        <v>22</v>
      </c>
      <c r="P126" t="s">
        <v>23</v>
      </c>
      <c r="Q126">
        <f t="shared" si="1"/>
        <v>75.833333333333329</v>
      </c>
    </row>
    <row r="127" spans="1:17" x14ac:dyDescent="0.3">
      <c r="A127" t="s">
        <v>388</v>
      </c>
      <c r="B127" t="s">
        <v>389</v>
      </c>
      <c r="C127" t="s">
        <v>393</v>
      </c>
      <c r="D127" t="s">
        <v>394</v>
      </c>
      <c r="E127" t="s">
        <v>392</v>
      </c>
      <c r="F127" t="s">
        <v>21</v>
      </c>
      <c r="G127">
        <v>0.85</v>
      </c>
      <c r="H127">
        <v>65</v>
      </c>
      <c r="I127">
        <v>70</v>
      </c>
      <c r="J127">
        <v>80</v>
      </c>
      <c r="K127">
        <v>40</v>
      </c>
      <c r="L127">
        <v>80</v>
      </c>
      <c r="M127">
        <v>60</v>
      </c>
      <c r="N127">
        <v>65</v>
      </c>
      <c r="O127" t="s">
        <v>28</v>
      </c>
      <c r="P127" t="s">
        <v>23</v>
      </c>
      <c r="Q127">
        <f t="shared" si="1"/>
        <v>65.833333333333329</v>
      </c>
    </row>
    <row r="128" spans="1:17" x14ac:dyDescent="0.3">
      <c r="A128" t="s">
        <v>388</v>
      </c>
      <c r="B128" t="s">
        <v>389</v>
      </c>
      <c r="C128" t="s">
        <v>395</v>
      </c>
      <c r="D128" t="s">
        <v>396</v>
      </c>
      <c r="E128" t="s">
        <v>392</v>
      </c>
      <c r="F128" t="s">
        <v>21</v>
      </c>
      <c r="G128">
        <v>0.8</v>
      </c>
      <c r="H128">
        <v>60</v>
      </c>
      <c r="I128">
        <v>75</v>
      </c>
      <c r="J128">
        <v>65</v>
      </c>
      <c r="K128">
        <v>45</v>
      </c>
      <c r="L128">
        <v>70</v>
      </c>
      <c r="M128">
        <v>80</v>
      </c>
      <c r="N128">
        <v>65</v>
      </c>
      <c r="O128" t="s">
        <v>28</v>
      </c>
      <c r="P128" t="s">
        <v>23</v>
      </c>
      <c r="Q128">
        <f t="shared" si="1"/>
        <v>65.833333333333329</v>
      </c>
    </row>
    <row r="129" spans="1:17" x14ac:dyDescent="0.3">
      <c r="A129" t="s">
        <v>388</v>
      </c>
      <c r="B129" t="s">
        <v>389</v>
      </c>
      <c r="C129" t="s">
        <v>397</v>
      </c>
      <c r="D129" t="s">
        <v>398</v>
      </c>
      <c r="E129" t="s">
        <v>392</v>
      </c>
      <c r="F129" t="s">
        <v>51</v>
      </c>
      <c r="G129">
        <v>0.9</v>
      </c>
      <c r="H129">
        <v>65</v>
      </c>
      <c r="I129">
        <v>70</v>
      </c>
      <c r="J129">
        <v>80</v>
      </c>
      <c r="K129">
        <v>30</v>
      </c>
      <c r="L129">
        <v>70</v>
      </c>
      <c r="M129">
        <v>40</v>
      </c>
      <c r="N129">
        <v>59</v>
      </c>
      <c r="O129" t="s">
        <v>71</v>
      </c>
      <c r="P129" t="s">
        <v>23</v>
      </c>
      <c r="Q129">
        <f t="shared" si="1"/>
        <v>59.166666666666664</v>
      </c>
    </row>
    <row r="130" spans="1:17" x14ac:dyDescent="0.3">
      <c r="A130" t="s">
        <v>399</v>
      </c>
      <c r="B130" t="s">
        <v>400</v>
      </c>
      <c r="C130" t="s">
        <v>401</v>
      </c>
      <c r="D130" t="s">
        <v>402</v>
      </c>
      <c r="E130" t="s">
        <v>387</v>
      </c>
      <c r="F130" t="s">
        <v>51</v>
      </c>
      <c r="G130">
        <v>0.95</v>
      </c>
      <c r="H130">
        <v>0</v>
      </c>
      <c r="I130">
        <v>20</v>
      </c>
      <c r="J130">
        <v>30</v>
      </c>
      <c r="K130">
        <v>5</v>
      </c>
      <c r="L130">
        <v>10</v>
      </c>
      <c r="M130">
        <v>95</v>
      </c>
      <c r="N130">
        <v>0</v>
      </c>
      <c r="O130" t="s">
        <v>403</v>
      </c>
      <c r="P130" t="s">
        <v>23</v>
      </c>
      <c r="Q130">
        <f t="shared" si="1"/>
        <v>26.666666666666668</v>
      </c>
    </row>
    <row r="131" spans="1:17" x14ac:dyDescent="0.3">
      <c r="A131" t="s">
        <v>399</v>
      </c>
      <c r="B131" t="s">
        <v>400</v>
      </c>
      <c r="C131" t="s">
        <v>404</v>
      </c>
      <c r="D131" t="s">
        <v>405</v>
      </c>
      <c r="E131" t="s">
        <v>387</v>
      </c>
      <c r="F131" t="s">
        <v>51</v>
      </c>
      <c r="G131">
        <v>0.9</v>
      </c>
      <c r="H131">
        <v>70</v>
      </c>
      <c r="I131">
        <v>65</v>
      </c>
      <c r="J131">
        <v>40</v>
      </c>
      <c r="K131">
        <v>30</v>
      </c>
      <c r="L131">
        <v>45</v>
      </c>
      <c r="M131">
        <v>25</v>
      </c>
      <c r="N131">
        <v>45</v>
      </c>
      <c r="O131" t="s">
        <v>71</v>
      </c>
      <c r="P131" t="s">
        <v>23</v>
      </c>
      <c r="Q131">
        <f t="shared" ref="Q131:Q194" si="2">SUM(H131:M131)/6</f>
        <v>45.833333333333336</v>
      </c>
    </row>
    <row r="132" spans="1:17" x14ac:dyDescent="0.3">
      <c r="A132" t="s">
        <v>399</v>
      </c>
      <c r="B132" t="s">
        <v>400</v>
      </c>
      <c r="C132" t="s">
        <v>406</v>
      </c>
      <c r="D132" t="s">
        <v>407</v>
      </c>
      <c r="E132" t="s">
        <v>392</v>
      </c>
      <c r="F132" t="s">
        <v>51</v>
      </c>
      <c r="G132">
        <v>0.95</v>
      </c>
      <c r="H132">
        <v>35</v>
      </c>
      <c r="I132">
        <v>40</v>
      </c>
      <c r="J132">
        <v>65</v>
      </c>
      <c r="K132">
        <v>20</v>
      </c>
      <c r="L132">
        <v>10</v>
      </c>
      <c r="M132">
        <v>0</v>
      </c>
      <c r="N132">
        <v>0</v>
      </c>
      <c r="O132" t="s">
        <v>403</v>
      </c>
      <c r="P132" t="s">
        <v>23</v>
      </c>
      <c r="Q132">
        <f t="shared" si="2"/>
        <v>28.333333333333332</v>
      </c>
    </row>
    <row r="133" spans="1:17" x14ac:dyDescent="0.3">
      <c r="A133" t="s">
        <v>399</v>
      </c>
      <c r="B133" t="s">
        <v>400</v>
      </c>
      <c r="C133" t="s">
        <v>408</v>
      </c>
      <c r="D133" t="s">
        <v>409</v>
      </c>
      <c r="E133" t="s">
        <v>392</v>
      </c>
      <c r="F133" t="s">
        <v>51</v>
      </c>
      <c r="G133">
        <v>0.9</v>
      </c>
      <c r="H133">
        <v>20</v>
      </c>
      <c r="I133">
        <v>30</v>
      </c>
      <c r="J133">
        <v>40</v>
      </c>
      <c r="K133">
        <v>5</v>
      </c>
      <c r="L133">
        <v>10</v>
      </c>
      <c r="M133">
        <v>1</v>
      </c>
      <c r="N133">
        <v>17</v>
      </c>
      <c r="O133" t="s">
        <v>99</v>
      </c>
      <c r="P133" t="s">
        <v>23</v>
      </c>
      <c r="Q133">
        <f t="shared" si="2"/>
        <v>17.666666666666668</v>
      </c>
    </row>
    <row r="134" spans="1:17" x14ac:dyDescent="0.3">
      <c r="A134" t="s">
        <v>410</v>
      </c>
      <c r="B134" t="s">
        <v>411</v>
      </c>
      <c r="C134" t="s">
        <v>412</v>
      </c>
      <c r="D134" t="s">
        <v>413</v>
      </c>
      <c r="E134" t="s">
        <v>392</v>
      </c>
      <c r="F134" t="s">
        <v>51</v>
      </c>
      <c r="G134">
        <v>0.92</v>
      </c>
      <c r="H134">
        <v>60</v>
      </c>
      <c r="I134">
        <v>75</v>
      </c>
      <c r="J134">
        <v>65</v>
      </c>
      <c r="K134">
        <v>35</v>
      </c>
      <c r="L134">
        <v>40</v>
      </c>
      <c r="M134">
        <v>70</v>
      </c>
      <c r="N134">
        <v>57</v>
      </c>
      <c r="O134" t="s">
        <v>71</v>
      </c>
      <c r="P134" t="s">
        <v>23</v>
      </c>
      <c r="Q134">
        <f t="shared" si="2"/>
        <v>57.5</v>
      </c>
    </row>
    <row r="135" spans="1:17" x14ac:dyDescent="0.3">
      <c r="A135" t="s">
        <v>410</v>
      </c>
      <c r="B135" t="s">
        <v>411</v>
      </c>
      <c r="C135" t="s">
        <v>404</v>
      </c>
      <c r="D135" t="s">
        <v>414</v>
      </c>
      <c r="E135" t="s">
        <v>387</v>
      </c>
      <c r="F135" t="s">
        <v>51</v>
      </c>
      <c r="G135">
        <v>0.95</v>
      </c>
      <c r="H135">
        <v>50</v>
      </c>
      <c r="I135">
        <v>30</v>
      </c>
      <c r="J135">
        <v>40</v>
      </c>
      <c r="K135">
        <v>20</v>
      </c>
      <c r="L135">
        <v>60</v>
      </c>
      <c r="M135">
        <v>70</v>
      </c>
      <c r="N135">
        <v>45</v>
      </c>
      <c r="O135" t="s">
        <v>71</v>
      </c>
      <c r="P135" t="s">
        <v>23</v>
      </c>
      <c r="Q135">
        <f t="shared" si="2"/>
        <v>45</v>
      </c>
    </row>
    <row r="136" spans="1:17" x14ac:dyDescent="0.3">
      <c r="A136" t="s">
        <v>410</v>
      </c>
      <c r="B136" t="s">
        <v>411</v>
      </c>
      <c r="C136" t="s">
        <v>401</v>
      </c>
      <c r="D136" t="s">
        <v>415</v>
      </c>
      <c r="E136" t="s">
        <v>387</v>
      </c>
      <c r="F136" t="s">
        <v>51</v>
      </c>
      <c r="G136">
        <v>0.95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100</v>
      </c>
      <c r="N136">
        <v>0</v>
      </c>
      <c r="O136" t="s">
        <v>403</v>
      </c>
      <c r="P136" t="s">
        <v>23</v>
      </c>
      <c r="Q136">
        <f t="shared" si="2"/>
        <v>16.666666666666668</v>
      </c>
    </row>
    <row r="137" spans="1:17" x14ac:dyDescent="0.3">
      <c r="A137" t="s">
        <v>410</v>
      </c>
      <c r="B137" t="s">
        <v>411</v>
      </c>
      <c r="C137" t="s">
        <v>406</v>
      </c>
      <c r="D137" t="s">
        <v>416</v>
      </c>
      <c r="E137" t="s">
        <v>417</v>
      </c>
      <c r="F137" t="s">
        <v>51</v>
      </c>
      <c r="G137">
        <v>0.93</v>
      </c>
      <c r="H137">
        <v>25</v>
      </c>
      <c r="I137">
        <v>30</v>
      </c>
      <c r="J137">
        <v>40</v>
      </c>
      <c r="K137">
        <v>10</v>
      </c>
      <c r="L137">
        <v>50</v>
      </c>
      <c r="M137">
        <v>80</v>
      </c>
      <c r="N137">
        <v>39</v>
      </c>
      <c r="O137" t="s">
        <v>99</v>
      </c>
      <c r="P137" t="s">
        <v>23</v>
      </c>
      <c r="Q137">
        <f t="shared" si="2"/>
        <v>39.166666666666664</v>
      </c>
    </row>
    <row r="138" spans="1:17" x14ac:dyDescent="0.3">
      <c r="A138" t="s">
        <v>418</v>
      </c>
      <c r="B138" t="s">
        <v>419</v>
      </c>
      <c r="C138" t="s">
        <v>408</v>
      </c>
      <c r="D138" t="s">
        <v>420</v>
      </c>
      <c r="E138" t="s">
        <v>392</v>
      </c>
      <c r="F138" t="s">
        <v>51</v>
      </c>
      <c r="G138">
        <v>0.9</v>
      </c>
      <c r="H138">
        <v>35</v>
      </c>
      <c r="I138">
        <v>40</v>
      </c>
      <c r="J138">
        <v>60</v>
      </c>
      <c r="K138">
        <v>20</v>
      </c>
      <c r="L138">
        <v>70</v>
      </c>
      <c r="M138">
        <v>15</v>
      </c>
      <c r="N138">
        <v>40</v>
      </c>
      <c r="O138" t="s">
        <v>71</v>
      </c>
      <c r="P138" t="s">
        <v>23</v>
      </c>
      <c r="Q138">
        <f t="shared" si="2"/>
        <v>40</v>
      </c>
    </row>
    <row r="139" spans="1:17" x14ac:dyDescent="0.3">
      <c r="A139" t="s">
        <v>418</v>
      </c>
      <c r="B139" t="s">
        <v>419</v>
      </c>
      <c r="C139" t="s">
        <v>401</v>
      </c>
      <c r="D139" t="s">
        <v>421</v>
      </c>
      <c r="E139" t="s">
        <v>387</v>
      </c>
      <c r="F139" t="s">
        <v>51</v>
      </c>
      <c r="G139">
        <v>0.95</v>
      </c>
      <c r="H139">
        <v>0</v>
      </c>
      <c r="I139">
        <v>20</v>
      </c>
      <c r="J139">
        <v>35</v>
      </c>
      <c r="K139">
        <v>0</v>
      </c>
      <c r="L139">
        <v>0</v>
      </c>
      <c r="M139">
        <v>95</v>
      </c>
      <c r="N139">
        <v>0</v>
      </c>
      <c r="O139" t="s">
        <v>403</v>
      </c>
      <c r="P139" t="s">
        <v>23</v>
      </c>
      <c r="Q139">
        <f t="shared" si="2"/>
        <v>25</v>
      </c>
    </row>
    <row r="140" spans="1:17" x14ac:dyDescent="0.3">
      <c r="A140" t="s">
        <v>418</v>
      </c>
      <c r="B140" t="s">
        <v>419</v>
      </c>
      <c r="C140" t="s">
        <v>404</v>
      </c>
      <c r="D140" t="s">
        <v>422</v>
      </c>
      <c r="E140" t="s">
        <v>387</v>
      </c>
      <c r="F140" t="s">
        <v>51</v>
      </c>
      <c r="G140">
        <v>0.93</v>
      </c>
      <c r="H140">
        <v>30</v>
      </c>
      <c r="I140">
        <v>45</v>
      </c>
      <c r="J140">
        <v>60</v>
      </c>
      <c r="K140">
        <v>20</v>
      </c>
      <c r="L140">
        <v>50</v>
      </c>
      <c r="M140">
        <v>10</v>
      </c>
      <c r="N140">
        <v>35</v>
      </c>
      <c r="O140" t="s">
        <v>99</v>
      </c>
      <c r="P140" t="s">
        <v>23</v>
      </c>
      <c r="Q140">
        <f t="shared" si="2"/>
        <v>35.833333333333336</v>
      </c>
    </row>
    <row r="141" spans="1:17" x14ac:dyDescent="0.3">
      <c r="A141" t="s">
        <v>418</v>
      </c>
      <c r="B141" t="s">
        <v>419</v>
      </c>
      <c r="C141" t="s">
        <v>406</v>
      </c>
      <c r="D141" t="s">
        <v>423</v>
      </c>
      <c r="E141" t="s">
        <v>392</v>
      </c>
      <c r="F141" t="s">
        <v>51</v>
      </c>
      <c r="G141">
        <v>0.92</v>
      </c>
      <c r="H141">
        <v>0</v>
      </c>
      <c r="I141">
        <v>20</v>
      </c>
      <c r="J141">
        <v>30</v>
      </c>
      <c r="K141">
        <v>0</v>
      </c>
      <c r="L141">
        <v>50</v>
      </c>
      <c r="M141">
        <v>0</v>
      </c>
      <c r="N141">
        <v>0</v>
      </c>
      <c r="O141" t="s">
        <v>403</v>
      </c>
      <c r="P141" t="s">
        <v>23</v>
      </c>
      <c r="Q141">
        <f t="shared" si="2"/>
        <v>16.666666666666668</v>
      </c>
    </row>
    <row r="142" spans="1:17" x14ac:dyDescent="0.3">
      <c r="A142" t="s">
        <v>424</v>
      </c>
      <c r="B142" t="s">
        <v>425</v>
      </c>
      <c r="C142" t="s">
        <v>404</v>
      </c>
      <c r="D142" t="s">
        <v>426</v>
      </c>
      <c r="E142" t="s">
        <v>387</v>
      </c>
      <c r="F142" t="s">
        <v>51</v>
      </c>
      <c r="G142">
        <v>0.93</v>
      </c>
      <c r="H142">
        <v>20</v>
      </c>
      <c r="I142">
        <v>30</v>
      </c>
      <c r="J142">
        <v>40</v>
      </c>
      <c r="K142">
        <v>10</v>
      </c>
      <c r="L142">
        <v>50</v>
      </c>
      <c r="M142">
        <v>70</v>
      </c>
      <c r="N142">
        <v>36</v>
      </c>
      <c r="O142" t="s">
        <v>99</v>
      </c>
      <c r="P142" t="s">
        <v>23</v>
      </c>
      <c r="Q142">
        <f t="shared" si="2"/>
        <v>36.666666666666664</v>
      </c>
    </row>
    <row r="143" spans="1:17" x14ac:dyDescent="0.3">
      <c r="A143" t="s">
        <v>424</v>
      </c>
      <c r="B143" t="s">
        <v>425</v>
      </c>
      <c r="C143" t="s">
        <v>427</v>
      </c>
      <c r="D143" t="s">
        <v>428</v>
      </c>
      <c r="E143" t="s">
        <v>387</v>
      </c>
      <c r="F143" t="s">
        <v>51</v>
      </c>
      <c r="G143">
        <v>0.86</v>
      </c>
      <c r="H143">
        <v>85</v>
      </c>
      <c r="I143">
        <v>75</v>
      </c>
      <c r="J143">
        <v>60</v>
      </c>
      <c r="K143">
        <v>60</v>
      </c>
      <c r="L143">
        <v>90</v>
      </c>
      <c r="M143">
        <v>70</v>
      </c>
      <c r="N143">
        <v>73</v>
      </c>
      <c r="O143" t="s">
        <v>28</v>
      </c>
      <c r="P143" t="s">
        <v>23</v>
      </c>
      <c r="Q143">
        <f t="shared" si="2"/>
        <v>73.333333333333329</v>
      </c>
    </row>
    <row r="144" spans="1:17" x14ac:dyDescent="0.3">
      <c r="A144" t="s">
        <v>424</v>
      </c>
      <c r="B144" t="s">
        <v>425</v>
      </c>
      <c r="C144" t="s">
        <v>429</v>
      </c>
      <c r="D144" t="s">
        <v>430</v>
      </c>
      <c r="E144" t="s">
        <v>387</v>
      </c>
      <c r="F144" t="s">
        <v>51</v>
      </c>
      <c r="G144">
        <v>0.85</v>
      </c>
      <c r="H144">
        <v>75</v>
      </c>
      <c r="I144">
        <v>80</v>
      </c>
      <c r="J144">
        <v>60</v>
      </c>
      <c r="K144">
        <v>90</v>
      </c>
      <c r="L144">
        <v>60</v>
      </c>
      <c r="M144">
        <v>85</v>
      </c>
      <c r="N144">
        <v>75</v>
      </c>
      <c r="O144" t="s">
        <v>22</v>
      </c>
      <c r="P144" t="s">
        <v>23</v>
      </c>
      <c r="Q144">
        <f t="shared" si="2"/>
        <v>75</v>
      </c>
    </row>
    <row r="145" spans="1:17" x14ac:dyDescent="0.3">
      <c r="A145" t="s">
        <v>424</v>
      </c>
      <c r="B145" t="s">
        <v>425</v>
      </c>
      <c r="C145" t="s">
        <v>412</v>
      </c>
      <c r="D145" t="s">
        <v>431</v>
      </c>
      <c r="E145" t="s">
        <v>392</v>
      </c>
      <c r="F145" t="s">
        <v>51</v>
      </c>
      <c r="G145">
        <v>0.92</v>
      </c>
      <c r="H145">
        <v>75</v>
      </c>
      <c r="I145">
        <v>75</v>
      </c>
      <c r="J145">
        <v>75</v>
      </c>
      <c r="K145">
        <v>75</v>
      </c>
      <c r="L145">
        <v>75</v>
      </c>
      <c r="M145">
        <v>75</v>
      </c>
      <c r="N145">
        <v>75</v>
      </c>
      <c r="O145" t="s">
        <v>22</v>
      </c>
      <c r="P145" t="s">
        <v>23</v>
      </c>
      <c r="Q145">
        <f t="shared" si="2"/>
        <v>75</v>
      </c>
    </row>
    <row r="146" spans="1:17" x14ac:dyDescent="0.3">
      <c r="A146" t="s">
        <v>432</v>
      </c>
      <c r="B146" t="s">
        <v>433</v>
      </c>
      <c r="C146" t="s">
        <v>412</v>
      </c>
      <c r="D146" t="s">
        <v>434</v>
      </c>
      <c r="E146" t="s">
        <v>392</v>
      </c>
      <c r="F146" t="s">
        <v>51</v>
      </c>
      <c r="G146">
        <v>0.92</v>
      </c>
      <c r="H146">
        <v>35</v>
      </c>
      <c r="I146">
        <v>60</v>
      </c>
      <c r="J146">
        <v>70</v>
      </c>
      <c r="K146">
        <v>20</v>
      </c>
      <c r="L146">
        <v>40</v>
      </c>
      <c r="M146">
        <v>5</v>
      </c>
      <c r="N146">
        <v>38</v>
      </c>
      <c r="O146" t="s">
        <v>99</v>
      </c>
      <c r="P146" t="s">
        <v>23</v>
      </c>
      <c r="Q146">
        <f t="shared" si="2"/>
        <v>38.333333333333336</v>
      </c>
    </row>
    <row r="147" spans="1:17" x14ac:dyDescent="0.3">
      <c r="A147" t="s">
        <v>432</v>
      </c>
      <c r="B147" t="s">
        <v>433</v>
      </c>
      <c r="C147" t="s">
        <v>435</v>
      </c>
      <c r="D147" t="s">
        <v>436</v>
      </c>
      <c r="E147" t="s">
        <v>392</v>
      </c>
      <c r="F147" t="s">
        <v>51</v>
      </c>
      <c r="G147">
        <v>0.88</v>
      </c>
      <c r="H147">
        <v>70</v>
      </c>
      <c r="I147">
        <v>65</v>
      </c>
      <c r="J147">
        <v>70</v>
      </c>
      <c r="K147">
        <v>30</v>
      </c>
      <c r="L147">
        <v>80</v>
      </c>
      <c r="M147">
        <v>90</v>
      </c>
      <c r="N147">
        <v>67</v>
      </c>
      <c r="O147" t="s">
        <v>28</v>
      </c>
      <c r="P147" t="s">
        <v>23</v>
      </c>
      <c r="Q147">
        <f t="shared" si="2"/>
        <v>67.5</v>
      </c>
    </row>
    <row r="148" spans="1:17" x14ac:dyDescent="0.3">
      <c r="A148" t="s">
        <v>432</v>
      </c>
      <c r="B148" t="s">
        <v>433</v>
      </c>
      <c r="C148" t="s">
        <v>437</v>
      </c>
      <c r="D148" t="s">
        <v>438</v>
      </c>
      <c r="E148" t="s">
        <v>439</v>
      </c>
      <c r="F148" t="s">
        <v>51</v>
      </c>
      <c r="G148">
        <v>0.85</v>
      </c>
      <c r="H148">
        <v>65</v>
      </c>
      <c r="I148">
        <v>70</v>
      </c>
      <c r="J148">
        <v>80</v>
      </c>
      <c r="K148">
        <v>40</v>
      </c>
      <c r="L148">
        <v>70</v>
      </c>
      <c r="M148">
        <v>80</v>
      </c>
      <c r="N148">
        <v>67</v>
      </c>
      <c r="O148" t="s">
        <v>28</v>
      </c>
      <c r="P148" t="s">
        <v>23</v>
      </c>
      <c r="Q148">
        <f t="shared" si="2"/>
        <v>67.5</v>
      </c>
    </row>
    <row r="149" spans="1:17" x14ac:dyDescent="0.3">
      <c r="A149" t="s">
        <v>432</v>
      </c>
      <c r="B149" t="s">
        <v>433</v>
      </c>
      <c r="C149" t="s">
        <v>440</v>
      </c>
      <c r="D149" t="s">
        <v>441</v>
      </c>
      <c r="E149" t="s">
        <v>387</v>
      </c>
      <c r="F149" t="s">
        <v>51</v>
      </c>
      <c r="G149">
        <v>0.92</v>
      </c>
      <c r="H149">
        <v>70</v>
      </c>
      <c r="I149">
        <v>80</v>
      </c>
      <c r="J149">
        <v>65</v>
      </c>
      <c r="K149">
        <v>30</v>
      </c>
      <c r="L149">
        <v>60</v>
      </c>
      <c r="M149">
        <v>85</v>
      </c>
      <c r="N149">
        <v>65</v>
      </c>
      <c r="O149" t="s">
        <v>28</v>
      </c>
      <c r="P149" t="s">
        <v>23</v>
      </c>
      <c r="Q149">
        <f t="shared" si="2"/>
        <v>65</v>
      </c>
    </row>
    <row r="150" spans="1:17" x14ac:dyDescent="0.3">
      <c r="A150" t="s">
        <v>442</v>
      </c>
      <c r="B150" t="s">
        <v>443</v>
      </c>
      <c r="C150" t="s">
        <v>444</v>
      </c>
      <c r="D150" t="s">
        <v>445</v>
      </c>
      <c r="E150" t="s">
        <v>387</v>
      </c>
      <c r="F150" t="s">
        <v>51</v>
      </c>
      <c r="G150">
        <v>0.92</v>
      </c>
      <c r="H150">
        <v>30</v>
      </c>
      <c r="I150">
        <v>50</v>
      </c>
      <c r="J150">
        <v>40</v>
      </c>
      <c r="K150">
        <v>20</v>
      </c>
      <c r="L150">
        <v>70</v>
      </c>
      <c r="M150">
        <v>10</v>
      </c>
      <c r="N150">
        <v>36</v>
      </c>
      <c r="O150" t="s">
        <v>99</v>
      </c>
      <c r="P150" t="s">
        <v>23</v>
      </c>
      <c r="Q150">
        <f t="shared" si="2"/>
        <v>36.666666666666664</v>
      </c>
    </row>
    <row r="151" spans="1:17" x14ac:dyDescent="0.3">
      <c r="A151" t="s">
        <v>442</v>
      </c>
      <c r="B151" t="s">
        <v>443</v>
      </c>
      <c r="C151" t="s">
        <v>446</v>
      </c>
      <c r="D151" t="s">
        <v>447</v>
      </c>
      <c r="E151" t="s">
        <v>387</v>
      </c>
      <c r="F151" t="s">
        <v>51</v>
      </c>
      <c r="G151">
        <v>0.9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 t="s">
        <v>403</v>
      </c>
      <c r="P151" t="s">
        <v>23</v>
      </c>
      <c r="Q151">
        <f t="shared" si="2"/>
        <v>0</v>
      </c>
    </row>
    <row r="152" spans="1:17" x14ac:dyDescent="0.3">
      <c r="A152" t="s">
        <v>442</v>
      </c>
      <c r="B152" t="s">
        <v>443</v>
      </c>
      <c r="C152" t="s">
        <v>448</v>
      </c>
      <c r="D152" t="s">
        <v>449</v>
      </c>
      <c r="E152" t="s">
        <v>387</v>
      </c>
      <c r="F152" t="s">
        <v>51</v>
      </c>
      <c r="G152">
        <v>0.9</v>
      </c>
      <c r="H152">
        <v>50</v>
      </c>
      <c r="I152">
        <v>60</v>
      </c>
      <c r="J152">
        <v>70</v>
      </c>
      <c r="K152">
        <v>30</v>
      </c>
      <c r="L152">
        <v>80</v>
      </c>
      <c r="M152">
        <v>40</v>
      </c>
      <c r="N152">
        <v>55</v>
      </c>
      <c r="O152" t="s">
        <v>71</v>
      </c>
      <c r="P152" t="s">
        <v>23</v>
      </c>
      <c r="Q152">
        <f t="shared" si="2"/>
        <v>55</v>
      </c>
    </row>
    <row r="153" spans="1:17" x14ac:dyDescent="0.3">
      <c r="A153" t="s">
        <v>442</v>
      </c>
      <c r="B153" t="s">
        <v>443</v>
      </c>
      <c r="C153" t="s">
        <v>450</v>
      </c>
      <c r="D153" t="s">
        <v>451</v>
      </c>
      <c r="E153" t="s">
        <v>387</v>
      </c>
      <c r="F153" t="s">
        <v>51</v>
      </c>
      <c r="G153">
        <v>0.95</v>
      </c>
      <c r="H153">
        <v>20</v>
      </c>
      <c r="I153">
        <v>30</v>
      </c>
      <c r="J153">
        <v>40</v>
      </c>
      <c r="K153">
        <v>10</v>
      </c>
      <c r="L153">
        <v>50</v>
      </c>
      <c r="M153">
        <v>80</v>
      </c>
      <c r="N153">
        <v>38</v>
      </c>
      <c r="O153" t="s">
        <v>99</v>
      </c>
      <c r="P153" t="s">
        <v>23</v>
      </c>
      <c r="Q153">
        <f t="shared" si="2"/>
        <v>38.333333333333336</v>
      </c>
    </row>
    <row r="154" spans="1:17" x14ac:dyDescent="0.3">
      <c r="A154" t="s">
        <v>452</v>
      </c>
      <c r="B154" t="s">
        <v>453</v>
      </c>
      <c r="C154" t="s">
        <v>454</v>
      </c>
      <c r="D154" t="s">
        <v>455</v>
      </c>
      <c r="E154" t="s">
        <v>456</v>
      </c>
      <c r="F154" t="s">
        <v>51</v>
      </c>
      <c r="G154">
        <v>0.95</v>
      </c>
      <c r="H154">
        <v>75</v>
      </c>
      <c r="I154">
        <v>65</v>
      </c>
      <c r="J154">
        <v>80</v>
      </c>
      <c r="K154">
        <v>30</v>
      </c>
      <c r="L154">
        <v>40</v>
      </c>
      <c r="M154">
        <v>50</v>
      </c>
      <c r="N154">
        <v>56</v>
      </c>
      <c r="O154" t="s">
        <v>71</v>
      </c>
      <c r="P154" t="s">
        <v>23</v>
      </c>
      <c r="Q154">
        <f t="shared" si="2"/>
        <v>56.666666666666664</v>
      </c>
    </row>
    <row r="155" spans="1:17" x14ac:dyDescent="0.3">
      <c r="A155" t="s">
        <v>452</v>
      </c>
      <c r="B155" t="s">
        <v>453</v>
      </c>
      <c r="C155" t="s">
        <v>457</v>
      </c>
      <c r="D155" t="s">
        <v>458</v>
      </c>
      <c r="E155" t="s">
        <v>456</v>
      </c>
      <c r="F155" t="s">
        <v>51</v>
      </c>
      <c r="G155">
        <v>0.95</v>
      </c>
      <c r="H155">
        <v>75</v>
      </c>
      <c r="I155">
        <v>80</v>
      </c>
      <c r="J155">
        <v>80</v>
      </c>
      <c r="K155">
        <v>45</v>
      </c>
      <c r="L155">
        <v>60</v>
      </c>
      <c r="M155">
        <v>70</v>
      </c>
      <c r="N155">
        <v>68</v>
      </c>
      <c r="O155" t="s">
        <v>28</v>
      </c>
      <c r="P155" t="s">
        <v>23</v>
      </c>
      <c r="Q155">
        <f t="shared" si="2"/>
        <v>68.333333333333329</v>
      </c>
    </row>
    <row r="156" spans="1:17" x14ac:dyDescent="0.3">
      <c r="A156" t="s">
        <v>452</v>
      </c>
      <c r="B156" t="s">
        <v>453</v>
      </c>
      <c r="C156" t="s">
        <v>459</v>
      </c>
      <c r="D156" t="s">
        <v>460</v>
      </c>
      <c r="E156" t="s">
        <v>456</v>
      </c>
      <c r="F156" t="s">
        <v>51</v>
      </c>
      <c r="G156">
        <v>0.92</v>
      </c>
      <c r="H156">
        <v>30</v>
      </c>
      <c r="I156">
        <v>40</v>
      </c>
      <c r="J156">
        <v>50</v>
      </c>
      <c r="K156">
        <v>20</v>
      </c>
      <c r="L156">
        <v>70</v>
      </c>
      <c r="M156">
        <v>10</v>
      </c>
      <c r="N156">
        <v>36</v>
      </c>
      <c r="O156" t="s">
        <v>99</v>
      </c>
      <c r="P156" t="s">
        <v>23</v>
      </c>
      <c r="Q156">
        <f t="shared" si="2"/>
        <v>36.666666666666664</v>
      </c>
    </row>
    <row r="157" spans="1:17" x14ac:dyDescent="0.3">
      <c r="A157" t="s">
        <v>452</v>
      </c>
      <c r="B157" t="s">
        <v>453</v>
      </c>
      <c r="C157" t="s">
        <v>461</v>
      </c>
      <c r="D157" t="s">
        <v>462</v>
      </c>
      <c r="E157" t="s">
        <v>456</v>
      </c>
      <c r="F157" t="s">
        <v>51</v>
      </c>
      <c r="G157">
        <v>0.95</v>
      </c>
      <c r="H157">
        <v>60</v>
      </c>
      <c r="I157">
        <v>75</v>
      </c>
      <c r="J157">
        <v>70</v>
      </c>
      <c r="K157">
        <v>30</v>
      </c>
      <c r="L157">
        <v>40</v>
      </c>
      <c r="M157">
        <v>65</v>
      </c>
      <c r="N157">
        <v>56</v>
      </c>
      <c r="O157" t="s">
        <v>71</v>
      </c>
      <c r="P157" t="s">
        <v>23</v>
      </c>
      <c r="Q157">
        <f t="shared" si="2"/>
        <v>56.666666666666664</v>
      </c>
    </row>
    <row r="158" spans="1:17" x14ac:dyDescent="0.3">
      <c r="A158" t="s">
        <v>463</v>
      </c>
      <c r="B158" t="s">
        <v>464</v>
      </c>
      <c r="C158" t="s">
        <v>457</v>
      </c>
      <c r="D158" t="s">
        <v>465</v>
      </c>
      <c r="E158" t="s">
        <v>466</v>
      </c>
      <c r="F158" t="s">
        <v>51</v>
      </c>
      <c r="G158">
        <v>0.95</v>
      </c>
      <c r="H158">
        <v>85</v>
      </c>
      <c r="I158">
        <v>90</v>
      </c>
      <c r="J158">
        <v>70</v>
      </c>
      <c r="K158">
        <v>60</v>
      </c>
      <c r="L158">
        <v>75</v>
      </c>
      <c r="M158">
        <v>80</v>
      </c>
      <c r="N158">
        <v>76</v>
      </c>
      <c r="O158" t="s">
        <v>22</v>
      </c>
      <c r="P158" t="s">
        <v>23</v>
      </c>
      <c r="Q158">
        <f t="shared" si="2"/>
        <v>76.666666666666671</v>
      </c>
    </row>
    <row r="159" spans="1:17" x14ac:dyDescent="0.3">
      <c r="A159" t="s">
        <v>463</v>
      </c>
      <c r="B159" t="s">
        <v>464</v>
      </c>
      <c r="C159" t="s">
        <v>467</v>
      </c>
      <c r="D159" t="s">
        <v>468</v>
      </c>
      <c r="E159" t="s">
        <v>466</v>
      </c>
      <c r="F159" t="s">
        <v>51</v>
      </c>
      <c r="G159">
        <v>0.9</v>
      </c>
      <c r="H159">
        <v>65</v>
      </c>
      <c r="I159">
        <v>70</v>
      </c>
      <c r="J159">
        <v>80</v>
      </c>
      <c r="K159">
        <v>30</v>
      </c>
      <c r="L159">
        <v>40</v>
      </c>
      <c r="M159">
        <v>50</v>
      </c>
      <c r="N159">
        <v>55</v>
      </c>
      <c r="O159" t="s">
        <v>71</v>
      </c>
      <c r="P159" t="s">
        <v>23</v>
      </c>
      <c r="Q159">
        <f t="shared" si="2"/>
        <v>55.833333333333336</v>
      </c>
    </row>
    <row r="160" spans="1:17" x14ac:dyDescent="0.3">
      <c r="A160" t="s">
        <v>463</v>
      </c>
      <c r="B160" t="s">
        <v>464</v>
      </c>
      <c r="C160" t="s">
        <v>461</v>
      </c>
      <c r="D160" t="s">
        <v>469</v>
      </c>
      <c r="E160" t="s">
        <v>466</v>
      </c>
      <c r="F160" t="s">
        <v>51</v>
      </c>
      <c r="G160">
        <v>0.92</v>
      </c>
      <c r="H160">
        <v>65</v>
      </c>
      <c r="I160">
        <v>70</v>
      </c>
      <c r="J160">
        <v>70</v>
      </c>
      <c r="K160">
        <v>30</v>
      </c>
      <c r="L160">
        <v>40</v>
      </c>
      <c r="M160">
        <v>80</v>
      </c>
      <c r="N160">
        <v>59</v>
      </c>
      <c r="O160" t="s">
        <v>71</v>
      </c>
      <c r="P160" t="s">
        <v>23</v>
      </c>
      <c r="Q160">
        <f t="shared" si="2"/>
        <v>59.166666666666664</v>
      </c>
    </row>
    <row r="161" spans="1:17" x14ac:dyDescent="0.3">
      <c r="A161" t="s">
        <v>463</v>
      </c>
      <c r="B161" t="s">
        <v>464</v>
      </c>
      <c r="C161" t="s">
        <v>470</v>
      </c>
      <c r="D161" t="s">
        <v>471</v>
      </c>
      <c r="E161" t="s">
        <v>466</v>
      </c>
      <c r="F161" t="s">
        <v>51</v>
      </c>
      <c r="G161">
        <v>0.95</v>
      </c>
      <c r="H161">
        <v>25</v>
      </c>
      <c r="I161">
        <v>35</v>
      </c>
      <c r="J161">
        <v>40</v>
      </c>
      <c r="K161">
        <v>10</v>
      </c>
      <c r="L161">
        <v>50</v>
      </c>
      <c r="M161">
        <v>5</v>
      </c>
      <c r="N161">
        <v>27</v>
      </c>
      <c r="O161" t="s">
        <v>99</v>
      </c>
      <c r="P161" t="s">
        <v>23</v>
      </c>
      <c r="Q161">
        <f t="shared" si="2"/>
        <v>27.5</v>
      </c>
    </row>
    <row r="162" spans="1:17" x14ac:dyDescent="0.3">
      <c r="A162" t="s">
        <v>472</v>
      </c>
      <c r="B162" t="s">
        <v>473</v>
      </c>
      <c r="C162" t="s">
        <v>474</v>
      </c>
      <c r="D162" t="s">
        <v>475</v>
      </c>
      <c r="E162" t="s">
        <v>476</v>
      </c>
      <c r="F162" t="s">
        <v>51</v>
      </c>
      <c r="G162">
        <v>0.9</v>
      </c>
      <c r="H162">
        <v>35</v>
      </c>
      <c r="I162">
        <v>45</v>
      </c>
      <c r="J162">
        <v>60</v>
      </c>
      <c r="K162">
        <v>20</v>
      </c>
      <c r="L162">
        <v>70</v>
      </c>
      <c r="M162">
        <v>80</v>
      </c>
      <c r="N162">
        <v>51</v>
      </c>
      <c r="O162" t="s">
        <v>71</v>
      </c>
      <c r="P162" t="s">
        <v>23</v>
      </c>
      <c r="Q162">
        <f t="shared" si="2"/>
        <v>51.666666666666664</v>
      </c>
    </row>
    <row r="163" spans="1:17" x14ac:dyDescent="0.3">
      <c r="A163" t="s">
        <v>472</v>
      </c>
      <c r="B163" t="s">
        <v>473</v>
      </c>
      <c r="C163" t="s">
        <v>461</v>
      </c>
      <c r="D163" t="s">
        <v>477</v>
      </c>
      <c r="E163" t="s">
        <v>476</v>
      </c>
      <c r="F163" t="s">
        <v>51</v>
      </c>
      <c r="G163">
        <v>0.95</v>
      </c>
      <c r="H163">
        <v>50</v>
      </c>
      <c r="I163">
        <v>70</v>
      </c>
      <c r="J163">
        <v>80</v>
      </c>
      <c r="K163">
        <v>30</v>
      </c>
      <c r="L163">
        <v>60</v>
      </c>
      <c r="M163">
        <v>40</v>
      </c>
      <c r="N163">
        <v>55</v>
      </c>
      <c r="O163" t="s">
        <v>71</v>
      </c>
      <c r="P163" t="s">
        <v>23</v>
      </c>
      <c r="Q163">
        <f t="shared" si="2"/>
        <v>55</v>
      </c>
    </row>
    <row r="164" spans="1:17" x14ac:dyDescent="0.3">
      <c r="A164" t="s">
        <v>472</v>
      </c>
      <c r="B164" t="s">
        <v>473</v>
      </c>
      <c r="C164" t="s">
        <v>457</v>
      </c>
      <c r="D164" t="s">
        <v>478</v>
      </c>
      <c r="E164" t="s">
        <v>476</v>
      </c>
      <c r="F164" t="s">
        <v>51</v>
      </c>
      <c r="G164">
        <v>0.95</v>
      </c>
      <c r="H164">
        <v>50</v>
      </c>
      <c r="I164">
        <v>60</v>
      </c>
      <c r="J164">
        <v>65</v>
      </c>
      <c r="K164">
        <v>20</v>
      </c>
      <c r="L164">
        <v>30</v>
      </c>
      <c r="M164">
        <v>25</v>
      </c>
      <c r="N164">
        <v>41</v>
      </c>
      <c r="O164" t="s">
        <v>71</v>
      </c>
      <c r="P164" t="s">
        <v>23</v>
      </c>
      <c r="Q164">
        <f t="shared" si="2"/>
        <v>41.666666666666664</v>
      </c>
    </row>
    <row r="165" spans="1:17" x14ac:dyDescent="0.3">
      <c r="A165" t="s">
        <v>472</v>
      </c>
      <c r="B165" t="s">
        <v>473</v>
      </c>
      <c r="C165" t="s">
        <v>479</v>
      </c>
      <c r="D165" t="s">
        <v>480</v>
      </c>
      <c r="E165" t="s">
        <v>476</v>
      </c>
      <c r="F165" t="s">
        <v>51</v>
      </c>
      <c r="G165">
        <v>0.9</v>
      </c>
      <c r="H165">
        <v>85</v>
      </c>
      <c r="I165">
        <v>70</v>
      </c>
      <c r="J165">
        <v>60</v>
      </c>
      <c r="K165">
        <v>20</v>
      </c>
      <c r="L165">
        <v>90</v>
      </c>
      <c r="M165">
        <v>40</v>
      </c>
      <c r="N165">
        <v>60</v>
      </c>
      <c r="O165" t="s">
        <v>28</v>
      </c>
      <c r="P165" t="s">
        <v>23</v>
      </c>
      <c r="Q165">
        <f t="shared" si="2"/>
        <v>60.833333333333336</v>
      </c>
    </row>
    <row r="166" spans="1:17" x14ac:dyDescent="0.3">
      <c r="A166" t="s">
        <v>481</v>
      </c>
      <c r="B166" t="s">
        <v>482</v>
      </c>
      <c r="C166" t="s">
        <v>483</v>
      </c>
      <c r="D166" t="s">
        <v>484</v>
      </c>
      <c r="E166" t="s">
        <v>485</v>
      </c>
      <c r="F166" t="s">
        <v>51</v>
      </c>
      <c r="G166">
        <v>0.95</v>
      </c>
      <c r="H166">
        <v>85</v>
      </c>
      <c r="I166">
        <v>70</v>
      </c>
      <c r="J166">
        <v>65</v>
      </c>
      <c r="K166">
        <v>45</v>
      </c>
      <c r="L166">
        <v>70</v>
      </c>
      <c r="M166">
        <v>70</v>
      </c>
      <c r="N166">
        <v>67</v>
      </c>
      <c r="O166" t="s">
        <v>28</v>
      </c>
      <c r="P166" t="s">
        <v>23</v>
      </c>
      <c r="Q166">
        <f t="shared" si="2"/>
        <v>67.5</v>
      </c>
    </row>
    <row r="167" spans="1:17" x14ac:dyDescent="0.3">
      <c r="A167" t="s">
        <v>481</v>
      </c>
      <c r="B167" t="s">
        <v>482</v>
      </c>
      <c r="C167" t="s">
        <v>461</v>
      </c>
      <c r="D167" t="s">
        <v>486</v>
      </c>
      <c r="E167" t="s">
        <v>485</v>
      </c>
      <c r="F167" t="s">
        <v>51</v>
      </c>
      <c r="G167">
        <v>0.95</v>
      </c>
      <c r="H167">
        <v>50</v>
      </c>
      <c r="I167">
        <v>60</v>
      </c>
      <c r="J167">
        <v>70</v>
      </c>
      <c r="K167">
        <v>20</v>
      </c>
      <c r="L167">
        <v>40</v>
      </c>
      <c r="M167">
        <v>60</v>
      </c>
      <c r="N167">
        <v>50</v>
      </c>
      <c r="O167" t="s">
        <v>71</v>
      </c>
      <c r="P167" t="s">
        <v>23</v>
      </c>
      <c r="Q167">
        <f t="shared" si="2"/>
        <v>50</v>
      </c>
    </row>
    <row r="168" spans="1:17" x14ac:dyDescent="0.3">
      <c r="A168" t="s">
        <v>481</v>
      </c>
      <c r="B168" t="s">
        <v>482</v>
      </c>
      <c r="C168" t="s">
        <v>457</v>
      </c>
      <c r="D168" t="s">
        <v>487</v>
      </c>
      <c r="E168" t="s">
        <v>485</v>
      </c>
      <c r="F168" t="s">
        <v>51</v>
      </c>
      <c r="G168">
        <v>0.95</v>
      </c>
      <c r="H168">
        <v>30</v>
      </c>
      <c r="I168">
        <v>50</v>
      </c>
      <c r="J168">
        <v>60</v>
      </c>
      <c r="K168">
        <v>20</v>
      </c>
      <c r="L168">
        <v>40</v>
      </c>
      <c r="M168">
        <v>70</v>
      </c>
      <c r="N168">
        <v>45</v>
      </c>
      <c r="O168" t="s">
        <v>71</v>
      </c>
      <c r="P168" t="s">
        <v>23</v>
      </c>
      <c r="Q168">
        <f t="shared" si="2"/>
        <v>45</v>
      </c>
    </row>
    <row r="169" spans="1:17" x14ac:dyDescent="0.3">
      <c r="A169" t="s">
        <v>481</v>
      </c>
      <c r="B169" t="s">
        <v>482</v>
      </c>
      <c r="C169" t="s">
        <v>479</v>
      </c>
      <c r="D169" t="s">
        <v>488</v>
      </c>
      <c r="E169" t="s">
        <v>485</v>
      </c>
      <c r="F169" t="s">
        <v>51</v>
      </c>
      <c r="G169">
        <v>0.92</v>
      </c>
      <c r="H169">
        <v>75</v>
      </c>
      <c r="I169">
        <v>80</v>
      </c>
      <c r="J169">
        <v>70</v>
      </c>
      <c r="K169">
        <v>40</v>
      </c>
      <c r="L169">
        <v>60</v>
      </c>
      <c r="M169">
        <v>60</v>
      </c>
      <c r="N169">
        <v>64</v>
      </c>
      <c r="O169" t="s">
        <v>28</v>
      </c>
      <c r="P169" t="s">
        <v>23</v>
      </c>
      <c r="Q169">
        <f t="shared" si="2"/>
        <v>64.166666666666671</v>
      </c>
    </row>
    <row r="170" spans="1:17" x14ac:dyDescent="0.3">
      <c r="A170" t="s">
        <v>489</v>
      </c>
      <c r="B170" t="s">
        <v>490</v>
      </c>
      <c r="C170" t="s">
        <v>474</v>
      </c>
      <c r="D170" t="s">
        <v>491</v>
      </c>
      <c r="E170" t="s">
        <v>492</v>
      </c>
      <c r="F170" t="s">
        <v>51</v>
      </c>
      <c r="G170">
        <v>0.95</v>
      </c>
      <c r="H170">
        <v>65</v>
      </c>
      <c r="I170">
        <v>70</v>
      </c>
      <c r="J170">
        <v>80</v>
      </c>
      <c r="K170">
        <v>20</v>
      </c>
      <c r="L170">
        <v>40</v>
      </c>
      <c r="M170">
        <v>30</v>
      </c>
      <c r="N170">
        <v>50</v>
      </c>
      <c r="O170" t="s">
        <v>71</v>
      </c>
      <c r="P170" t="s">
        <v>23</v>
      </c>
      <c r="Q170">
        <f t="shared" si="2"/>
        <v>50.833333333333336</v>
      </c>
    </row>
    <row r="171" spans="1:17" x14ac:dyDescent="0.3">
      <c r="A171" t="s">
        <v>489</v>
      </c>
      <c r="B171" t="s">
        <v>490</v>
      </c>
      <c r="C171" t="s">
        <v>461</v>
      </c>
      <c r="D171" t="s">
        <v>493</v>
      </c>
      <c r="E171" t="s">
        <v>494</v>
      </c>
      <c r="F171" t="s">
        <v>51</v>
      </c>
      <c r="G171">
        <v>0.92</v>
      </c>
      <c r="H171">
        <v>60</v>
      </c>
      <c r="I171">
        <v>75</v>
      </c>
      <c r="J171">
        <v>80</v>
      </c>
      <c r="K171">
        <v>40</v>
      </c>
      <c r="L171">
        <v>50</v>
      </c>
      <c r="M171">
        <v>70</v>
      </c>
      <c r="N171">
        <v>62</v>
      </c>
      <c r="O171" t="s">
        <v>28</v>
      </c>
      <c r="P171" t="s">
        <v>23</v>
      </c>
      <c r="Q171">
        <f t="shared" si="2"/>
        <v>62.5</v>
      </c>
    </row>
    <row r="172" spans="1:17" x14ac:dyDescent="0.3">
      <c r="A172" t="s">
        <v>489</v>
      </c>
      <c r="B172" t="s">
        <v>490</v>
      </c>
      <c r="C172" t="s">
        <v>457</v>
      </c>
      <c r="D172" t="s">
        <v>495</v>
      </c>
      <c r="E172" t="s">
        <v>496</v>
      </c>
      <c r="F172" t="s">
        <v>51</v>
      </c>
      <c r="G172">
        <v>0.9</v>
      </c>
      <c r="H172">
        <v>85</v>
      </c>
      <c r="I172">
        <v>70</v>
      </c>
      <c r="J172">
        <v>80</v>
      </c>
      <c r="K172">
        <v>35</v>
      </c>
      <c r="L172">
        <v>60</v>
      </c>
      <c r="M172">
        <v>50</v>
      </c>
      <c r="N172">
        <v>63</v>
      </c>
      <c r="O172" t="s">
        <v>28</v>
      </c>
      <c r="P172" t="s">
        <v>23</v>
      </c>
      <c r="Q172">
        <f t="shared" si="2"/>
        <v>63.333333333333336</v>
      </c>
    </row>
    <row r="173" spans="1:17" x14ac:dyDescent="0.3">
      <c r="A173" t="s">
        <v>489</v>
      </c>
      <c r="B173" t="s">
        <v>490</v>
      </c>
      <c r="C173" t="s">
        <v>497</v>
      </c>
      <c r="D173" t="s">
        <v>498</v>
      </c>
      <c r="E173" t="s">
        <v>499</v>
      </c>
      <c r="F173" t="s">
        <v>51</v>
      </c>
      <c r="G173">
        <v>0.95</v>
      </c>
      <c r="H173">
        <v>85</v>
      </c>
      <c r="I173">
        <v>75</v>
      </c>
      <c r="J173">
        <v>60</v>
      </c>
      <c r="K173">
        <v>80</v>
      </c>
      <c r="L173">
        <v>70</v>
      </c>
      <c r="M173">
        <v>90</v>
      </c>
      <c r="N173">
        <v>76</v>
      </c>
      <c r="O173" t="s">
        <v>22</v>
      </c>
      <c r="P173" t="s">
        <v>23</v>
      </c>
      <c r="Q173">
        <f t="shared" si="2"/>
        <v>76.666666666666671</v>
      </c>
    </row>
    <row r="174" spans="1:17" x14ac:dyDescent="0.3">
      <c r="A174" t="s">
        <v>500</v>
      </c>
      <c r="B174" t="s">
        <v>501</v>
      </c>
      <c r="C174" t="s">
        <v>502</v>
      </c>
      <c r="D174" t="s">
        <v>503</v>
      </c>
      <c r="E174" t="s">
        <v>504</v>
      </c>
      <c r="F174" t="s">
        <v>51</v>
      </c>
      <c r="G174">
        <v>0.92</v>
      </c>
      <c r="H174">
        <v>30</v>
      </c>
      <c r="I174">
        <v>50</v>
      </c>
      <c r="J174">
        <v>60</v>
      </c>
      <c r="K174">
        <v>20</v>
      </c>
      <c r="L174">
        <v>40</v>
      </c>
      <c r="M174">
        <v>70</v>
      </c>
      <c r="N174">
        <v>45</v>
      </c>
      <c r="O174" t="s">
        <v>71</v>
      </c>
      <c r="P174" t="s">
        <v>23</v>
      </c>
      <c r="Q174">
        <f t="shared" si="2"/>
        <v>45</v>
      </c>
    </row>
    <row r="175" spans="1:17" x14ac:dyDescent="0.3">
      <c r="A175" t="s">
        <v>500</v>
      </c>
      <c r="B175" t="s">
        <v>501</v>
      </c>
      <c r="C175" t="s">
        <v>461</v>
      </c>
      <c r="D175" t="s">
        <v>505</v>
      </c>
      <c r="E175" t="s">
        <v>506</v>
      </c>
      <c r="F175" t="s">
        <v>51</v>
      </c>
      <c r="G175">
        <v>0.92</v>
      </c>
      <c r="H175">
        <v>60</v>
      </c>
      <c r="I175">
        <v>75</v>
      </c>
      <c r="J175">
        <v>80</v>
      </c>
      <c r="K175">
        <v>20</v>
      </c>
      <c r="L175">
        <v>40</v>
      </c>
      <c r="M175">
        <v>60</v>
      </c>
      <c r="N175">
        <v>55</v>
      </c>
      <c r="O175" t="s">
        <v>71</v>
      </c>
      <c r="P175" t="s">
        <v>23</v>
      </c>
      <c r="Q175">
        <f t="shared" si="2"/>
        <v>55.833333333333336</v>
      </c>
    </row>
    <row r="176" spans="1:17" x14ac:dyDescent="0.3">
      <c r="A176" t="s">
        <v>500</v>
      </c>
      <c r="B176" t="s">
        <v>501</v>
      </c>
      <c r="C176" t="s">
        <v>457</v>
      </c>
      <c r="D176" t="s">
        <v>507</v>
      </c>
      <c r="E176" t="s">
        <v>508</v>
      </c>
      <c r="F176" t="s">
        <v>51</v>
      </c>
      <c r="G176">
        <v>0.95</v>
      </c>
      <c r="H176">
        <v>75</v>
      </c>
      <c r="I176">
        <v>75</v>
      </c>
      <c r="J176">
        <v>75</v>
      </c>
      <c r="K176">
        <v>75</v>
      </c>
      <c r="L176">
        <v>75</v>
      </c>
      <c r="M176">
        <v>75</v>
      </c>
      <c r="N176">
        <v>75</v>
      </c>
      <c r="O176" t="s">
        <v>22</v>
      </c>
      <c r="P176" t="s">
        <v>23</v>
      </c>
      <c r="Q176">
        <f t="shared" si="2"/>
        <v>75</v>
      </c>
    </row>
    <row r="177" spans="1:17" x14ac:dyDescent="0.3">
      <c r="A177" t="s">
        <v>500</v>
      </c>
      <c r="B177" t="s">
        <v>501</v>
      </c>
      <c r="C177" t="s">
        <v>470</v>
      </c>
      <c r="D177" t="s">
        <v>509</v>
      </c>
      <c r="E177" t="s">
        <v>510</v>
      </c>
      <c r="F177" t="s">
        <v>51</v>
      </c>
      <c r="G177">
        <v>0.93</v>
      </c>
      <c r="H177">
        <v>30</v>
      </c>
      <c r="I177">
        <v>50</v>
      </c>
      <c r="J177">
        <v>60</v>
      </c>
      <c r="K177">
        <v>20</v>
      </c>
      <c r="L177">
        <v>40</v>
      </c>
      <c r="M177">
        <v>80</v>
      </c>
      <c r="N177">
        <v>46</v>
      </c>
      <c r="O177" t="s">
        <v>71</v>
      </c>
      <c r="P177" t="s">
        <v>23</v>
      </c>
      <c r="Q177">
        <f t="shared" si="2"/>
        <v>46.666666666666664</v>
      </c>
    </row>
    <row r="178" spans="1:17" x14ac:dyDescent="0.3">
      <c r="A178" t="s">
        <v>511</v>
      </c>
      <c r="B178" t="s">
        <v>512</v>
      </c>
      <c r="C178" t="s">
        <v>513</v>
      </c>
      <c r="D178" t="s">
        <v>514</v>
      </c>
      <c r="E178" t="s">
        <v>515</v>
      </c>
      <c r="F178" t="s">
        <v>51</v>
      </c>
      <c r="G178">
        <v>0.95</v>
      </c>
      <c r="H178">
        <v>75</v>
      </c>
      <c r="I178">
        <v>80</v>
      </c>
      <c r="J178">
        <v>65</v>
      </c>
      <c r="K178">
        <v>20</v>
      </c>
      <c r="L178">
        <v>40</v>
      </c>
      <c r="M178">
        <v>30</v>
      </c>
      <c r="N178">
        <v>51</v>
      </c>
      <c r="O178" t="s">
        <v>71</v>
      </c>
      <c r="P178" t="s">
        <v>23</v>
      </c>
      <c r="Q178">
        <f t="shared" si="2"/>
        <v>51.666666666666664</v>
      </c>
    </row>
    <row r="179" spans="1:17" x14ac:dyDescent="0.3">
      <c r="A179" t="s">
        <v>511</v>
      </c>
      <c r="B179" t="s">
        <v>512</v>
      </c>
      <c r="C179" t="s">
        <v>457</v>
      </c>
      <c r="D179" t="s">
        <v>516</v>
      </c>
      <c r="E179" t="s">
        <v>517</v>
      </c>
      <c r="F179" t="s">
        <v>51</v>
      </c>
      <c r="G179">
        <v>0.92</v>
      </c>
      <c r="H179">
        <v>65</v>
      </c>
      <c r="I179">
        <v>70</v>
      </c>
      <c r="J179">
        <v>72</v>
      </c>
      <c r="K179">
        <v>50</v>
      </c>
      <c r="L179">
        <v>78</v>
      </c>
      <c r="M179">
        <v>60</v>
      </c>
      <c r="N179">
        <v>65</v>
      </c>
      <c r="O179" t="s">
        <v>28</v>
      </c>
      <c r="P179" t="s">
        <v>23</v>
      </c>
      <c r="Q179">
        <f t="shared" si="2"/>
        <v>65.833333333333329</v>
      </c>
    </row>
    <row r="180" spans="1:17" x14ac:dyDescent="0.3">
      <c r="A180" t="s">
        <v>511</v>
      </c>
      <c r="B180" t="s">
        <v>512</v>
      </c>
      <c r="C180" t="s">
        <v>518</v>
      </c>
      <c r="D180" t="s">
        <v>519</v>
      </c>
      <c r="E180" t="s">
        <v>520</v>
      </c>
      <c r="F180" t="s">
        <v>51</v>
      </c>
      <c r="G180">
        <v>0.92</v>
      </c>
      <c r="H180">
        <v>30</v>
      </c>
      <c r="I180">
        <v>45</v>
      </c>
      <c r="J180">
        <v>60</v>
      </c>
      <c r="K180">
        <v>20</v>
      </c>
      <c r="L180">
        <v>50</v>
      </c>
      <c r="M180">
        <v>70</v>
      </c>
      <c r="N180">
        <v>45</v>
      </c>
      <c r="O180" t="s">
        <v>71</v>
      </c>
      <c r="P180" t="s">
        <v>23</v>
      </c>
      <c r="Q180">
        <f t="shared" si="2"/>
        <v>45.833333333333336</v>
      </c>
    </row>
    <row r="181" spans="1:17" x14ac:dyDescent="0.3">
      <c r="A181" t="s">
        <v>511</v>
      </c>
      <c r="B181" t="s">
        <v>512</v>
      </c>
      <c r="C181" t="s">
        <v>521</v>
      </c>
      <c r="D181" t="s">
        <v>522</v>
      </c>
      <c r="E181" t="s">
        <v>523</v>
      </c>
      <c r="F181" t="s">
        <v>51</v>
      </c>
      <c r="G181">
        <v>0.95</v>
      </c>
      <c r="H181">
        <v>25</v>
      </c>
      <c r="I181">
        <v>40</v>
      </c>
      <c r="J181">
        <v>30</v>
      </c>
      <c r="K181">
        <v>10</v>
      </c>
      <c r="L181">
        <v>5</v>
      </c>
      <c r="M181">
        <v>10</v>
      </c>
      <c r="N181">
        <v>20</v>
      </c>
      <c r="O181" t="s">
        <v>99</v>
      </c>
      <c r="P181" t="s">
        <v>23</v>
      </c>
      <c r="Q181">
        <f t="shared" si="2"/>
        <v>20</v>
      </c>
    </row>
    <row r="182" spans="1:17" x14ac:dyDescent="0.3">
      <c r="A182" t="s">
        <v>524</v>
      </c>
      <c r="B182" t="s">
        <v>525</v>
      </c>
      <c r="C182" t="s">
        <v>526</v>
      </c>
      <c r="D182" t="s">
        <v>527</v>
      </c>
      <c r="E182" t="s">
        <v>528</v>
      </c>
      <c r="F182" t="s">
        <v>529</v>
      </c>
      <c r="G182">
        <v>0.9</v>
      </c>
      <c r="H182">
        <v>75</v>
      </c>
      <c r="I182">
        <v>75</v>
      </c>
      <c r="J182">
        <v>75</v>
      </c>
      <c r="K182">
        <v>85</v>
      </c>
      <c r="L182">
        <v>75</v>
      </c>
      <c r="M182">
        <v>75</v>
      </c>
      <c r="N182">
        <v>76</v>
      </c>
      <c r="O182" t="s">
        <v>22</v>
      </c>
      <c r="P182" t="s">
        <v>23</v>
      </c>
      <c r="Q182">
        <f t="shared" si="2"/>
        <v>76.666666666666671</v>
      </c>
    </row>
    <row r="183" spans="1:17" x14ac:dyDescent="0.3">
      <c r="A183" t="s">
        <v>524</v>
      </c>
      <c r="B183" t="s">
        <v>525</v>
      </c>
      <c r="C183" t="s">
        <v>530</v>
      </c>
      <c r="D183" t="s">
        <v>531</v>
      </c>
      <c r="E183" t="s">
        <v>528</v>
      </c>
      <c r="F183" t="s">
        <v>529</v>
      </c>
      <c r="G183">
        <v>0.85</v>
      </c>
      <c r="H183">
        <v>80</v>
      </c>
      <c r="I183">
        <v>70</v>
      </c>
      <c r="J183">
        <v>65</v>
      </c>
      <c r="K183">
        <v>75</v>
      </c>
      <c r="L183">
        <v>60</v>
      </c>
      <c r="M183">
        <v>85</v>
      </c>
      <c r="N183">
        <v>72</v>
      </c>
      <c r="O183" t="s">
        <v>28</v>
      </c>
      <c r="P183" t="s">
        <v>23</v>
      </c>
      <c r="Q183">
        <f t="shared" si="2"/>
        <v>72.5</v>
      </c>
    </row>
    <row r="184" spans="1:17" x14ac:dyDescent="0.3">
      <c r="A184" t="s">
        <v>524</v>
      </c>
      <c r="B184" t="s">
        <v>525</v>
      </c>
      <c r="C184" t="s">
        <v>532</v>
      </c>
      <c r="D184" t="s">
        <v>533</v>
      </c>
      <c r="E184" t="s">
        <v>528</v>
      </c>
      <c r="F184" t="s">
        <v>21</v>
      </c>
      <c r="G184">
        <v>0.82</v>
      </c>
      <c r="H184">
        <v>95</v>
      </c>
      <c r="I184">
        <v>80</v>
      </c>
      <c r="J184">
        <v>75</v>
      </c>
      <c r="K184">
        <v>90</v>
      </c>
      <c r="L184">
        <v>70</v>
      </c>
      <c r="M184">
        <v>90</v>
      </c>
      <c r="N184">
        <v>83</v>
      </c>
      <c r="O184" t="s">
        <v>22</v>
      </c>
      <c r="P184" t="s">
        <v>23</v>
      </c>
      <c r="Q184">
        <f t="shared" si="2"/>
        <v>83.333333333333329</v>
      </c>
    </row>
    <row r="185" spans="1:17" x14ac:dyDescent="0.3">
      <c r="A185" t="s">
        <v>524</v>
      </c>
      <c r="B185" t="s">
        <v>525</v>
      </c>
      <c r="C185" t="s">
        <v>534</v>
      </c>
      <c r="D185" t="s">
        <v>535</v>
      </c>
      <c r="E185" t="s">
        <v>528</v>
      </c>
      <c r="F185" t="s">
        <v>21</v>
      </c>
      <c r="G185">
        <v>0.85</v>
      </c>
      <c r="H185">
        <v>75</v>
      </c>
      <c r="I185">
        <v>75</v>
      </c>
      <c r="J185">
        <v>75</v>
      </c>
      <c r="K185">
        <v>80</v>
      </c>
      <c r="L185">
        <v>75</v>
      </c>
      <c r="M185">
        <v>75</v>
      </c>
      <c r="N185">
        <v>75</v>
      </c>
      <c r="O185" t="s">
        <v>22</v>
      </c>
      <c r="P185" t="s">
        <v>23</v>
      </c>
      <c r="Q185">
        <f t="shared" si="2"/>
        <v>75.833333333333329</v>
      </c>
    </row>
    <row r="186" spans="1:17" x14ac:dyDescent="0.3">
      <c r="A186" t="s">
        <v>536</v>
      </c>
      <c r="B186" t="s">
        <v>537</v>
      </c>
      <c r="C186" t="s">
        <v>538</v>
      </c>
      <c r="D186" t="s">
        <v>539</v>
      </c>
      <c r="E186" t="s">
        <v>540</v>
      </c>
      <c r="F186" t="s">
        <v>529</v>
      </c>
      <c r="G186">
        <v>0.85</v>
      </c>
      <c r="H186">
        <v>75</v>
      </c>
      <c r="I186">
        <v>75</v>
      </c>
      <c r="J186">
        <v>75</v>
      </c>
      <c r="K186">
        <v>75</v>
      </c>
      <c r="L186">
        <v>75</v>
      </c>
      <c r="M186">
        <v>75</v>
      </c>
      <c r="N186">
        <v>75</v>
      </c>
      <c r="O186" t="s">
        <v>22</v>
      </c>
      <c r="P186" t="s">
        <v>23</v>
      </c>
      <c r="Q186">
        <f t="shared" si="2"/>
        <v>75</v>
      </c>
    </row>
    <row r="187" spans="1:17" x14ac:dyDescent="0.3">
      <c r="A187" t="s">
        <v>536</v>
      </c>
      <c r="B187" t="s">
        <v>537</v>
      </c>
      <c r="C187" t="s">
        <v>541</v>
      </c>
      <c r="D187" t="s">
        <v>542</v>
      </c>
      <c r="E187" t="s">
        <v>540</v>
      </c>
      <c r="F187" t="s">
        <v>21</v>
      </c>
      <c r="G187">
        <v>0.65</v>
      </c>
      <c r="H187">
        <v>65</v>
      </c>
      <c r="I187">
        <v>70</v>
      </c>
      <c r="J187">
        <v>80</v>
      </c>
      <c r="K187">
        <v>40</v>
      </c>
      <c r="L187">
        <v>50</v>
      </c>
      <c r="M187">
        <v>20</v>
      </c>
      <c r="N187">
        <v>54</v>
      </c>
      <c r="O187" t="s">
        <v>71</v>
      </c>
      <c r="P187" t="s">
        <v>23</v>
      </c>
      <c r="Q187">
        <f t="shared" si="2"/>
        <v>54.166666666666664</v>
      </c>
    </row>
    <row r="188" spans="1:17" x14ac:dyDescent="0.3">
      <c r="A188" t="s">
        <v>536</v>
      </c>
      <c r="B188" t="s">
        <v>537</v>
      </c>
      <c r="C188" t="s">
        <v>543</v>
      </c>
      <c r="D188" t="s">
        <v>544</v>
      </c>
      <c r="E188" t="s">
        <v>540</v>
      </c>
      <c r="F188" t="s">
        <v>21</v>
      </c>
      <c r="G188">
        <v>0.82</v>
      </c>
      <c r="H188">
        <v>75</v>
      </c>
      <c r="I188">
        <v>75</v>
      </c>
      <c r="J188">
        <v>75</v>
      </c>
      <c r="K188">
        <v>75</v>
      </c>
      <c r="L188">
        <v>75</v>
      </c>
      <c r="M188">
        <v>75</v>
      </c>
      <c r="N188">
        <v>75</v>
      </c>
      <c r="O188" t="s">
        <v>22</v>
      </c>
      <c r="P188" t="s">
        <v>23</v>
      </c>
      <c r="Q188">
        <f t="shared" si="2"/>
        <v>75</v>
      </c>
    </row>
    <row r="189" spans="1:17" x14ac:dyDescent="0.3">
      <c r="A189" t="s">
        <v>536</v>
      </c>
      <c r="B189" t="s">
        <v>537</v>
      </c>
      <c r="C189" t="s">
        <v>545</v>
      </c>
      <c r="D189" t="s">
        <v>546</v>
      </c>
      <c r="E189" t="s">
        <v>540</v>
      </c>
      <c r="F189" t="s">
        <v>21</v>
      </c>
      <c r="G189">
        <v>0.85</v>
      </c>
      <c r="H189">
        <v>85</v>
      </c>
      <c r="I189">
        <v>70</v>
      </c>
      <c r="J189">
        <v>80</v>
      </c>
      <c r="K189">
        <v>90</v>
      </c>
      <c r="L189">
        <v>75</v>
      </c>
      <c r="M189">
        <v>80</v>
      </c>
      <c r="N189">
        <v>80</v>
      </c>
      <c r="O189" t="s">
        <v>22</v>
      </c>
      <c r="P189" t="s">
        <v>23</v>
      </c>
      <c r="Q189">
        <f t="shared" si="2"/>
        <v>80</v>
      </c>
    </row>
    <row r="190" spans="1:17" x14ac:dyDescent="0.3">
      <c r="A190" t="s">
        <v>547</v>
      </c>
      <c r="B190" t="s">
        <v>548</v>
      </c>
      <c r="C190" t="s">
        <v>549</v>
      </c>
      <c r="D190" t="s">
        <v>550</v>
      </c>
      <c r="E190" t="s">
        <v>551</v>
      </c>
      <c r="F190" t="s">
        <v>21</v>
      </c>
      <c r="G190">
        <v>0.87</v>
      </c>
      <c r="H190">
        <v>90</v>
      </c>
      <c r="I190">
        <v>85</v>
      </c>
      <c r="J190">
        <v>75</v>
      </c>
      <c r="K190">
        <v>95</v>
      </c>
      <c r="L190">
        <v>80</v>
      </c>
      <c r="M190">
        <v>90</v>
      </c>
      <c r="N190">
        <v>85</v>
      </c>
      <c r="O190" t="s">
        <v>22</v>
      </c>
      <c r="P190" t="s">
        <v>23</v>
      </c>
      <c r="Q190">
        <f t="shared" si="2"/>
        <v>85.833333333333329</v>
      </c>
    </row>
    <row r="191" spans="1:17" x14ac:dyDescent="0.3">
      <c r="A191" t="s">
        <v>547</v>
      </c>
      <c r="B191" t="s">
        <v>548</v>
      </c>
      <c r="C191" t="s">
        <v>552</v>
      </c>
      <c r="D191" t="s">
        <v>553</v>
      </c>
      <c r="E191" t="s">
        <v>551</v>
      </c>
      <c r="F191" t="s">
        <v>21</v>
      </c>
      <c r="G191">
        <v>0.87</v>
      </c>
      <c r="H191">
        <v>85</v>
      </c>
      <c r="I191">
        <v>90</v>
      </c>
      <c r="J191">
        <v>70</v>
      </c>
      <c r="K191">
        <v>60</v>
      </c>
      <c r="L191">
        <v>80</v>
      </c>
      <c r="M191">
        <v>80</v>
      </c>
      <c r="N191">
        <v>77</v>
      </c>
      <c r="O191" t="s">
        <v>22</v>
      </c>
      <c r="P191" t="s">
        <v>23</v>
      </c>
      <c r="Q191">
        <f t="shared" si="2"/>
        <v>77.5</v>
      </c>
    </row>
    <row r="192" spans="1:17" x14ac:dyDescent="0.3">
      <c r="A192" t="s">
        <v>547</v>
      </c>
      <c r="B192" t="s">
        <v>548</v>
      </c>
      <c r="C192" t="s">
        <v>554</v>
      </c>
      <c r="D192" t="s">
        <v>555</v>
      </c>
      <c r="E192" t="s">
        <v>551</v>
      </c>
      <c r="F192" t="s">
        <v>529</v>
      </c>
      <c r="G192">
        <v>0.88</v>
      </c>
      <c r="H192">
        <v>85</v>
      </c>
      <c r="I192">
        <v>75</v>
      </c>
      <c r="J192">
        <v>90</v>
      </c>
      <c r="K192">
        <v>60</v>
      </c>
      <c r="L192">
        <v>80</v>
      </c>
      <c r="M192">
        <v>80</v>
      </c>
      <c r="N192">
        <v>78</v>
      </c>
      <c r="O192" t="s">
        <v>22</v>
      </c>
      <c r="P192" t="s">
        <v>23</v>
      </c>
      <c r="Q192">
        <f t="shared" si="2"/>
        <v>78.333333333333329</v>
      </c>
    </row>
    <row r="193" spans="1:17" x14ac:dyDescent="0.3">
      <c r="A193" t="s">
        <v>547</v>
      </c>
      <c r="B193" t="s">
        <v>548</v>
      </c>
      <c r="C193" t="s">
        <v>556</v>
      </c>
      <c r="D193" t="s">
        <v>557</v>
      </c>
      <c r="E193" t="s">
        <v>551</v>
      </c>
      <c r="F193" t="s">
        <v>21</v>
      </c>
      <c r="G193">
        <v>0.7</v>
      </c>
      <c r="H193">
        <v>95</v>
      </c>
      <c r="I193">
        <v>80</v>
      </c>
      <c r="J193">
        <v>75</v>
      </c>
      <c r="K193">
        <v>90</v>
      </c>
      <c r="L193">
        <v>70</v>
      </c>
      <c r="M193">
        <v>95</v>
      </c>
      <c r="N193">
        <v>84</v>
      </c>
      <c r="O193" t="s">
        <v>22</v>
      </c>
      <c r="P193" t="s">
        <v>23</v>
      </c>
      <c r="Q193">
        <f t="shared" si="2"/>
        <v>84.166666666666671</v>
      </c>
    </row>
    <row r="194" spans="1:17" x14ac:dyDescent="0.3">
      <c r="A194" t="s">
        <v>558</v>
      </c>
      <c r="B194" t="s">
        <v>559</v>
      </c>
      <c r="C194" t="s">
        <v>560</v>
      </c>
      <c r="D194" t="s">
        <v>561</v>
      </c>
      <c r="E194" t="s">
        <v>562</v>
      </c>
      <c r="F194" t="s">
        <v>21</v>
      </c>
      <c r="G194">
        <v>0.9</v>
      </c>
      <c r="H194">
        <v>65</v>
      </c>
      <c r="I194">
        <v>75</v>
      </c>
      <c r="J194">
        <v>80</v>
      </c>
      <c r="K194">
        <v>40</v>
      </c>
      <c r="L194">
        <v>50</v>
      </c>
      <c r="M194">
        <v>60</v>
      </c>
      <c r="N194">
        <v>61</v>
      </c>
      <c r="O194" t="s">
        <v>28</v>
      </c>
      <c r="P194" t="s">
        <v>23</v>
      </c>
      <c r="Q194">
        <f t="shared" si="2"/>
        <v>61.666666666666664</v>
      </c>
    </row>
    <row r="195" spans="1:17" x14ac:dyDescent="0.3">
      <c r="A195" t="s">
        <v>558</v>
      </c>
      <c r="B195" t="s">
        <v>559</v>
      </c>
      <c r="C195" t="s">
        <v>563</v>
      </c>
      <c r="D195" t="s">
        <v>564</v>
      </c>
      <c r="E195" t="s">
        <v>562</v>
      </c>
      <c r="F195" t="s">
        <v>21</v>
      </c>
      <c r="G195">
        <v>0.88</v>
      </c>
      <c r="H195">
        <v>20</v>
      </c>
      <c r="I195">
        <v>35</v>
      </c>
      <c r="J195">
        <v>40</v>
      </c>
      <c r="K195">
        <v>10</v>
      </c>
      <c r="L195">
        <v>5</v>
      </c>
      <c r="M195">
        <v>90</v>
      </c>
      <c r="N195">
        <v>33</v>
      </c>
      <c r="O195" t="s">
        <v>99</v>
      </c>
      <c r="P195" t="s">
        <v>23</v>
      </c>
      <c r="Q195">
        <f t="shared" ref="Q195:Q205" si="3">SUM(H195:M195)/6</f>
        <v>33.333333333333336</v>
      </c>
    </row>
    <row r="196" spans="1:17" x14ac:dyDescent="0.3">
      <c r="A196" t="s">
        <v>558</v>
      </c>
      <c r="B196" t="s">
        <v>559</v>
      </c>
      <c r="C196" t="s">
        <v>565</v>
      </c>
      <c r="D196" t="s">
        <v>566</v>
      </c>
      <c r="E196" t="s">
        <v>562</v>
      </c>
      <c r="F196" t="s">
        <v>21</v>
      </c>
      <c r="G196">
        <v>0.87</v>
      </c>
      <c r="H196">
        <v>70</v>
      </c>
      <c r="I196">
        <v>65</v>
      </c>
      <c r="J196">
        <v>80</v>
      </c>
      <c r="K196">
        <v>20</v>
      </c>
      <c r="L196">
        <v>30</v>
      </c>
      <c r="M196">
        <v>40</v>
      </c>
      <c r="N196">
        <v>50</v>
      </c>
      <c r="O196" t="s">
        <v>71</v>
      </c>
      <c r="P196" t="s">
        <v>23</v>
      </c>
      <c r="Q196">
        <f t="shared" si="3"/>
        <v>50.833333333333336</v>
      </c>
    </row>
    <row r="197" spans="1:17" x14ac:dyDescent="0.3">
      <c r="A197" t="s">
        <v>558</v>
      </c>
      <c r="B197" t="s">
        <v>559</v>
      </c>
      <c r="C197" t="s">
        <v>567</v>
      </c>
      <c r="D197" t="s">
        <v>568</v>
      </c>
      <c r="E197" t="s">
        <v>562</v>
      </c>
      <c r="F197" t="s">
        <v>21</v>
      </c>
      <c r="G197">
        <v>0.85</v>
      </c>
      <c r="H197">
        <v>85</v>
      </c>
      <c r="I197">
        <v>90</v>
      </c>
      <c r="J197">
        <v>80</v>
      </c>
      <c r="K197">
        <v>75</v>
      </c>
      <c r="L197">
        <v>90</v>
      </c>
      <c r="M197">
        <v>95</v>
      </c>
      <c r="N197">
        <v>85</v>
      </c>
      <c r="O197" t="s">
        <v>22</v>
      </c>
      <c r="P197" t="s">
        <v>23</v>
      </c>
      <c r="Q197">
        <f t="shared" si="3"/>
        <v>85.833333333333329</v>
      </c>
    </row>
    <row r="198" spans="1:17" x14ac:dyDescent="0.3">
      <c r="A198" t="s">
        <v>569</v>
      </c>
      <c r="B198" t="s">
        <v>570</v>
      </c>
      <c r="C198" t="s">
        <v>571</v>
      </c>
      <c r="D198" t="s">
        <v>572</v>
      </c>
      <c r="E198" t="s">
        <v>573</v>
      </c>
      <c r="F198" t="s">
        <v>21</v>
      </c>
      <c r="G198">
        <v>0.88</v>
      </c>
      <c r="H198">
        <v>45</v>
      </c>
      <c r="I198">
        <v>60</v>
      </c>
      <c r="J198">
        <v>70</v>
      </c>
      <c r="K198">
        <v>20</v>
      </c>
      <c r="L198">
        <v>30</v>
      </c>
      <c r="M198">
        <v>80</v>
      </c>
      <c r="N198">
        <v>50</v>
      </c>
      <c r="O198" t="s">
        <v>71</v>
      </c>
      <c r="P198" t="s">
        <v>23</v>
      </c>
      <c r="Q198">
        <f t="shared" si="3"/>
        <v>50.833333333333336</v>
      </c>
    </row>
    <row r="199" spans="1:17" x14ac:dyDescent="0.3">
      <c r="A199" t="s">
        <v>569</v>
      </c>
      <c r="B199" t="s">
        <v>570</v>
      </c>
      <c r="C199" t="s">
        <v>574</v>
      </c>
      <c r="D199" t="s">
        <v>575</v>
      </c>
      <c r="E199" t="s">
        <v>573</v>
      </c>
      <c r="F199" t="s">
        <v>21</v>
      </c>
      <c r="G199">
        <v>0.72</v>
      </c>
      <c r="H199">
        <v>75</v>
      </c>
      <c r="I199">
        <v>85</v>
      </c>
      <c r="J199">
        <v>90</v>
      </c>
      <c r="K199">
        <v>30</v>
      </c>
      <c r="L199">
        <v>60</v>
      </c>
      <c r="M199">
        <v>80</v>
      </c>
      <c r="N199">
        <v>70</v>
      </c>
      <c r="O199" t="s">
        <v>28</v>
      </c>
      <c r="P199" t="s">
        <v>23</v>
      </c>
      <c r="Q199">
        <f t="shared" si="3"/>
        <v>70</v>
      </c>
    </row>
    <row r="200" spans="1:17" x14ac:dyDescent="0.3">
      <c r="A200" t="s">
        <v>569</v>
      </c>
      <c r="B200" t="s">
        <v>570</v>
      </c>
      <c r="C200" t="s">
        <v>576</v>
      </c>
      <c r="D200" t="s">
        <v>577</v>
      </c>
      <c r="E200" t="s">
        <v>573</v>
      </c>
      <c r="F200" t="s">
        <v>21</v>
      </c>
      <c r="G200">
        <v>0.85</v>
      </c>
      <c r="H200">
        <v>95</v>
      </c>
      <c r="I200">
        <v>85</v>
      </c>
      <c r="J200">
        <v>75</v>
      </c>
      <c r="K200">
        <v>80</v>
      </c>
      <c r="L200">
        <v>70</v>
      </c>
      <c r="M200">
        <v>90</v>
      </c>
      <c r="N200">
        <v>82</v>
      </c>
      <c r="O200" t="s">
        <v>22</v>
      </c>
      <c r="P200" t="s">
        <v>23</v>
      </c>
      <c r="Q200">
        <f t="shared" si="3"/>
        <v>82.5</v>
      </c>
    </row>
    <row r="201" spans="1:17" x14ac:dyDescent="0.3">
      <c r="A201" t="s">
        <v>569</v>
      </c>
      <c r="B201" t="s">
        <v>570</v>
      </c>
      <c r="C201" t="s">
        <v>578</v>
      </c>
      <c r="D201" t="s">
        <v>579</v>
      </c>
      <c r="E201" t="s">
        <v>573</v>
      </c>
      <c r="F201" t="s">
        <v>21</v>
      </c>
      <c r="G201">
        <v>0.75</v>
      </c>
      <c r="H201">
        <v>85</v>
      </c>
      <c r="I201">
        <v>90</v>
      </c>
      <c r="J201">
        <v>75</v>
      </c>
      <c r="K201">
        <v>60</v>
      </c>
      <c r="L201">
        <v>80</v>
      </c>
      <c r="M201">
        <v>80</v>
      </c>
      <c r="N201">
        <v>78</v>
      </c>
      <c r="O201" t="s">
        <v>22</v>
      </c>
      <c r="P201" t="s">
        <v>23</v>
      </c>
      <c r="Q201">
        <f t="shared" si="3"/>
        <v>78.333333333333329</v>
      </c>
    </row>
    <row r="202" spans="1:17" x14ac:dyDescent="0.3">
      <c r="A202" t="s">
        <v>580</v>
      </c>
      <c r="B202" t="s">
        <v>581</v>
      </c>
      <c r="C202" t="s">
        <v>582</v>
      </c>
      <c r="D202" t="s">
        <v>583</v>
      </c>
      <c r="E202" t="s">
        <v>584</v>
      </c>
      <c r="F202" t="s">
        <v>21</v>
      </c>
      <c r="G202">
        <v>0.93</v>
      </c>
      <c r="H202">
        <v>85</v>
      </c>
      <c r="I202">
        <v>75</v>
      </c>
      <c r="J202">
        <v>80</v>
      </c>
      <c r="K202">
        <v>60</v>
      </c>
      <c r="L202">
        <v>90</v>
      </c>
      <c r="M202">
        <v>65</v>
      </c>
      <c r="N202">
        <v>75</v>
      </c>
      <c r="O202" t="s">
        <v>22</v>
      </c>
      <c r="P202" t="s">
        <v>23</v>
      </c>
      <c r="Q202">
        <f t="shared" si="3"/>
        <v>75.833333333333329</v>
      </c>
    </row>
    <row r="203" spans="1:17" x14ac:dyDescent="0.3">
      <c r="A203" t="s">
        <v>580</v>
      </c>
      <c r="B203" t="s">
        <v>581</v>
      </c>
      <c r="C203" t="s">
        <v>585</v>
      </c>
      <c r="D203" t="s">
        <v>586</v>
      </c>
      <c r="E203" t="s">
        <v>587</v>
      </c>
      <c r="F203" t="s">
        <v>21</v>
      </c>
      <c r="G203">
        <v>0.83</v>
      </c>
      <c r="H203">
        <v>75</v>
      </c>
      <c r="I203">
        <v>80</v>
      </c>
      <c r="J203">
        <v>85</v>
      </c>
      <c r="K203">
        <v>80</v>
      </c>
      <c r="L203">
        <v>70</v>
      </c>
      <c r="M203">
        <v>90</v>
      </c>
      <c r="N203">
        <v>80</v>
      </c>
      <c r="O203" t="s">
        <v>22</v>
      </c>
      <c r="P203" t="s">
        <v>23</v>
      </c>
      <c r="Q203">
        <f t="shared" si="3"/>
        <v>80</v>
      </c>
    </row>
    <row r="204" spans="1:17" x14ac:dyDescent="0.3">
      <c r="A204" t="s">
        <v>580</v>
      </c>
      <c r="B204" t="s">
        <v>581</v>
      </c>
      <c r="C204" t="s">
        <v>588</v>
      </c>
      <c r="D204" t="s">
        <v>589</v>
      </c>
      <c r="E204" t="s">
        <v>590</v>
      </c>
      <c r="F204" t="s">
        <v>21</v>
      </c>
      <c r="G204">
        <v>0.88</v>
      </c>
      <c r="H204">
        <v>75</v>
      </c>
      <c r="I204">
        <v>75</v>
      </c>
      <c r="J204">
        <v>75</v>
      </c>
      <c r="K204">
        <v>85</v>
      </c>
      <c r="L204">
        <v>75</v>
      </c>
      <c r="M204">
        <v>75</v>
      </c>
      <c r="N204">
        <v>76</v>
      </c>
      <c r="O204" t="s">
        <v>22</v>
      </c>
      <c r="P204" t="s">
        <v>23</v>
      </c>
      <c r="Q204">
        <f t="shared" si="3"/>
        <v>76.666666666666671</v>
      </c>
    </row>
    <row r="205" spans="1:17" x14ac:dyDescent="0.3">
      <c r="A205" t="s">
        <v>580</v>
      </c>
      <c r="B205" t="s">
        <v>581</v>
      </c>
      <c r="C205" t="s">
        <v>591</v>
      </c>
      <c r="D205" t="s">
        <v>592</v>
      </c>
      <c r="E205" t="s">
        <v>593</v>
      </c>
      <c r="F205" t="s">
        <v>21</v>
      </c>
      <c r="G205">
        <v>0.87</v>
      </c>
      <c r="H205">
        <v>65</v>
      </c>
      <c r="I205">
        <v>70</v>
      </c>
      <c r="J205">
        <v>80</v>
      </c>
      <c r="K205">
        <v>30</v>
      </c>
      <c r="L205">
        <v>45</v>
      </c>
      <c r="M205">
        <v>50</v>
      </c>
      <c r="N205">
        <v>56</v>
      </c>
      <c r="O205" t="s">
        <v>71</v>
      </c>
      <c r="P205" t="s">
        <v>23</v>
      </c>
      <c r="Q205">
        <f t="shared" si="3"/>
        <v>56.666666666666664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1E8EC-0DD5-49A8-B90B-10889513774F}">
  <dimension ref="A1:P205"/>
  <sheetViews>
    <sheetView workbookViewId="0">
      <selection activeCell="F1" sqref="F1:F1048576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594</v>
      </c>
      <c r="D2" t="s">
        <v>595</v>
      </c>
      <c r="E2" t="s">
        <v>20</v>
      </c>
      <c r="F2" t="s">
        <v>21</v>
      </c>
      <c r="G2">
        <v>0.9</v>
      </c>
      <c r="H2">
        <v>85</v>
      </c>
      <c r="I2">
        <v>90</v>
      </c>
      <c r="J2">
        <v>75</v>
      </c>
      <c r="K2">
        <v>65</v>
      </c>
      <c r="L2">
        <v>70</v>
      </c>
      <c r="M2">
        <v>80</v>
      </c>
      <c r="N2">
        <v>77</v>
      </c>
      <c r="O2" t="s">
        <v>22</v>
      </c>
      <c r="P2" t="s">
        <v>23</v>
      </c>
    </row>
    <row r="3" spans="1:16" x14ac:dyDescent="0.3">
      <c r="A3" t="s">
        <v>16</v>
      </c>
      <c r="B3" t="s">
        <v>17</v>
      </c>
      <c r="C3" t="s">
        <v>596</v>
      </c>
      <c r="D3" t="s">
        <v>597</v>
      </c>
      <c r="E3" t="s">
        <v>20</v>
      </c>
      <c r="F3" t="s">
        <v>21</v>
      </c>
      <c r="G3">
        <v>0.92</v>
      </c>
      <c r="H3">
        <v>30</v>
      </c>
      <c r="I3">
        <v>45</v>
      </c>
      <c r="J3">
        <v>60</v>
      </c>
      <c r="K3">
        <v>20</v>
      </c>
      <c r="L3">
        <v>70</v>
      </c>
      <c r="M3">
        <v>80</v>
      </c>
      <c r="N3">
        <v>50</v>
      </c>
      <c r="O3" t="s">
        <v>71</v>
      </c>
      <c r="P3" t="s">
        <v>23</v>
      </c>
    </row>
    <row r="4" spans="1:16" x14ac:dyDescent="0.3">
      <c r="A4" t="s">
        <v>16</v>
      </c>
      <c r="B4" t="s">
        <v>17</v>
      </c>
      <c r="C4" t="s">
        <v>598</v>
      </c>
      <c r="D4" t="s">
        <v>599</v>
      </c>
      <c r="E4" t="s">
        <v>20</v>
      </c>
      <c r="F4" t="s">
        <v>21</v>
      </c>
      <c r="G4">
        <v>0.92</v>
      </c>
      <c r="H4">
        <v>80</v>
      </c>
      <c r="I4">
        <v>75</v>
      </c>
      <c r="J4">
        <v>60</v>
      </c>
      <c r="K4">
        <v>45</v>
      </c>
      <c r="L4">
        <v>70</v>
      </c>
      <c r="M4">
        <v>65</v>
      </c>
      <c r="N4">
        <v>65</v>
      </c>
      <c r="O4" t="s">
        <v>28</v>
      </c>
      <c r="P4" t="s">
        <v>23</v>
      </c>
    </row>
    <row r="5" spans="1:16" x14ac:dyDescent="0.3">
      <c r="A5" t="s">
        <v>16</v>
      </c>
      <c r="B5" t="s">
        <v>17</v>
      </c>
      <c r="C5" t="s">
        <v>600</v>
      </c>
      <c r="D5" t="s">
        <v>601</v>
      </c>
      <c r="E5" t="s">
        <v>602</v>
      </c>
      <c r="F5" t="s">
        <v>21</v>
      </c>
      <c r="G5">
        <v>0.9</v>
      </c>
      <c r="H5">
        <v>35</v>
      </c>
      <c r="I5">
        <v>60</v>
      </c>
      <c r="J5">
        <v>40</v>
      </c>
      <c r="K5">
        <v>20</v>
      </c>
      <c r="L5">
        <v>70</v>
      </c>
      <c r="M5">
        <v>10</v>
      </c>
      <c r="N5">
        <v>39</v>
      </c>
      <c r="O5" t="s">
        <v>99</v>
      </c>
      <c r="P5" t="s">
        <v>23</v>
      </c>
    </row>
    <row r="6" spans="1:16" x14ac:dyDescent="0.3">
      <c r="A6" t="s">
        <v>32</v>
      </c>
      <c r="B6" t="s">
        <v>33</v>
      </c>
      <c r="C6" t="s">
        <v>603</v>
      </c>
      <c r="D6" t="s">
        <v>604</v>
      </c>
      <c r="E6" t="s">
        <v>605</v>
      </c>
      <c r="F6" t="s">
        <v>21</v>
      </c>
      <c r="G6">
        <v>0.88</v>
      </c>
      <c r="H6">
        <v>85</v>
      </c>
      <c r="I6">
        <v>90</v>
      </c>
      <c r="J6">
        <v>75</v>
      </c>
      <c r="K6">
        <v>60</v>
      </c>
      <c r="L6">
        <v>80</v>
      </c>
      <c r="M6">
        <v>70</v>
      </c>
      <c r="N6">
        <v>76</v>
      </c>
      <c r="O6" t="s">
        <v>22</v>
      </c>
      <c r="P6" t="s">
        <v>23</v>
      </c>
    </row>
    <row r="7" spans="1:16" x14ac:dyDescent="0.3">
      <c r="A7" t="s">
        <v>32</v>
      </c>
      <c r="B7" t="s">
        <v>33</v>
      </c>
      <c r="C7" t="s">
        <v>606</v>
      </c>
      <c r="D7" t="s">
        <v>607</v>
      </c>
      <c r="E7" t="s">
        <v>42</v>
      </c>
      <c r="F7" t="s">
        <v>21</v>
      </c>
      <c r="G7">
        <v>0.92</v>
      </c>
      <c r="H7">
        <v>85</v>
      </c>
      <c r="I7">
        <v>90</v>
      </c>
      <c r="J7">
        <v>75</v>
      </c>
      <c r="K7">
        <v>60</v>
      </c>
      <c r="L7">
        <v>80</v>
      </c>
      <c r="M7">
        <v>70</v>
      </c>
      <c r="N7">
        <v>76</v>
      </c>
      <c r="O7" t="s">
        <v>22</v>
      </c>
      <c r="P7" t="s">
        <v>23</v>
      </c>
    </row>
    <row r="8" spans="1:16" x14ac:dyDescent="0.3">
      <c r="A8" t="s">
        <v>32</v>
      </c>
      <c r="B8" t="s">
        <v>33</v>
      </c>
      <c r="C8" t="s">
        <v>608</v>
      </c>
      <c r="D8" t="s">
        <v>609</v>
      </c>
      <c r="E8" t="s">
        <v>610</v>
      </c>
      <c r="F8" t="s">
        <v>21</v>
      </c>
      <c r="G8">
        <v>0.92</v>
      </c>
      <c r="H8">
        <v>65</v>
      </c>
      <c r="I8">
        <v>70</v>
      </c>
      <c r="J8">
        <v>80</v>
      </c>
      <c r="K8">
        <v>40</v>
      </c>
      <c r="L8">
        <v>60</v>
      </c>
      <c r="M8">
        <v>75</v>
      </c>
      <c r="N8">
        <v>65</v>
      </c>
      <c r="O8" t="s">
        <v>28</v>
      </c>
      <c r="P8" t="s">
        <v>23</v>
      </c>
    </row>
    <row r="9" spans="1:16" x14ac:dyDescent="0.3">
      <c r="A9" t="s">
        <v>32</v>
      </c>
      <c r="B9" t="s">
        <v>33</v>
      </c>
      <c r="C9" t="s">
        <v>611</v>
      </c>
      <c r="D9" t="s">
        <v>612</v>
      </c>
      <c r="E9" t="s">
        <v>50</v>
      </c>
      <c r="F9" t="s">
        <v>21</v>
      </c>
      <c r="G9">
        <v>0.92</v>
      </c>
      <c r="H9">
        <v>85</v>
      </c>
      <c r="I9">
        <v>75</v>
      </c>
      <c r="J9">
        <v>65</v>
      </c>
      <c r="K9">
        <v>90</v>
      </c>
      <c r="L9">
        <v>90</v>
      </c>
      <c r="M9">
        <v>70</v>
      </c>
      <c r="N9">
        <v>79</v>
      </c>
      <c r="O9" t="s">
        <v>22</v>
      </c>
      <c r="P9" t="s">
        <v>23</v>
      </c>
    </row>
    <row r="10" spans="1:16" x14ac:dyDescent="0.3">
      <c r="A10" t="s">
        <v>46</v>
      </c>
      <c r="B10" t="s">
        <v>47</v>
      </c>
      <c r="C10" t="s">
        <v>613</v>
      </c>
      <c r="D10" t="s">
        <v>614</v>
      </c>
      <c r="E10" t="s">
        <v>485</v>
      </c>
      <c r="F10" t="s">
        <v>51</v>
      </c>
      <c r="G10">
        <v>0.95</v>
      </c>
      <c r="H10">
        <v>65</v>
      </c>
      <c r="I10">
        <v>60</v>
      </c>
      <c r="J10">
        <v>70</v>
      </c>
      <c r="K10">
        <v>50</v>
      </c>
      <c r="L10">
        <v>40</v>
      </c>
      <c r="M10">
        <v>50</v>
      </c>
      <c r="N10">
        <v>55</v>
      </c>
      <c r="O10" t="s">
        <v>71</v>
      </c>
      <c r="P10" t="s">
        <v>23</v>
      </c>
    </row>
    <row r="11" spans="1:16" x14ac:dyDescent="0.3">
      <c r="A11" t="s">
        <v>46</v>
      </c>
      <c r="B11" t="s">
        <v>47</v>
      </c>
      <c r="C11" t="s">
        <v>615</v>
      </c>
      <c r="D11" t="s">
        <v>616</v>
      </c>
      <c r="E11" t="s">
        <v>617</v>
      </c>
      <c r="F11" t="s">
        <v>51</v>
      </c>
      <c r="G11">
        <v>0.92</v>
      </c>
      <c r="H11">
        <v>45</v>
      </c>
      <c r="I11">
        <v>60</v>
      </c>
      <c r="J11">
        <v>75</v>
      </c>
      <c r="K11">
        <v>20</v>
      </c>
      <c r="L11">
        <v>40</v>
      </c>
      <c r="M11">
        <v>25</v>
      </c>
      <c r="N11">
        <v>44</v>
      </c>
      <c r="O11" t="s">
        <v>71</v>
      </c>
      <c r="P11" t="s">
        <v>23</v>
      </c>
    </row>
    <row r="12" spans="1:16" x14ac:dyDescent="0.3">
      <c r="A12" t="s">
        <v>46</v>
      </c>
      <c r="B12" t="s">
        <v>47</v>
      </c>
      <c r="C12" t="s">
        <v>618</v>
      </c>
      <c r="D12" t="s">
        <v>619</v>
      </c>
      <c r="E12" t="s">
        <v>620</v>
      </c>
      <c r="F12" t="s">
        <v>21</v>
      </c>
      <c r="G12">
        <v>0.8</v>
      </c>
      <c r="H12">
        <v>30</v>
      </c>
      <c r="I12">
        <v>50</v>
      </c>
      <c r="J12">
        <v>70</v>
      </c>
      <c r="K12">
        <v>20</v>
      </c>
      <c r="L12">
        <v>40</v>
      </c>
      <c r="M12">
        <v>60</v>
      </c>
      <c r="N12">
        <v>45</v>
      </c>
      <c r="O12" t="s">
        <v>71</v>
      </c>
      <c r="P12" t="s">
        <v>23</v>
      </c>
    </row>
    <row r="13" spans="1:16" x14ac:dyDescent="0.3">
      <c r="A13" t="s">
        <v>46</v>
      </c>
      <c r="B13" t="s">
        <v>47</v>
      </c>
      <c r="C13" t="s">
        <v>621</v>
      </c>
      <c r="D13" t="s">
        <v>622</v>
      </c>
      <c r="E13" t="s">
        <v>623</v>
      </c>
      <c r="F13" t="s">
        <v>21</v>
      </c>
      <c r="G13">
        <v>0.9</v>
      </c>
      <c r="H13">
        <v>75</v>
      </c>
      <c r="I13">
        <v>80</v>
      </c>
      <c r="J13">
        <v>80</v>
      </c>
      <c r="K13">
        <v>60</v>
      </c>
      <c r="L13">
        <v>90</v>
      </c>
      <c r="M13">
        <v>65</v>
      </c>
      <c r="N13">
        <v>75</v>
      </c>
      <c r="O13" t="s">
        <v>22</v>
      </c>
      <c r="P13" t="s">
        <v>23</v>
      </c>
    </row>
    <row r="14" spans="1:16" x14ac:dyDescent="0.3">
      <c r="A14" t="s">
        <v>59</v>
      </c>
      <c r="B14" t="s">
        <v>60</v>
      </c>
      <c r="C14" t="s">
        <v>624</v>
      </c>
      <c r="D14" t="s">
        <v>625</v>
      </c>
      <c r="E14" t="s">
        <v>626</v>
      </c>
      <c r="F14" t="s">
        <v>21</v>
      </c>
      <c r="G14">
        <v>0.92</v>
      </c>
      <c r="H14">
        <v>30</v>
      </c>
      <c r="I14">
        <v>60</v>
      </c>
      <c r="J14">
        <v>45</v>
      </c>
      <c r="K14">
        <v>20</v>
      </c>
      <c r="L14">
        <v>30</v>
      </c>
      <c r="M14">
        <v>80</v>
      </c>
      <c r="N14">
        <v>44</v>
      </c>
      <c r="O14" t="s">
        <v>71</v>
      </c>
      <c r="P14" t="s">
        <v>23</v>
      </c>
    </row>
    <row r="15" spans="1:16" x14ac:dyDescent="0.3">
      <c r="A15" t="s">
        <v>59</v>
      </c>
      <c r="B15" t="s">
        <v>60</v>
      </c>
      <c r="C15" t="s">
        <v>627</v>
      </c>
      <c r="D15" t="s">
        <v>628</v>
      </c>
      <c r="E15" t="s">
        <v>626</v>
      </c>
      <c r="F15" t="s">
        <v>21</v>
      </c>
      <c r="G15">
        <v>0.92</v>
      </c>
      <c r="H15">
        <v>70</v>
      </c>
      <c r="I15">
        <v>80</v>
      </c>
      <c r="J15">
        <v>65</v>
      </c>
      <c r="K15">
        <v>40</v>
      </c>
      <c r="L15">
        <v>60</v>
      </c>
      <c r="M15">
        <v>50</v>
      </c>
      <c r="N15">
        <v>60</v>
      </c>
      <c r="O15" t="s">
        <v>28</v>
      </c>
      <c r="P15" t="s">
        <v>23</v>
      </c>
    </row>
    <row r="16" spans="1:16" x14ac:dyDescent="0.3">
      <c r="A16" t="s">
        <v>59</v>
      </c>
      <c r="B16" t="s">
        <v>60</v>
      </c>
      <c r="C16" t="s">
        <v>629</v>
      </c>
      <c r="D16" t="s">
        <v>630</v>
      </c>
      <c r="E16" t="s">
        <v>631</v>
      </c>
      <c r="F16" t="s">
        <v>21</v>
      </c>
      <c r="G16">
        <v>0.92</v>
      </c>
      <c r="H16">
        <v>75</v>
      </c>
      <c r="I16">
        <v>80</v>
      </c>
      <c r="J16">
        <v>60</v>
      </c>
      <c r="K16">
        <v>30</v>
      </c>
      <c r="L16">
        <v>90</v>
      </c>
      <c r="M16">
        <v>60</v>
      </c>
      <c r="N16">
        <v>65</v>
      </c>
      <c r="O16" t="s">
        <v>28</v>
      </c>
      <c r="P16" t="s">
        <v>23</v>
      </c>
    </row>
    <row r="17" spans="1:16" x14ac:dyDescent="0.3">
      <c r="A17" t="s">
        <v>59</v>
      </c>
      <c r="B17" t="s">
        <v>60</v>
      </c>
      <c r="C17" t="s">
        <v>68</v>
      </c>
      <c r="D17" t="s">
        <v>632</v>
      </c>
      <c r="E17" t="s">
        <v>70</v>
      </c>
      <c r="F17" t="s">
        <v>21</v>
      </c>
      <c r="G17">
        <v>0.92</v>
      </c>
      <c r="H17">
        <v>50</v>
      </c>
      <c r="I17">
        <v>60</v>
      </c>
      <c r="J17">
        <v>70</v>
      </c>
      <c r="K17">
        <v>30</v>
      </c>
      <c r="L17">
        <v>80</v>
      </c>
      <c r="M17">
        <v>40</v>
      </c>
      <c r="N17">
        <v>55</v>
      </c>
      <c r="O17" t="s">
        <v>71</v>
      </c>
      <c r="P17" t="s">
        <v>23</v>
      </c>
    </row>
    <row r="18" spans="1:16" x14ac:dyDescent="0.3">
      <c r="A18" t="s">
        <v>72</v>
      </c>
      <c r="B18" t="s">
        <v>73</v>
      </c>
      <c r="C18" t="s">
        <v>633</v>
      </c>
      <c r="D18" t="s">
        <v>634</v>
      </c>
      <c r="E18" t="s">
        <v>76</v>
      </c>
      <c r="F18" t="s">
        <v>21</v>
      </c>
      <c r="G18">
        <v>0.92</v>
      </c>
      <c r="H18">
        <v>75</v>
      </c>
      <c r="I18">
        <v>80</v>
      </c>
      <c r="J18">
        <v>60</v>
      </c>
      <c r="K18">
        <v>40</v>
      </c>
      <c r="L18">
        <v>65</v>
      </c>
      <c r="M18">
        <v>85</v>
      </c>
      <c r="N18">
        <v>67</v>
      </c>
      <c r="O18" t="s">
        <v>28</v>
      </c>
      <c r="P18" t="s">
        <v>23</v>
      </c>
    </row>
    <row r="19" spans="1:16" x14ac:dyDescent="0.3">
      <c r="A19" t="s">
        <v>72</v>
      </c>
      <c r="B19" t="s">
        <v>73</v>
      </c>
      <c r="C19" t="s">
        <v>79</v>
      </c>
      <c r="D19" t="s">
        <v>635</v>
      </c>
      <c r="E19" t="s">
        <v>76</v>
      </c>
      <c r="F19" t="s">
        <v>51</v>
      </c>
      <c r="G19">
        <v>0.9</v>
      </c>
      <c r="H19">
        <v>35</v>
      </c>
      <c r="I19">
        <v>60</v>
      </c>
      <c r="J19">
        <v>70</v>
      </c>
      <c r="K19">
        <v>20</v>
      </c>
      <c r="L19">
        <v>40</v>
      </c>
      <c r="M19">
        <v>80</v>
      </c>
      <c r="N19">
        <v>50</v>
      </c>
      <c r="O19" t="s">
        <v>71</v>
      </c>
      <c r="P19" t="s">
        <v>23</v>
      </c>
    </row>
    <row r="20" spans="1:16" x14ac:dyDescent="0.3">
      <c r="A20" t="s">
        <v>72</v>
      </c>
      <c r="B20" t="s">
        <v>73</v>
      </c>
      <c r="C20" t="s">
        <v>636</v>
      </c>
      <c r="D20" t="s">
        <v>637</v>
      </c>
      <c r="E20" t="s">
        <v>76</v>
      </c>
      <c r="F20" t="s">
        <v>51</v>
      </c>
      <c r="G20">
        <v>0.95</v>
      </c>
      <c r="H20">
        <v>25</v>
      </c>
      <c r="I20">
        <v>30</v>
      </c>
      <c r="J20">
        <v>40</v>
      </c>
      <c r="K20">
        <v>10</v>
      </c>
      <c r="L20">
        <v>15</v>
      </c>
      <c r="M20">
        <v>80</v>
      </c>
      <c r="N20">
        <v>33</v>
      </c>
      <c r="O20" t="s">
        <v>99</v>
      </c>
      <c r="P20" t="s">
        <v>23</v>
      </c>
    </row>
    <row r="21" spans="1:16" x14ac:dyDescent="0.3">
      <c r="A21" t="s">
        <v>72</v>
      </c>
      <c r="B21" t="s">
        <v>73</v>
      </c>
      <c r="C21" t="s">
        <v>638</v>
      </c>
      <c r="D21" t="s">
        <v>639</v>
      </c>
      <c r="E21" t="s">
        <v>76</v>
      </c>
      <c r="F21" t="s">
        <v>21</v>
      </c>
      <c r="G21">
        <v>0.85</v>
      </c>
      <c r="H21">
        <v>65</v>
      </c>
      <c r="I21">
        <v>70</v>
      </c>
      <c r="J21">
        <v>60</v>
      </c>
      <c r="K21">
        <v>40</v>
      </c>
      <c r="L21">
        <v>75</v>
      </c>
      <c r="M21">
        <v>50</v>
      </c>
      <c r="N21">
        <v>60</v>
      </c>
      <c r="O21" t="s">
        <v>28</v>
      </c>
      <c r="P21" t="s">
        <v>23</v>
      </c>
    </row>
    <row r="22" spans="1:16" x14ac:dyDescent="0.3">
      <c r="A22" t="s">
        <v>83</v>
      </c>
      <c r="B22" t="s">
        <v>84</v>
      </c>
      <c r="C22" t="s">
        <v>85</v>
      </c>
      <c r="D22" t="s">
        <v>640</v>
      </c>
      <c r="E22" t="s">
        <v>87</v>
      </c>
      <c r="F22" t="s">
        <v>21</v>
      </c>
      <c r="G22">
        <v>0.95</v>
      </c>
      <c r="H22">
        <v>85</v>
      </c>
      <c r="I22">
        <v>70</v>
      </c>
      <c r="J22">
        <v>75</v>
      </c>
      <c r="K22">
        <v>90</v>
      </c>
      <c r="L22">
        <v>80</v>
      </c>
      <c r="M22">
        <v>95</v>
      </c>
      <c r="N22">
        <v>82</v>
      </c>
      <c r="O22" t="s">
        <v>22</v>
      </c>
      <c r="P22" t="s">
        <v>23</v>
      </c>
    </row>
    <row r="23" spans="1:16" x14ac:dyDescent="0.3">
      <c r="A23" t="s">
        <v>83</v>
      </c>
      <c r="B23" t="s">
        <v>84</v>
      </c>
      <c r="C23" t="s">
        <v>641</v>
      </c>
      <c r="D23" t="s">
        <v>642</v>
      </c>
      <c r="E23" t="s">
        <v>87</v>
      </c>
      <c r="F23" t="s">
        <v>21</v>
      </c>
      <c r="G23">
        <v>0.92</v>
      </c>
      <c r="H23">
        <v>80</v>
      </c>
      <c r="I23">
        <v>85</v>
      </c>
      <c r="J23">
        <v>70</v>
      </c>
      <c r="K23">
        <v>85</v>
      </c>
      <c r="L23">
        <v>75</v>
      </c>
      <c r="M23">
        <v>80</v>
      </c>
      <c r="N23">
        <v>79</v>
      </c>
      <c r="O23" t="s">
        <v>22</v>
      </c>
      <c r="P23" t="s">
        <v>23</v>
      </c>
    </row>
    <row r="24" spans="1:16" x14ac:dyDescent="0.3">
      <c r="A24" t="s">
        <v>83</v>
      </c>
      <c r="B24" t="s">
        <v>84</v>
      </c>
      <c r="C24" t="s">
        <v>643</v>
      </c>
      <c r="D24" t="s">
        <v>644</v>
      </c>
      <c r="E24" t="s">
        <v>87</v>
      </c>
      <c r="F24" t="s">
        <v>21</v>
      </c>
      <c r="G24">
        <v>0.94</v>
      </c>
      <c r="H24">
        <v>75</v>
      </c>
      <c r="I24">
        <v>75</v>
      </c>
      <c r="J24">
        <v>75</v>
      </c>
      <c r="K24">
        <v>90</v>
      </c>
      <c r="L24">
        <v>75</v>
      </c>
      <c r="M24">
        <v>75</v>
      </c>
      <c r="N24">
        <v>77</v>
      </c>
      <c r="O24" t="s">
        <v>22</v>
      </c>
      <c r="P24" t="s">
        <v>23</v>
      </c>
    </row>
    <row r="25" spans="1:16" x14ac:dyDescent="0.3">
      <c r="A25" t="s">
        <v>83</v>
      </c>
      <c r="B25" t="s">
        <v>84</v>
      </c>
      <c r="C25" t="s">
        <v>645</v>
      </c>
      <c r="D25" t="s">
        <v>646</v>
      </c>
      <c r="E25" t="s">
        <v>87</v>
      </c>
      <c r="F25" t="s">
        <v>21</v>
      </c>
      <c r="G25">
        <v>0.87</v>
      </c>
      <c r="H25">
        <v>30</v>
      </c>
      <c r="I25">
        <v>45</v>
      </c>
      <c r="J25">
        <v>60</v>
      </c>
      <c r="K25">
        <v>20</v>
      </c>
      <c r="L25">
        <v>70</v>
      </c>
      <c r="M25">
        <v>50</v>
      </c>
      <c r="N25">
        <v>45</v>
      </c>
      <c r="O25" t="s">
        <v>71</v>
      </c>
      <c r="P25" t="s">
        <v>23</v>
      </c>
    </row>
    <row r="26" spans="1:16" x14ac:dyDescent="0.3">
      <c r="A26" t="s">
        <v>94</v>
      </c>
      <c r="B26" t="s">
        <v>95</v>
      </c>
      <c r="C26" t="s">
        <v>647</v>
      </c>
      <c r="D26" t="s">
        <v>648</v>
      </c>
      <c r="E26" t="s">
        <v>98</v>
      </c>
      <c r="F26" t="s">
        <v>51</v>
      </c>
      <c r="G26">
        <v>0.95</v>
      </c>
      <c r="H26">
        <v>50</v>
      </c>
      <c r="I26">
        <v>60</v>
      </c>
      <c r="J26">
        <v>70</v>
      </c>
      <c r="K26">
        <v>20</v>
      </c>
      <c r="L26">
        <v>30</v>
      </c>
      <c r="M26">
        <v>90</v>
      </c>
      <c r="N26">
        <v>53</v>
      </c>
      <c r="O26" t="s">
        <v>71</v>
      </c>
      <c r="P26" t="s">
        <v>23</v>
      </c>
    </row>
    <row r="27" spans="1:16" x14ac:dyDescent="0.3">
      <c r="A27" t="s">
        <v>94</v>
      </c>
      <c r="B27" t="s">
        <v>95</v>
      </c>
      <c r="C27" t="s">
        <v>649</v>
      </c>
      <c r="D27" t="s">
        <v>650</v>
      </c>
      <c r="E27" t="s">
        <v>98</v>
      </c>
      <c r="F27" t="s">
        <v>51</v>
      </c>
      <c r="G27">
        <v>0.9</v>
      </c>
      <c r="H27">
        <v>65</v>
      </c>
      <c r="I27">
        <v>70</v>
      </c>
      <c r="J27">
        <v>80</v>
      </c>
      <c r="K27">
        <v>40</v>
      </c>
      <c r="L27">
        <v>70</v>
      </c>
      <c r="M27">
        <v>85</v>
      </c>
      <c r="N27">
        <v>68</v>
      </c>
      <c r="O27" t="s">
        <v>28</v>
      </c>
      <c r="P27" t="s">
        <v>23</v>
      </c>
    </row>
    <row r="28" spans="1:16" x14ac:dyDescent="0.3">
      <c r="A28" t="s">
        <v>94</v>
      </c>
      <c r="B28" t="s">
        <v>95</v>
      </c>
      <c r="C28" t="s">
        <v>651</v>
      </c>
      <c r="D28" t="s">
        <v>652</v>
      </c>
      <c r="E28" t="s">
        <v>98</v>
      </c>
      <c r="F28" t="s">
        <v>51</v>
      </c>
      <c r="G28">
        <v>0.93</v>
      </c>
      <c r="H28">
        <v>75</v>
      </c>
      <c r="I28">
        <v>85</v>
      </c>
      <c r="J28">
        <v>80</v>
      </c>
      <c r="K28">
        <v>60</v>
      </c>
      <c r="L28">
        <v>80</v>
      </c>
      <c r="M28">
        <v>90</v>
      </c>
      <c r="N28">
        <v>78</v>
      </c>
      <c r="O28" t="s">
        <v>22</v>
      </c>
      <c r="P28" t="s">
        <v>23</v>
      </c>
    </row>
    <row r="29" spans="1:16" x14ac:dyDescent="0.3">
      <c r="A29" t="s">
        <v>94</v>
      </c>
      <c r="B29" t="s">
        <v>95</v>
      </c>
      <c r="C29" t="s">
        <v>653</v>
      </c>
      <c r="D29" t="s">
        <v>654</v>
      </c>
      <c r="E29" t="s">
        <v>98</v>
      </c>
      <c r="F29" t="s">
        <v>51</v>
      </c>
      <c r="G29">
        <v>0.95</v>
      </c>
      <c r="H29">
        <v>60</v>
      </c>
      <c r="I29">
        <v>75</v>
      </c>
      <c r="J29">
        <v>80</v>
      </c>
      <c r="K29">
        <v>30</v>
      </c>
      <c r="L29">
        <v>40</v>
      </c>
      <c r="M29">
        <v>85</v>
      </c>
      <c r="N29">
        <v>61</v>
      </c>
      <c r="O29" t="s">
        <v>28</v>
      </c>
      <c r="P29" t="s">
        <v>23</v>
      </c>
    </row>
    <row r="30" spans="1:16" x14ac:dyDescent="0.3">
      <c r="A30" t="s">
        <v>106</v>
      </c>
      <c r="B30" t="s">
        <v>107</v>
      </c>
      <c r="C30" t="s">
        <v>655</v>
      </c>
      <c r="D30" t="s">
        <v>656</v>
      </c>
      <c r="E30" t="s">
        <v>110</v>
      </c>
      <c r="F30" t="s">
        <v>21</v>
      </c>
      <c r="G30">
        <v>0.85</v>
      </c>
      <c r="H30">
        <v>85</v>
      </c>
      <c r="I30">
        <v>70</v>
      </c>
      <c r="J30">
        <v>65</v>
      </c>
      <c r="K30">
        <v>40</v>
      </c>
      <c r="L30">
        <v>90</v>
      </c>
      <c r="M30">
        <v>60</v>
      </c>
      <c r="N30">
        <v>68</v>
      </c>
      <c r="O30" t="s">
        <v>28</v>
      </c>
      <c r="P30" t="s">
        <v>23</v>
      </c>
    </row>
    <row r="31" spans="1:16" x14ac:dyDescent="0.3">
      <c r="A31" t="s">
        <v>106</v>
      </c>
      <c r="B31" t="s">
        <v>107</v>
      </c>
      <c r="C31" t="s">
        <v>657</v>
      </c>
      <c r="D31" t="s">
        <v>658</v>
      </c>
      <c r="E31" t="s">
        <v>110</v>
      </c>
      <c r="F31" t="s">
        <v>21</v>
      </c>
      <c r="G31">
        <v>0.9</v>
      </c>
      <c r="H31">
        <v>75</v>
      </c>
      <c r="I31">
        <v>80</v>
      </c>
      <c r="J31">
        <v>65</v>
      </c>
      <c r="K31">
        <v>40</v>
      </c>
      <c r="L31">
        <v>90</v>
      </c>
      <c r="M31">
        <v>60</v>
      </c>
      <c r="N31">
        <v>68</v>
      </c>
      <c r="O31" t="s">
        <v>28</v>
      </c>
      <c r="P31" t="s">
        <v>23</v>
      </c>
    </row>
    <row r="32" spans="1:16" x14ac:dyDescent="0.3">
      <c r="A32" t="s">
        <v>106</v>
      </c>
      <c r="B32" t="s">
        <v>107</v>
      </c>
      <c r="C32" t="s">
        <v>659</v>
      </c>
      <c r="D32" t="s">
        <v>660</v>
      </c>
      <c r="E32" t="s">
        <v>110</v>
      </c>
      <c r="F32" t="s">
        <v>21</v>
      </c>
      <c r="G32">
        <v>0.65</v>
      </c>
      <c r="H32">
        <v>75</v>
      </c>
      <c r="I32">
        <v>75</v>
      </c>
      <c r="J32">
        <v>75</v>
      </c>
      <c r="K32">
        <v>75</v>
      </c>
      <c r="L32">
        <v>75</v>
      </c>
      <c r="M32">
        <v>75</v>
      </c>
      <c r="N32">
        <v>75</v>
      </c>
      <c r="O32" t="s">
        <v>22</v>
      </c>
      <c r="P32" t="s">
        <v>23</v>
      </c>
    </row>
    <row r="33" spans="1:16" x14ac:dyDescent="0.3">
      <c r="A33" t="s">
        <v>106</v>
      </c>
      <c r="B33" t="s">
        <v>107</v>
      </c>
      <c r="C33" t="s">
        <v>661</v>
      </c>
      <c r="D33" t="s">
        <v>662</v>
      </c>
      <c r="E33" t="s">
        <v>663</v>
      </c>
      <c r="F33" t="s">
        <v>21</v>
      </c>
      <c r="G33">
        <v>0.78</v>
      </c>
      <c r="H33">
        <v>75</v>
      </c>
      <c r="I33">
        <v>75</v>
      </c>
      <c r="J33">
        <v>75</v>
      </c>
      <c r="K33">
        <v>75</v>
      </c>
      <c r="L33">
        <v>75</v>
      </c>
      <c r="M33">
        <v>75</v>
      </c>
      <c r="N33">
        <v>75</v>
      </c>
      <c r="O33" t="s">
        <v>22</v>
      </c>
      <c r="P33" t="s">
        <v>23</v>
      </c>
    </row>
    <row r="34" spans="1:16" x14ac:dyDescent="0.3">
      <c r="A34" t="s">
        <v>117</v>
      </c>
      <c r="B34" t="s">
        <v>118</v>
      </c>
      <c r="C34" t="s">
        <v>664</v>
      </c>
      <c r="D34" t="s">
        <v>665</v>
      </c>
      <c r="E34" t="s">
        <v>45</v>
      </c>
      <c r="F34" t="s">
        <v>21</v>
      </c>
      <c r="G34">
        <v>0.92</v>
      </c>
      <c r="H34">
        <v>85</v>
      </c>
      <c r="I34">
        <v>75</v>
      </c>
      <c r="J34">
        <v>65</v>
      </c>
      <c r="K34">
        <v>60</v>
      </c>
      <c r="L34">
        <v>80</v>
      </c>
      <c r="M34">
        <v>90</v>
      </c>
      <c r="N34">
        <v>75</v>
      </c>
      <c r="O34" t="s">
        <v>22</v>
      </c>
      <c r="P34" t="s">
        <v>23</v>
      </c>
    </row>
    <row r="35" spans="1:16" x14ac:dyDescent="0.3">
      <c r="A35" t="s">
        <v>117</v>
      </c>
      <c r="B35" t="s">
        <v>118</v>
      </c>
      <c r="C35" t="s">
        <v>666</v>
      </c>
      <c r="D35" t="s">
        <v>667</v>
      </c>
      <c r="E35" t="s">
        <v>45</v>
      </c>
      <c r="F35" t="s">
        <v>21</v>
      </c>
      <c r="G35">
        <v>0.9</v>
      </c>
      <c r="H35">
        <v>85</v>
      </c>
      <c r="I35">
        <v>90</v>
      </c>
      <c r="J35">
        <v>75</v>
      </c>
      <c r="K35">
        <v>60</v>
      </c>
      <c r="L35">
        <v>90</v>
      </c>
      <c r="M35">
        <v>80</v>
      </c>
      <c r="N35">
        <v>80</v>
      </c>
      <c r="O35" t="s">
        <v>22</v>
      </c>
      <c r="P35" t="s">
        <v>23</v>
      </c>
    </row>
    <row r="36" spans="1:16" x14ac:dyDescent="0.3">
      <c r="A36" t="s">
        <v>117</v>
      </c>
      <c r="B36" t="s">
        <v>118</v>
      </c>
      <c r="C36" t="s">
        <v>668</v>
      </c>
      <c r="D36" t="s">
        <v>669</v>
      </c>
      <c r="E36" t="s">
        <v>45</v>
      </c>
      <c r="F36" t="s">
        <v>21</v>
      </c>
      <c r="G36">
        <v>0.87</v>
      </c>
      <c r="H36">
        <v>75</v>
      </c>
      <c r="I36">
        <v>75</v>
      </c>
      <c r="J36">
        <v>75</v>
      </c>
      <c r="K36">
        <v>65</v>
      </c>
      <c r="L36">
        <v>75</v>
      </c>
      <c r="M36">
        <v>75</v>
      </c>
      <c r="N36">
        <v>73</v>
      </c>
      <c r="O36" t="s">
        <v>28</v>
      </c>
      <c r="P36" t="s">
        <v>23</v>
      </c>
    </row>
    <row r="37" spans="1:16" x14ac:dyDescent="0.3">
      <c r="A37" t="s">
        <v>117</v>
      </c>
      <c r="B37" t="s">
        <v>118</v>
      </c>
      <c r="C37" t="s">
        <v>670</v>
      </c>
      <c r="D37" t="s">
        <v>671</v>
      </c>
      <c r="E37" t="s">
        <v>45</v>
      </c>
      <c r="F37" t="s">
        <v>21</v>
      </c>
      <c r="G37">
        <v>0.9</v>
      </c>
      <c r="H37">
        <v>65</v>
      </c>
      <c r="I37">
        <v>70</v>
      </c>
      <c r="J37">
        <v>80</v>
      </c>
      <c r="K37">
        <v>30</v>
      </c>
      <c r="L37">
        <v>60</v>
      </c>
      <c r="M37">
        <v>90</v>
      </c>
      <c r="N37">
        <v>65</v>
      </c>
      <c r="O37" t="s">
        <v>28</v>
      </c>
      <c r="P37" t="s">
        <v>23</v>
      </c>
    </row>
    <row r="38" spans="1:16" x14ac:dyDescent="0.3">
      <c r="A38" t="s">
        <v>127</v>
      </c>
      <c r="B38" t="s">
        <v>128</v>
      </c>
      <c r="C38" t="s">
        <v>672</v>
      </c>
      <c r="D38" t="s">
        <v>673</v>
      </c>
      <c r="E38" t="s">
        <v>674</v>
      </c>
      <c r="F38" t="s">
        <v>21</v>
      </c>
      <c r="G38">
        <v>0.9</v>
      </c>
      <c r="H38">
        <v>75</v>
      </c>
      <c r="I38">
        <v>75</v>
      </c>
      <c r="J38">
        <v>75</v>
      </c>
      <c r="K38">
        <v>75</v>
      </c>
      <c r="L38">
        <v>75</v>
      </c>
      <c r="M38">
        <v>75</v>
      </c>
      <c r="N38">
        <v>75</v>
      </c>
      <c r="O38" t="s">
        <v>22</v>
      </c>
      <c r="P38" t="s">
        <v>23</v>
      </c>
    </row>
    <row r="39" spans="1:16" x14ac:dyDescent="0.3">
      <c r="A39" t="s">
        <v>127</v>
      </c>
      <c r="B39" t="s">
        <v>128</v>
      </c>
      <c r="C39" t="s">
        <v>675</v>
      </c>
      <c r="D39" t="s">
        <v>676</v>
      </c>
      <c r="E39" t="s">
        <v>674</v>
      </c>
      <c r="F39" t="s">
        <v>21</v>
      </c>
      <c r="G39">
        <v>0.92</v>
      </c>
      <c r="H39">
        <v>75</v>
      </c>
      <c r="I39">
        <v>60</v>
      </c>
      <c r="J39">
        <v>65</v>
      </c>
      <c r="K39">
        <v>85</v>
      </c>
      <c r="L39">
        <v>70</v>
      </c>
      <c r="M39">
        <v>80</v>
      </c>
      <c r="N39">
        <v>72</v>
      </c>
      <c r="O39" t="s">
        <v>28</v>
      </c>
      <c r="P39" t="s">
        <v>23</v>
      </c>
    </row>
    <row r="40" spans="1:16" x14ac:dyDescent="0.3">
      <c r="A40" t="s">
        <v>127</v>
      </c>
      <c r="B40" t="s">
        <v>128</v>
      </c>
      <c r="C40" t="s">
        <v>677</v>
      </c>
      <c r="D40" t="s">
        <v>678</v>
      </c>
      <c r="E40" t="s">
        <v>674</v>
      </c>
      <c r="F40" t="s">
        <v>21</v>
      </c>
      <c r="G40">
        <v>0.82</v>
      </c>
      <c r="H40">
        <v>85</v>
      </c>
      <c r="I40">
        <v>90</v>
      </c>
      <c r="J40">
        <v>75</v>
      </c>
      <c r="K40">
        <v>60</v>
      </c>
      <c r="L40">
        <v>70</v>
      </c>
      <c r="M40">
        <v>80</v>
      </c>
      <c r="N40">
        <v>76</v>
      </c>
      <c r="O40" t="s">
        <v>22</v>
      </c>
      <c r="P40" t="s">
        <v>23</v>
      </c>
    </row>
    <row r="41" spans="1:16" x14ac:dyDescent="0.3">
      <c r="A41" t="s">
        <v>127</v>
      </c>
      <c r="B41" t="s">
        <v>128</v>
      </c>
      <c r="C41" t="s">
        <v>679</v>
      </c>
      <c r="D41" t="s">
        <v>680</v>
      </c>
      <c r="E41" t="s">
        <v>674</v>
      </c>
      <c r="F41" t="s">
        <v>21</v>
      </c>
      <c r="G41">
        <v>0.9</v>
      </c>
      <c r="H41">
        <v>85</v>
      </c>
      <c r="I41">
        <v>75</v>
      </c>
      <c r="J41">
        <v>80</v>
      </c>
      <c r="K41">
        <v>60</v>
      </c>
      <c r="L41">
        <v>80</v>
      </c>
      <c r="M41">
        <v>90</v>
      </c>
      <c r="N41">
        <v>78</v>
      </c>
      <c r="O41" t="s">
        <v>22</v>
      </c>
      <c r="P41" t="s">
        <v>23</v>
      </c>
    </row>
    <row r="42" spans="1:16" x14ac:dyDescent="0.3">
      <c r="A42" t="s">
        <v>138</v>
      </c>
      <c r="B42" t="s">
        <v>139</v>
      </c>
      <c r="C42" t="s">
        <v>681</v>
      </c>
      <c r="D42" t="s">
        <v>682</v>
      </c>
      <c r="E42" t="s">
        <v>683</v>
      </c>
      <c r="F42" t="s">
        <v>21</v>
      </c>
      <c r="G42">
        <v>0.8</v>
      </c>
      <c r="H42">
        <v>85</v>
      </c>
      <c r="I42">
        <v>70</v>
      </c>
      <c r="J42">
        <v>65</v>
      </c>
      <c r="K42">
        <v>90</v>
      </c>
      <c r="L42">
        <v>75</v>
      </c>
      <c r="M42">
        <v>80</v>
      </c>
      <c r="N42">
        <v>77</v>
      </c>
      <c r="O42" t="s">
        <v>22</v>
      </c>
      <c r="P42" t="s">
        <v>23</v>
      </c>
    </row>
    <row r="43" spans="1:16" x14ac:dyDescent="0.3">
      <c r="A43" t="s">
        <v>138</v>
      </c>
      <c r="B43" t="s">
        <v>139</v>
      </c>
      <c r="C43" t="s">
        <v>684</v>
      </c>
      <c r="D43" t="s">
        <v>685</v>
      </c>
      <c r="E43" t="s">
        <v>683</v>
      </c>
      <c r="F43" t="s">
        <v>21</v>
      </c>
      <c r="G43">
        <v>0.85</v>
      </c>
      <c r="H43">
        <v>35</v>
      </c>
      <c r="I43">
        <v>45</v>
      </c>
      <c r="J43">
        <v>60</v>
      </c>
      <c r="K43">
        <v>20</v>
      </c>
      <c r="L43">
        <v>70</v>
      </c>
      <c r="M43">
        <v>10</v>
      </c>
      <c r="N43">
        <v>40</v>
      </c>
      <c r="O43" t="s">
        <v>71</v>
      </c>
      <c r="P43" t="s">
        <v>23</v>
      </c>
    </row>
    <row r="44" spans="1:16" x14ac:dyDescent="0.3">
      <c r="A44" t="s">
        <v>138</v>
      </c>
      <c r="B44" t="s">
        <v>139</v>
      </c>
      <c r="C44" t="s">
        <v>686</v>
      </c>
      <c r="D44" t="s">
        <v>687</v>
      </c>
      <c r="E44" t="s">
        <v>683</v>
      </c>
      <c r="F44" t="s">
        <v>21</v>
      </c>
      <c r="G44">
        <v>0.88</v>
      </c>
      <c r="H44">
        <v>60</v>
      </c>
      <c r="I44">
        <v>75</v>
      </c>
      <c r="J44">
        <v>65</v>
      </c>
      <c r="K44">
        <v>40</v>
      </c>
      <c r="L44">
        <v>80</v>
      </c>
      <c r="M44">
        <v>30</v>
      </c>
      <c r="N44">
        <v>58</v>
      </c>
      <c r="O44" t="s">
        <v>71</v>
      </c>
      <c r="P44" t="s">
        <v>23</v>
      </c>
    </row>
    <row r="45" spans="1:16" x14ac:dyDescent="0.3">
      <c r="A45" t="s">
        <v>138</v>
      </c>
      <c r="B45" t="s">
        <v>139</v>
      </c>
      <c r="C45" t="s">
        <v>688</v>
      </c>
      <c r="D45" t="s">
        <v>689</v>
      </c>
      <c r="E45" t="s">
        <v>683</v>
      </c>
      <c r="F45" t="s">
        <v>21</v>
      </c>
      <c r="G45">
        <v>0.92</v>
      </c>
      <c r="H45">
        <v>75</v>
      </c>
      <c r="I45">
        <v>80</v>
      </c>
      <c r="J45">
        <v>60</v>
      </c>
      <c r="K45">
        <v>30</v>
      </c>
      <c r="L45">
        <v>65</v>
      </c>
      <c r="M45">
        <v>40</v>
      </c>
      <c r="N45">
        <v>58</v>
      </c>
      <c r="O45" t="s">
        <v>71</v>
      </c>
      <c r="P45" t="s">
        <v>23</v>
      </c>
    </row>
    <row r="46" spans="1:16" x14ac:dyDescent="0.3">
      <c r="A46" t="s">
        <v>150</v>
      </c>
      <c r="B46" t="s">
        <v>151</v>
      </c>
      <c r="C46" t="s">
        <v>152</v>
      </c>
      <c r="D46" t="s">
        <v>690</v>
      </c>
      <c r="E46" t="s">
        <v>154</v>
      </c>
      <c r="F46" t="s">
        <v>21</v>
      </c>
      <c r="G46">
        <v>0.92</v>
      </c>
      <c r="H46">
        <v>85</v>
      </c>
      <c r="I46">
        <v>90</v>
      </c>
      <c r="J46">
        <v>70</v>
      </c>
      <c r="K46">
        <v>60</v>
      </c>
      <c r="L46">
        <v>80</v>
      </c>
      <c r="M46">
        <v>75</v>
      </c>
      <c r="N46">
        <v>76</v>
      </c>
      <c r="O46" t="s">
        <v>22</v>
      </c>
      <c r="P46" t="s">
        <v>23</v>
      </c>
    </row>
    <row r="47" spans="1:16" x14ac:dyDescent="0.3">
      <c r="A47" t="s">
        <v>150</v>
      </c>
      <c r="B47" t="s">
        <v>151</v>
      </c>
      <c r="C47" t="s">
        <v>691</v>
      </c>
      <c r="D47" t="s">
        <v>692</v>
      </c>
      <c r="E47" t="s">
        <v>154</v>
      </c>
      <c r="F47" t="s">
        <v>21</v>
      </c>
      <c r="G47">
        <v>0.94</v>
      </c>
      <c r="H47">
        <v>75</v>
      </c>
      <c r="I47">
        <v>80</v>
      </c>
      <c r="J47">
        <v>60</v>
      </c>
      <c r="K47">
        <v>50</v>
      </c>
      <c r="L47">
        <v>60</v>
      </c>
      <c r="M47">
        <v>90</v>
      </c>
      <c r="N47">
        <v>69</v>
      </c>
      <c r="O47" t="s">
        <v>28</v>
      </c>
      <c r="P47" t="s">
        <v>23</v>
      </c>
    </row>
    <row r="48" spans="1:16" x14ac:dyDescent="0.3">
      <c r="A48" t="s">
        <v>150</v>
      </c>
      <c r="B48" t="s">
        <v>151</v>
      </c>
      <c r="C48" t="s">
        <v>693</v>
      </c>
      <c r="D48" t="s">
        <v>694</v>
      </c>
      <c r="E48" t="s">
        <v>154</v>
      </c>
      <c r="F48" t="s">
        <v>21</v>
      </c>
      <c r="G48">
        <v>0.92</v>
      </c>
      <c r="H48">
        <v>85</v>
      </c>
      <c r="I48">
        <v>90</v>
      </c>
      <c r="J48">
        <v>75</v>
      </c>
      <c r="K48">
        <v>60</v>
      </c>
      <c r="L48">
        <v>70</v>
      </c>
      <c r="M48">
        <v>80</v>
      </c>
      <c r="N48">
        <v>76</v>
      </c>
      <c r="O48" t="s">
        <v>22</v>
      </c>
      <c r="P48" t="s">
        <v>23</v>
      </c>
    </row>
    <row r="49" spans="1:16" x14ac:dyDescent="0.3">
      <c r="A49" t="s">
        <v>150</v>
      </c>
      <c r="B49" t="s">
        <v>151</v>
      </c>
      <c r="C49" t="s">
        <v>695</v>
      </c>
      <c r="D49" t="s">
        <v>696</v>
      </c>
      <c r="E49" t="s">
        <v>154</v>
      </c>
      <c r="F49" t="s">
        <v>21</v>
      </c>
      <c r="G49">
        <v>0.92</v>
      </c>
      <c r="H49">
        <v>85</v>
      </c>
      <c r="I49">
        <v>70</v>
      </c>
      <c r="J49">
        <v>80</v>
      </c>
      <c r="K49">
        <v>65</v>
      </c>
      <c r="L49">
        <v>70</v>
      </c>
      <c r="M49">
        <v>90</v>
      </c>
      <c r="N49">
        <v>76</v>
      </c>
      <c r="O49" t="s">
        <v>22</v>
      </c>
      <c r="P49" t="s">
        <v>23</v>
      </c>
    </row>
    <row r="50" spans="1:16" x14ac:dyDescent="0.3">
      <c r="A50" t="s">
        <v>161</v>
      </c>
      <c r="B50" t="s">
        <v>162</v>
      </c>
      <c r="C50" t="s">
        <v>697</v>
      </c>
      <c r="D50" t="s">
        <v>698</v>
      </c>
      <c r="E50" t="s">
        <v>699</v>
      </c>
      <c r="F50" t="s">
        <v>21</v>
      </c>
      <c r="G50">
        <v>0.92</v>
      </c>
      <c r="H50">
        <v>85</v>
      </c>
      <c r="I50">
        <v>90</v>
      </c>
      <c r="J50">
        <v>70</v>
      </c>
      <c r="K50">
        <v>60</v>
      </c>
      <c r="L50">
        <v>80</v>
      </c>
      <c r="M50">
        <v>95</v>
      </c>
      <c r="N50">
        <v>80</v>
      </c>
      <c r="O50" t="s">
        <v>22</v>
      </c>
      <c r="P50" t="s">
        <v>23</v>
      </c>
    </row>
    <row r="51" spans="1:16" x14ac:dyDescent="0.3">
      <c r="A51" t="s">
        <v>161</v>
      </c>
      <c r="B51" t="s">
        <v>162</v>
      </c>
      <c r="C51" t="s">
        <v>700</v>
      </c>
      <c r="D51" t="s">
        <v>701</v>
      </c>
      <c r="E51" t="s">
        <v>699</v>
      </c>
      <c r="F51" t="s">
        <v>21</v>
      </c>
      <c r="G51">
        <v>0.9</v>
      </c>
      <c r="H51">
        <v>75</v>
      </c>
      <c r="I51">
        <v>75</v>
      </c>
      <c r="J51">
        <v>75</v>
      </c>
      <c r="K51">
        <v>75</v>
      </c>
      <c r="L51">
        <v>75</v>
      </c>
      <c r="M51">
        <v>75</v>
      </c>
      <c r="N51">
        <v>75</v>
      </c>
      <c r="O51" t="s">
        <v>22</v>
      </c>
      <c r="P51" t="s">
        <v>23</v>
      </c>
    </row>
    <row r="52" spans="1:16" x14ac:dyDescent="0.3">
      <c r="A52" t="s">
        <v>161</v>
      </c>
      <c r="B52" t="s">
        <v>162</v>
      </c>
      <c r="C52" t="s">
        <v>702</v>
      </c>
      <c r="D52" t="s">
        <v>703</v>
      </c>
      <c r="E52" t="s">
        <v>258</v>
      </c>
      <c r="F52" t="s">
        <v>21</v>
      </c>
      <c r="G52">
        <v>0.92</v>
      </c>
      <c r="H52">
        <v>85</v>
      </c>
      <c r="I52">
        <v>80</v>
      </c>
      <c r="J52">
        <v>70</v>
      </c>
      <c r="K52">
        <v>60</v>
      </c>
      <c r="L52">
        <v>75</v>
      </c>
      <c r="M52">
        <v>90</v>
      </c>
      <c r="N52">
        <v>76</v>
      </c>
      <c r="O52" t="s">
        <v>22</v>
      </c>
      <c r="P52" t="s">
        <v>23</v>
      </c>
    </row>
    <row r="53" spans="1:16" x14ac:dyDescent="0.3">
      <c r="A53" t="s">
        <v>161</v>
      </c>
      <c r="B53" t="s">
        <v>162</v>
      </c>
      <c r="C53" t="s">
        <v>704</v>
      </c>
      <c r="D53" t="s">
        <v>705</v>
      </c>
      <c r="E53" t="s">
        <v>706</v>
      </c>
      <c r="F53" t="s">
        <v>21</v>
      </c>
      <c r="G53">
        <v>0.88</v>
      </c>
      <c r="H53">
        <v>85</v>
      </c>
      <c r="I53">
        <v>90</v>
      </c>
      <c r="J53">
        <v>75</v>
      </c>
      <c r="K53">
        <v>60</v>
      </c>
      <c r="L53">
        <v>80</v>
      </c>
      <c r="M53">
        <v>70</v>
      </c>
      <c r="N53">
        <v>76</v>
      </c>
      <c r="O53" t="s">
        <v>22</v>
      </c>
      <c r="P53" t="s">
        <v>23</v>
      </c>
    </row>
    <row r="54" spans="1:16" x14ac:dyDescent="0.3">
      <c r="A54" t="s">
        <v>174</v>
      </c>
      <c r="B54" t="s">
        <v>175</v>
      </c>
      <c r="C54" t="s">
        <v>176</v>
      </c>
      <c r="D54" t="s">
        <v>707</v>
      </c>
      <c r="E54" t="s">
        <v>50</v>
      </c>
      <c r="F54" t="s">
        <v>21</v>
      </c>
      <c r="G54">
        <v>0.85</v>
      </c>
      <c r="H54">
        <v>75</v>
      </c>
      <c r="I54">
        <v>80</v>
      </c>
      <c r="J54">
        <v>70</v>
      </c>
      <c r="K54">
        <v>85</v>
      </c>
      <c r="L54">
        <v>60</v>
      </c>
      <c r="M54">
        <v>90</v>
      </c>
      <c r="N54">
        <v>76</v>
      </c>
      <c r="O54" t="s">
        <v>22</v>
      </c>
      <c r="P54" t="s">
        <v>23</v>
      </c>
    </row>
    <row r="55" spans="1:16" x14ac:dyDescent="0.3">
      <c r="A55" t="s">
        <v>174</v>
      </c>
      <c r="B55" t="s">
        <v>175</v>
      </c>
      <c r="C55" t="s">
        <v>708</v>
      </c>
      <c r="D55" t="s">
        <v>709</v>
      </c>
      <c r="E55" t="s">
        <v>710</v>
      </c>
      <c r="F55" t="s">
        <v>21</v>
      </c>
      <c r="G55">
        <v>0.87</v>
      </c>
      <c r="H55">
        <v>70</v>
      </c>
      <c r="I55">
        <v>85</v>
      </c>
      <c r="J55">
        <v>90</v>
      </c>
      <c r="K55">
        <v>85</v>
      </c>
      <c r="L55">
        <v>80</v>
      </c>
      <c r="M55">
        <v>95</v>
      </c>
      <c r="N55">
        <v>84</v>
      </c>
      <c r="O55" t="s">
        <v>22</v>
      </c>
      <c r="P55" t="s">
        <v>23</v>
      </c>
    </row>
    <row r="56" spans="1:16" x14ac:dyDescent="0.3">
      <c r="A56" t="s">
        <v>174</v>
      </c>
      <c r="B56" t="s">
        <v>175</v>
      </c>
      <c r="C56" t="s">
        <v>711</v>
      </c>
      <c r="D56" t="s">
        <v>712</v>
      </c>
      <c r="E56" t="s">
        <v>70</v>
      </c>
      <c r="F56" t="s">
        <v>21</v>
      </c>
      <c r="G56">
        <v>0.92</v>
      </c>
      <c r="H56">
        <v>45</v>
      </c>
      <c r="I56">
        <v>65</v>
      </c>
      <c r="J56">
        <v>70</v>
      </c>
      <c r="K56">
        <v>20</v>
      </c>
      <c r="L56">
        <v>35</v>
      </c>
      <c r="M56">
        <v>85</v>
      </c>
      <c r="N56">
        <v>53</v>
      </c>
      <c r="O56" t="s">
        <v>71</v>
      </c>
      <c r="P56" t="s">
        <v>23</v>
      </c>
    </row>
    <row r="57" spans="1:16" x14ac:dyDescent="0.3">
      <c r="A57" t="s">
        <v>174</v>
      </c>
      <c r="B57" t="s">
        <v>175</v>
      </c>
      <c r="C57" t="s">
        <v>181</v>
      </c>
      <c r="D57" t="s">
        <v>713</v>
      </c>
      <c r="E57" t="s">
        <v>87</v>
      </c>
      <c r="F57" t="s">
        <v>21</v>
      </c>
      <c r="G57">
        <v>0.93</v>
      </c>
      <c r="H57">
        <v>70</v>
      </c>
      <c r="I57">
        <v>85</v>
      </c>
      <c r="J57">
        <v>65</v>
      </c>
      <c r="K57">
        <v>50</v>
      </c>
      <c r="L57">
        <v>75</v>
      </c>
      <c r="M57">
        <v>80</v>
      </c>
      <c r="N57">
        <v>70</v>
      </c>
      <c r="O57" t="s">
        <v>28</v>
      </c>
      <c r="P57" t="s">
        <v>23</v>
      </c>
    </row>
    <row r="58" spans="1:16" x14ac:dyDescent="0.3">
      <c r="A58" t="s">
        <v>185</v>
      </c>
      <c r="B58" t="s">
        <v>186</v>
      </c>
      <c r="C58" t="s">
        <v>714</v>
      </c>
      <c r="D58" t="s">
        <v>715</v>
      </c>
      <c r="E58" t="s">
        <v>76</v>
      </c>
      <c r="F58" t="s">
        <v>21</v>
      </c>
      <c r="G58">
        <v>0.88</v>
      </c>
      <c r="H58">
        <v>85</v>
      </c>
      <c r="I58">
        <v>90</v>
      </c>
      <c r="J58">
        <v>70</v>
      </c>
      <c r="K58">
        <v>60</v>
      </c>
      <c r="L58">
        <v>80</v>
      </c>
      <c r="M58">
        <v>75</v>
      </c>
      <c r="N58">
        <v>76</v>
      </c>
      <c r="O58" t="s">
        <v>22</v>
      </c>
      <c r="P58" t="s">
        <v>23</v>
      </c>
    </row>
    <row r="59" spans="1:16" x14ac:dyDescent="0.3">
      <c r="A59" t="s">
        <v>185</v>
      </c>
      <c r="B59" t="s">
        <v>186</v>
      </c>
      <c r="C59" t="s">
        <v>716</v>
      </c>
      <c r="D59" t="s">
        <v>717</v>
      </c>
      <c r="E59" t="s">
        <v>87</v>
      </c>
      <c r="F59" t="s">
        <v>21</v>
      </c>
      <c r="G59">
        <v>0.9</v>
      </c>
      <c r="H59">
        <v>85</v>
      </c>
      <c r="I59">
        <v>70</v>
      </c>
      <c r="J59">
        <v>60</v>
      </c>
      <c r="K59">
        <v>40</v>
      </c>
      <c r="L59">
        <v>90</v>
      </c>
      <c r="M59">
        <v>75</v>
      </c>
      <c r="N59">
        <v>70</v>
      </c>
      <c r="O59" t="s">
        <v>28</v>
      </c>
      <c r="P59" t="s">
        <v>23</v>
      </c>
    </row>
    <row r="60" spans="1:16" x14ac:dyDescent="0.3">
      <c r="A60" t="s">
        <v>185</v>
      </c>
      <c r="B60" t="s">
        <v>186</v>
      </c>
      <c r="C60" t="s">
        <v>718</v>
      </c>
      <c r="D60" t="s">
        <v>719</v>
      </c>
      <c r="E60" t="s">
        <v>720</v>
      </c>
      <c r="F60" t="s">
        <v>21</v>
      </c>
      <c r="G60">
        <v>0.9</v>
      </c>
      <c r="H60">
        <v>75</v>
      </c>
      <c r="I60">
        <v>85</v>
      </c>
      <c r="J60">
        <v>90</v>
      </c>
      <c r="K60">
        <v>60</v>
      </c>
      <c r="L60">
        <v>80</v>
      </c>
      <c r="M60">
        <v>70</v>
      </c>
      <c r="N60">
        <v>76</v>
      </c>
      <c r="O60" t="s">
        <v>22</v>
      </c>
      <c r="P60" t="s">
        <v>23</v>
      </c>
    </row>
    <row r="61" spans="1:16" x14ac:dyDescent="0.3">
      <c r="A61" t="s">
        <v>185</v>
      </c>
      <c r="B61" t="s">
        <v>186</v>
      </c>
      <c r="C61" t="s">
        <v>721</v>
      </c>
      <c r="D61" t="s">
        <v>722</v>
      </c>
      <c r="E61" t="s">
        <v>720</v>
      </c>
      <c r="F61" t="s">
        <v>21</v>
      </c>
      <c r="G61">
        <v>0.9</v>
      </c>
      <c r="H61">
        <v>75</v>
      </c>
      <c r="I61">
        <v>65</v>
      </c>
      <c r="J61">
        <v>80</v>
      </c>
      <c r="K61">
        <v>40</v>
      </c>
      <c r="L61">
        <v>50</v>
      </c>
      <c r="M61">
        <v>90</v>
      </c>
      <c r="N61">
        <v>66</v>
      </c>
      <c r="O61" t="s">
        <v>28</v>
      </c>
      <c r="P61" t="s">
        <v>23</v>
      </c>
    </row>
    <row r="62" spans="1:16" x14ac:dyDescent="0.3">
      <c r="A62" t="s">
        <v>198</v>
      </c>
      <c r="B62" t="s">
        <v>199</v>
      </c>
      <c r="C62" t="s">
        <v>723</v>
      </c>
      <c r="D62" t="s">
        <v>724</v>
      </c>
      <c r="E62" t="s">
        <v>725</v>
      </c>
      <c r="F62" t="s">
        <v>21</v>
      </c>
      <c r="G62">
        <v>0.85</v>
      </c>
      <c r="H62">
        <v>75</v>
      </c>
      <c r="I62">
        <v>60</v>
      </c>
      <c r="J62">
        <v>85</v>
      </c>
      <c r="K62">
        <v>70</v>
      </c>
      <c r="L62">
        <v>65</v>
      </c>
      <c r="M62">
        <v>80</v>
      </c>
      <c r="N62">
        <v>72</v>
      </c>
      <c r="O62" t="s">
        <v>28</v>
      </c>
      <c r="P62" t="s">
        <v>23</v>
      </c>
    </row>
    <row r="63" spans="1:16" x14ac:dyDescent="0.3">
      <c r="A63" t="s">
        <v>198</v>
      </c>
      <c r="B63" t="s">
        <v>199</v>
      </c>
      <c r="C63" t="s">
        <v>203</v>
      </c>
      <c r="D63" t="s">
        <v>726</v>
      </c>
      <c r="E63" t="s">
        <v>725</v>
      </c>
      <c r="F63" t="s">
        <v>21</v>
      </c>
      <c r="G63">
        <v>0.65</v>
      </c>
      <c r="H63">
        <v>40</v>
      </c>
      <c r="I63">
        <v>50</v>
      </c>
      <c r="J63">
        <v>70</v>
      </c>
      <c r="K63">
        <v>30</v>
      </c>
      <c r="L63">
        <v>60</v>
      </c>
      <c r="M63">
        <v>80</v>
      </c>
      <c r="N63">
        <v>55</v>
      </c>
      <c r="O63" t="s">
        <v>71</v>
      </c>
      <c r="P63" t="s">
        <v>23</v>
      </c>
    </row>
    <row r="64" spans="1:16" x14ac:dyDescent="0.3">
      <c r="A64" t="s">
        <v>198</v>
      </c>
      <c r="B64" t="s">
        <v>199</v>
      </c>
      <c r="C64" t="s">
        <v>727</v>
      </c>
      <c r="D64" t="s">
        <v>728</v>
      </c>
      <c r="E64" t="s">
        <v>725</v>
      </c>
      <c r="F64" t="s">
        <v>21</v>
      </c>
      <c r="G64">
        <v>0.88</v>
      </c>
      <c r="H64">
        <v>75</v>
      </c>
      <c r="I64">
        <v>75</v>
      </c>
      <c r="J64">
        <v>75</v>
      </c>
      <c r="K64">
        <v>75</v>
      </c>
      <c r="L64">
        <v>75</v>
      </c>
      <c r="M64">
        <v>75</v>
      </c>
      <c r="N64">
        <v>75</v>
      </c>
      <c r="O64" t="s">
        <v>22</v>
      </c>
      <c r="P64" t="s">
        <v>23</v>
      </c>
    </row>
    <row r="65" spans="1:16" x14ac:dyDescent="0.3">
      <c r="A65" t="s">
        <v>198</v>
      </c>
      <c r="B65" t="s">
        <v>199</v>
      </c>
      <c r="C65" t="s">
        <v>729</v>
      </c>
      <c r="D65" t="s">
        <v>730</v>
      </c>
      <c r="E65" t="s">
        <v>725</v>
      </c>
      <c r="F65" t="s">
        <v>51</v>
      </c>
      <c r="G65">
        <v>0.85</v>
      </c>
      <c r="H65">
        <v>85</v>
      </c>
      <c r="I65">
        <v>90</v>
      </c>
      <c r="J65">
        <v>75</v>
      </c>
      <c r="K65">
        <v>60</v>
      </c>
      <c r="L65">
        <v>80</v>
      </c>
      <c r="M65">
        <v>70</v>
      </c>
      <c r="N65">
        <v>76</v>
      </c>
      <c r="O65" t="s">
        <v>22</v>
      </c>
      <c r="P65" t="s">
        <v>23</v>
      </c>
    </row>
    <row r="66" spans="1:16" x14ac:dyDescent="0.3">
      <c r="A66" t="s">
        <v>209</v>
      </c>
      <c r="B66" t="s">
        <v>210</v>
      </c>
      <c r="C66" t="s">
        <v>211</v>
      </c>
      <c r="D66" t="s">
        <v>731</v>
      </c>
      <c r="E66" t="s">
        <v>732</v>
      </c>
      <c r="F66" t="s">
        <v>21</v>
      </c>
      <c r="G66">
        <v>0.9</v>
      </c>
      <c r="H66">
        <v>85</v>
      </c>
      <c r="I66">
        <v>90</v>
      </c>
      <c r="J66">
        <v>75</v>
      </c>
      <c r="K66">
        <v>60</v>
      </c>
      <c r="L66">
        <v>80</v>
      </c>
      <c r="M66">
        <v>90</v>
      </c>
      <c r="N66">
        <v>80</v>
      </c>
      <c r="O66" t="s">
        <v>22</v>
      </c>
      <c r="P66" t="s">
        <v>23</v>
      </c>
    </row>
    <row r="67" spans="1:16" x14ac:dyDescent="0.3">
      <c r="A67" t="s">
        <v>209</v>
      </c>
      <c r="B67" t="s">
        <v>210</v>
      </c>
      <c r="C67" t="s">
        <v>733</v>
      </c>
      <c r="D67" t="s">
        <v>734</v>
      </c>
      <c r="E67" t="s">
        <v>732</v>
      </c>
      <c r="F67" t="s">
        <v>21</v>
      </c>
      <c r="G67">
        <v>0.9</v>
      </c>
      <c r="H67">
        <v>85</v>
      </c>
      <c r="I67">
        <v>75</v>
      </c>
      <c r="J67">
        <v>80</v>
      </c>
      <c r="K67">
        <v>65</v>
      </c>
      <c r="L67">
        <v>90</v>
      </c>
      <c r="M67">
        <v>70</v>
      </c>
      <c r="N67">
        <v>77</v>
      </c>
      <c r="O67" t="s">
        <v>22</v>
      </c>
      <c r="P67" t="s">
        <v>23</v>
      </c>
    </row>
    <row r="68" spans="1:16" x14ac:dyDescent="0.3">
      <c r="A68" t="s">
        <v>209</v>
      </c>
      <c r="B68" t="s">
        <v>210</v>
      </c>
      <c r="C68" t="s">
        <v>217</v>
      </c>
      <c r="D68" t="s">
        <v>735</v>
      </c>
      <c r="E68" t="s">
        <v>736</v>
      </c>
      <c r="F68" t="s">
        <v>21</v>
      </c>
      <c r="G68">
        <v>0.93</v>
      </c>
      <c r="H68">
        <v>75</v>
      </c>
      <c r="I68">
        <v>75</v>
      </c>
      <c r="J68">
        <v>75</v>
      </c>
      <c r="K68">
        <v>65</v>
      </c>
      <c r="L68">
        <v>75</v>
      </c>
      <c r="M68">
        <v>75</v>
      </c>
      <c r="N68">
        <v>73</v>
      </c>
      <c r="O68" t="s">
        <v>28</v>
      </c>
      <c r="P68" t="s">
        <v>23</v>
      </c>
    </row>
    <row r="69" spans="1:16" x14ac:dyDescent="0.3">
      <c r="A69" t="s">
        <v>209</v>
      </c>
      <c r="B69" t="s">
        <v>210</v>
      </c>
      <c r="C69" t="s">
        <v>737</v>
      </c>
      <c r="D69" t="s">
        <v>738</v>
      </c>
      <c r="E69" t="s">
        <v>739</v>
      </c>
      <c r="F69" t="s">
        <v>21</v>
      </c>
      <c r="G69">
        <v>0.92</v>
      </c>
      <c r="H69">
        <v>95</v>
      </c>
      <c r="I69">
        <v>85</v>
      </c>
      <c r="J69">
        <v>80</v>
      </c>
      <c r="K69">
        <v>60</v>
      </c>
      <c r="L69">
        <v>75</v>
      </c>
      <c r="M69">
        <v>90</v>
      </c>
      <c r="N69">
        <v>80</v>
      </c>
      <c r="O69" t="s">
        <v>22</v>
      </c>
      <c r="P69" t="s">
        <v>23</v>
      </c>
    </row>
    <row r="70" spans="1:16" x14ac:dyDescent="0.3">
      <c r="A70" t="s">
        <v>223</v>
      </c>
      <c r="B70" t="s">
        <v>224</v>
      </c>
      <c r="C70" t="s">
        <v>68</v>
      </c>
      <c r="D70" t="s">
        <v>740</v>
      </c>
      <c r="E70" t="s">
        <v>741</v>
      </c>
      <c r="F70" t="s">
        <v>21</v>
      </c>
      <c r="G70">
        <v>0.94</v>
      </c>
      <c r="H70">
        <v>75</v>
      </c>
      <c r="I70">
        <v>80</v>
      </c>
      <c r="J70">
        <v>80</v>
      </c>
      <c r="K70">
        <v>40</v>
      </c>
      <c r="L70">
        <v>60</v>
      </c>
      <c r="M70">
        <v>50</v>
      </c>
      <c r="N70">
        <v>64</v>
      </c>
      <c r="O70" t="s">
        <v>28</v>
      </c>
      <c r="P70" t="s">
        <v>23</v>
      </c>
    </row>
    <row r="71" spans="1:16" x14ac:dyDescent="0.3">
      <c r="A71" t="s">
        <v>223</v>
      </c>
      <c r="B71" t="s">
        <v>224</v>
      </c>
      <c r="C71" t="s">
        <v>711</v>
      </c>
      <c r="D71" t="s">
        <v>742</v>
      </c>
      <c r="E71" t="s">
        <v>741</v>
      </c>
      <c r="F71" t="s">
        <v>21</v>
      </c>
      <c r="G71">
        <v>0.92</v>
      </c>
      <c r="H71">
        <v>50</v>
      </c>
      <c r="I71">
        <v>60</v>
      </c>
      <c r="J71">
        <v>70</v>
      </c>
      <c r="K71">
        <v>20</v>
      </c>
      <c r="L71">
        <v>40</v>
      </c>
      <c r="M71">
        <v>80</v>
      </c>
      <c r="N71">
        <v>53</v>
      </c>
      <c r="O71" t="s">
        <v>71</v>
      </c>
      <c r="P71" t="s">
        <v>23</v>
      </c>
    </row>
    <row r="72" spans="1:16" x14ac:dyDescent="0.3">
      <c r="A72" t="s">
        <v>223</v>
      </c>
      <c r="B72" t="s">
        <v>224</v>
      </c>
      <c r="C72" t="s">
        <v>225</v>
      </c>
      <c r="D72" t="s">
        <v>743</v>
      </c>
      <c r="E72" t="s">
        <v>744</v>
      </c>
      <c r="F72" t="s">
        <v>21</v>
      </c>
      <c r="G72">
        <v>0.9</v>
      </c>
      <c r="H72">
        <v>25</v>
      </c>
      <c r="I72">
        <v>30</v>
      </c>
      <c r="J72">
        <v>40</v>
      </c>
      <c r="K72">
        <v>10</v>
      </c>
      <c r="L72">
        <v>60</v>
      </c>
      <c r="M72">
        <v>75</v>
      </c>
      <c r="N72">
        <v>40</v>
      </c>
      <c r="O72" t="s">
        <v>71</v>
      </c>
      <c r="P72" t="s">
        <v>23</v>
      </c>
    </row>
    <row r="73" spans="1:16" x14ac:dyDescent="0.3">
      <c r="A73" t="s">
        <v>223</v>
      </c>
      <c r="B73" t="s">
        <v>224</v>
      </c>
      <c r="C73" t="s">
        <v>745</v>
      </c>
      <c r="D73" t="s">
        <v>746</v>
      </c>
      <c r="E73" t="s">
        <v>747</v>
      </c>
      <c r="F73" t="s">
        <v>21</v>
      </c>
      <c r="G73">
        <v>0.82</v>
      </c>
      <c r="H73">
        <v>35</v>
      </c>
      <c r="I73">
        <v>45</v>
      </c>
      <c r="J73">
        <v>60</v>
      </c>
      <c r="K73">
        <v>20</v>
      </c>
      <c r="L73">
        <v>70</v>
      </c>
      <c r="M73">
        <v>50</v>
      </c>
      <c r="N73">
        <v>46</v>
      </c>
      <c r="O73" t="s">
        <v>71</v>
      </c>
      <c r="P73" t="s">
        <v>23</v>
      </c>
    </row>
    <row r="74" spans="1:16" x14ac:dyDescent="0.3">
      <c r="A74" t="s">
        <v>235</v>
      </c>
      <c r="B74" t="s">
        <v>236</v>
      </c>
      <c r="C74" t="s">
        <v>748</v>
      </c>
      <c r="D74" t="s">
        <v>749</v>
      </c>
      <c r="E74" t="s">
        <v>750</v>
      </c>
      <c r="F74" t="s">
        <v>21</v>
      </c>
      <c r="G74">
        <v>0.95</v>
      </c>
      <c r="H74">
        <v>85</v>
      </c>
      <c r="I74">
        <v>75</v>
      </c>
      <c r="J74">
        <v>80</v>
      </c>
      <c r="K74">
        <v>60</v>
      </c>
      <c r="L74">
        <v>90</v>
      </c>
      <c r="M74">
        <v>60</v>
      </c>
      <c r="N74">
        <v>75</v>
      </c>
      <c r="O74" t="s">
        <v>22</v>
      </c>
      <c r="P74" t="s">
        <v>23</v>
      </c>
    </row>
    <row r="75" spans="1:16" x14ac:dyDescent="0.3">
      <c r="A75" t="s">
        <v>235</v>
      </c>
      <c r="B75" t="s">
        <v>236</v>
      </c>
      <c r="C75" t="s">
        <v>751</v>
      </c>
      <c r="D75" t="s">
        <v>752</v>
      </c>
      <c r="E75" t="s">
        <v>753</v>
      </c>
      <c r="F75" t="s">
        <v>21</v>
      </c>
      <c r="G75">
        <v>0.95</v>
      </c>
      <c r="H75">
        <v>85</v>
      </c>
      <c r="I75">
        <v>90</v>
      </c>
      <c r="J75">
        <v>75</v>
      </c>
      <c r="K75">
        <v>60</v>
      </c>
      <c r="L75">
        <v>70</v>
      </c>
      <c r="M75">
        <v>80</v>
      </c>
      <c r="N75">
        <v>76</v>
      </c>
      <c r="O75" t="s">
        <v>22</v>
      </c>
      <c r="P75" t="s">
        <v>23</v>
      </c>
    </row>
    <row r="76" spans="1:16" x14ac:dyDescent="0.3">
      <c r="A76" t="s">
        <v>235</v>
      </c>
      <c r="B76" t="s">
        <v>236</v>
      </c>
      <c r="C76" t="s">
        <v>754</v>
      </c>
      <c r="D76" t="s">
        <v>755</v>
      </c>
      <c r="E76" t="s">
        <v>756</v>
      </c>
      <c r="F76" t="s">
        <v>21</v>
      </c>
      <c r="G76">
        <v>0.92</v>
      </c>
      <c r="H76">
        <v>65</v>
      </c>
      <c r="I76">
        <v>70</v>
      </c>
      <c r="J76">
        <v>85</v>
      </c>
      <c r="K76">
        <v>70</v>
      </c>
      <c r="L76">
        <v>80</v>
      </c>
      <c r="M76">
        <v>95</v>
      </c>
      <c r="N76">
        <v>77</v>
      </c>
      <c r="O76" t="s">
        <v>22</v>
      </c>
      <c r="P76" t="s">
        <v>23</v>
      </c>
    </row>
    <row r="77" spans="1:16" x14ac:dyDescent="0.3">
      <c r="A77" t="s">
        <v>235</v>
      </c>
      <c r="B77" t="s">
        <v>236</v>
      </c>
      <c r="C77" t="s">
        <v>757</v>
      </c>
      <c r="D77" t="s">
        <v>758</v>
      </c>
      <c r="E77" t="s">
        <v>759</v>
      </c>
      <c r="F77" t="s">
        <v>21</v>
      </c>
      <c r="G77">
        <v>0.92</v>
      </c>
      <c r="H77">
        <v>85</v>
      </c>
      <c r="I77">
        <v>75</v>
      </c>
      <c r="J77">
        <v>80</v>
      </c>
      <c r="K77">
        <v>60</v>
      </c>
      <c r="L77">
        <v>90</v>
      </c>
      <c r="M77">
        <v>90</v>
      </c>
      <c r="N77">
        <v>80</v>
      </c>
      <c r="O77" t="s">
        <v>22</v>
      </c>
      <c r="P77" t="s">
        <v>23</v>
      </c>
    </row>
    <row r="78" spans="1:16" x14ac:dyDescent="0.3">
      <c r="A78" t="s">
        <v>249</v>
      </c>
      <c r="B78" t="s">
        <v>250</v>
      </c>
      <c r="C78" t="s">
        <v>760</v>
      </c>
      <c r="D78" t="s">
        <v>761</v>
      </c>
      <c r="E78" t="s">
        <v>762</v>
      </c>
      <c r="F78" t="s">
        <v>21</v>
      </c>
      <c r="G78">
        <v>0.92</v>
      </c>
      <c r="H78">
        <v>85</v>
      </c>
      <c r="I78">
        <v>75</v>
      </c>
      <c r="J78">
        <v>80</v>
      </c>
      <c r="K78">
        <v>65</v>
      </c>
      <c r="L78">
        <v>90</v>
      </c>
      <c r="M78">
        <v>70</v>
      </c>
      <c r="N78">
        <v>77</v>
      </c>
      <c r="O78" t="s">
        <v>22</v>
      </c>
      <c r="P78" t="s">
        <v>23</v>
      </c>
    </row>
    <row r="79" spans="1:16" x14ac:dyDescent="0.3">
      <c r="A79" t="s">
        <v>249</v>
      </c>
      <c r="B79" t="s">
        <v>250</v>
      </c>
      <c r="C79" t="s">
        <v>754</v>
      </c>
      <c r="D79" t="s">
        <v>763</v>
      </c>
      <c r="E79" t="s">
        <v>764</v>
      </c>
      <c r="F79" t="s">
        <v>21</v>
      </c>
      <c r="G79">
        <v>0.88</v>
      </c>
      <c r="H79">
        <v>85</v>
      </c>
      <c r="I79">
        <v>75</v>
      </c>
      <c r="J79">
        <v>80</v>
      </c>
      <c r="K79">
        <v>60</v>
      </c>
      <c r="L79">
        <v>90</v>
      </c>
      <c r="M79">
        <v>70</v>
      </c>
      <c r="N79">
        <v>76</v>
      </c>
      <c r="O79" t="s">
        <v>22</v>
      </c>
      <c r="P79" t="s">
        <v>23</v>
      </c>
    </row>
    <row r="80" spans="1:16" x14ac:dyDescent="0.3">
      <c r="A80" t="s">
        <v>249</v>
      </c>
      <c r="B80" t="s">
        <v>250</v>
      </c>
      <c r="C80" t="s">
        <v>765</v>
      </c>
      <c r="D80" t="s">
        <v>766</v>
      </c>
      <c r="E80" t="s">
        <v>767</v>
      </c>
      <c r="F80" t="s">
        <v>21</v>
      </c>
      <c r="G80">
        <v>0.86</v>
      </c>
      <c r="H80">
        <v>75</v>
      </c>
      <c r="I80">
        <v>80</v>
      </c>
      <c r="J80">
        <v>65</v>
      </c>
      <c r="K80">
        <v>30</v>
      </c>
      <c r="L80">
        <v>60</v>
      </c>
      <c r="M80">
        <v>70</v>
      </c>
      <c r="N80">
        <v>63</v>
      </c>
      <c r="O80" t="s">
        <v>28</v>
      </c>
      <c r="P80" t="s">
        <v>23</v>
      </c>
    </row>
    <row r="81" spans="1:16" x14ac:dyDescent="0.3">
      <c r="A81" t="s">
        <v>249</v>
      </c>
      <c r="B81" t="s">
        <v>250</v>
      </c>
      <c r="C81" t="s">
        <v>768</v>
      </c>
      <c r="D81" t="s">
        <v>769</v>
      </c>
      <c r="E81" t="s">
        <v>770</v>
      </c>
      <c r="F81" t="s">
        <v>21</v>
      </c>
      <c r="G81">
        <v>0.88</v>
      </c>
      <c r="H81">
        <v>65</v>
      </c>
      <c r="I81">
        <v>70</v>
      </c>
      <c r="J81">
        <v>80</v>
      </c>
      <c r="K81">
        <v>40</v>
      </c>
      <c r="L81">
        <v>75</v>
      </c>
      <c r="M81">
        <v>85</v>
      </c>
      <c r="N81">
        <v>69</v>
      </c>
      <c r="O81" t="s">
        <v>28</v>
      </c>
      <c r="P81" t="s">
        <v>23</v>
      </c>
    </row>
    <row r="82" spans="1:16" x14ac:dyDescent="0.3">
      <c r="A82" t="s">
        <v>261</v>
      </c>
      <c r="B82" t="s">
        <v>262</v>
      </c>
      <c r="C82" t="s">
        <v>771</v>
      </c>
      <c r="D82" t="s">
        <v>772</v>
      </c>
      <c r="E82" t="s">
        <v>773</v>
      </c>
      <c r="F82" t="s">
        <v>21</v>
      </c>
      <c r="G82">
        <v>0.9</v>
      </c>
      <c r="H82">
        <v>75</v>
      </c>
      <c r="I82">
        <v>75</v>
      </c>
      <c r="J82">
        <v>75</v>
      </c>
      <c r="K82">
        <v>75</v>
      </c>
      <c r="L82">
        <v>75</v>
      </c>
      <c r="M82">
        <v>75</v>
      </c>
      <c r="N82">
        <v>75</v>
      </c>
      <c r="O82" t="s">
        <v>22</v>
      </c>
      <c r="P82" t="s">
        <v>23</v>
      </c>
    </row>
    <row r="83" spans="1:16" x14ac:dyDescent="0.3">
      <c r="A83" t="s">
        <v>261</v>
      </c>
      <c r="B83" t="s">
        <v>262</v>
      </c>
      <c r="C83" t="s">
        <v>774</v>
      </c>
      <c r="D83" t="s">
        <v>775</v>
      </c>
      <c r="E83" t="s">
        <v>773</v>
      </c>
      <c r="F83" t="s">
        <v>21</v>
      </c>
      <c r="G83">
        <v>0.88</v>
      </c>
      <c r="H83">
        <v>85</v>
      </c>
      <c r="I83">
        <v>90</v>
      </c>
      <c r="J83">
        <v>80</v>
      </c>
      <c r="K83">
        <v>70</v>
      </c>
      <c r="L83">
        <v>95</v>
      </c>
      <c r="M83">
        <v>75</v>
      </c>
      <c r="N83">
        <v>82</v>
      </c>
      <c r="O83" t="s">
        <v>22</v>
      </c>
      <c r="P83" t="s">
        <v>23</v>
      </c>
    </row>
    <row r="84" spans="1:16" x14ac:dyDescent="0.3">
      <c r="A84" t="s">
        <v>261</v>
      </c>
      <c r="B84" t="s">
        <v>262</v>
      </c>
      <c r="C84" t="s">
        <v>776</v>
      </c>
      <c r="D84" t="s">
        <v>777</v>
      </c>
      <c r="E84" t="s">
        <v>773</v>
      </c>
      <c r="F84" t="s">
        <v>21</v>
      </c>
      <c r="G84">
        <v>0.85</v>
      </c>
      <c r="H84">
        <v>75</v>
      </c>
      <c r="I84">
        <v>75</v>
      </c>
      <c r="J84">
        <v>75</v>
      </c>
      <c r="K84">
        <v>75</v>
      </c>
      <c r="L84">
        <v>75</v>
      </c>
      <c r="M84">
        <v>75</v>
      </c>
      <c r="N84">
        <v>75</v>
      </c>
      <c r="O84" t="s">
        <v>22</v>
      </c>
      <c r="P84" t="s">
        <v>23</v>
      </c>
    </row>
    <row r="85" spans="1:16" x14ac:dyDescent="0.3">
      <c r="A85" t="s">
        <v>261</v>
      </c>
      <c r="B85" t="s">
        <v>262</v>
      </c>
      <c r="C85" t="s">
        <v>778</v>
      </c>
      <c r="D85" t="s">
        <v>779</v>
      </c>
      <c r="E85" t="s">
        <v>773</v>
      </c>
      <c r="F85" t="s">
        <v>51</v>
      </c>
      <c r="G85">
        <v>0.85</v>
      </c>
      <c r="H85">
        <v>75</v>
      </c>
      <c r="I85">
        <v>85</v>
      </c>
      <c r="J85">
        <v>70</v>
      </c>
      <c r="K85">
        <v>60</v>
      </c>
      <c r="L85">
        <v>80</v>
      </c>
      <c r="M85">
        <v>90</v>
      </c>
      <c r="N85">
        <v>76</v>
      </c>
      <c r="O85" t="s">
        <v>22</v>
      </c>
      <c r="P85" t="s">
        <v>23</v>
      </c>
    </row>
    <row r="86" spans="1:16" x14ac:dyDescent="0.3">
      <c r="A86" t="s">
        <v>272</v>
      </c>
      <c r="B86" t="s">
        <v>273</v>
      </c>
      <c r="C86" t="s">
        <v>274</v>
      </c>
      <c r="D86" t="s">
        <v>780</v>
      </c>
      <c r="E86" t="s">
        <v>781</v>
      </c>
      <c r="F86" t="s">
        <v>21</v>
      </c>
      <c r="G86">
        <v>0.9</v>
      </c>
      <c r="H86">
        <v>85</v>
      </c>
      <c r="I86">
        <v>70</v>
      </c>
      <c r="J86">
        <v>65</v>
      </c>
      <c r="K86">
        <v>90</v>
      </c>
      <c r="L86">
        <v>80</v>
      </c>
      <c r="M86">
        <v>70</v>
      </c>
      <c r="N86">
        <v>76</v>
      </c>
      <c r="O86" t="s">
        <v>22</v>
      </c>
      <c r="P86" t="s">
        <v>23</v>
      </c>
    </row>
    <row r="87" spans="1:16" x14ac:dyDescent="0.3">
      <c r="A87" t="s">
        <v>272</v>
      </c>
      <c r="B87" t="s">
        <v>273</v>
      </c>
      <c r="C87" t="s">
        <v>277</v>
      </c>
      <c r="D87" t="s">
        <v>782</v>
      </c>
      <c r="E87" t="s">
        <v>781</v>
      </c>
      <c r="F87" t="s">
        <v>21</v>
      </c>
      <c r="G87">
        <v>0.75</v>
      </c>
      <c r="H87">
        <v>85</v>
      </c>
      <c r="I87">
        <v>70</v>
      </c>
      <c r="J87">
        <v>65</v>
      </c>
      <c r="K87">
        <v>90</v>
      </c>
      <c r="L87">
        <v>80</v>
      </c>
      <c r="M87">
        <v>80</v>
      </c>
      <c r="N87">
        <v>78</v>
      </c>
      <c r="O87" t="s">
        <v>22</v>
      </c>
      <c r="P87" t="s">
        <v>23</v>
      </c>
    </row>
    <row r="88" spans="1:16" x14ac:dyDescent="0.3">
      <c r="A88" t="s">
        <v>272</v>
      </c>
      <c r="B88" t="s">
        <v>273</v>
      </c>
      <c r="C88" t="s">
        <v>783</v>
      </c>
      <c r="D88" t="s">
        <v>784</v>
      </c>
      <c r="E88" t="s">
        <v>781</v>
      </c>
      <c r="F88" t="s">
        <v>21</v>
      </c>
      <c r="G88">
        <v>0.86</v>
      </c>
      <c r="H88">
        <v>75</v>
      </c>
      <c r="I88">
        <v>80</v>
      </c>
      <c r="J88">
        <v>60</v>
      </c>
      <c r="K88">
        <v>40</v>
      </c>
      <c r="L88">
        <v>90</v>
      </c>
      <c r="M88">
        <v>50</v>
      </c>
      <c r="N88">
        <v>65</v>
      </c>
      <c r="O88" t="s">
        <v>28</v>
      </c>
      <c r="P88" t="s">
        <v>23</v>
      </c>
    </row>
    <row r="89" spans="1:16" x14ac:dyDescent="0.3">
      <c r="A89" t="s">
        <v>272</v>
      </c>
      <c r="B89" t="s">
        <v>273</v>
      </c>
      <c r="C89" t="s">
        <v>785</v>
      </c>
      <c r="D89" t="s">
        <v>786</v>
      </c>
      <c r="E89" t="s">
        <v>781</v>
      </c>
      <c r="F89" t="s">
        <v>21</v>
      </c>
      <c r="G89">
        <v>0.9</v>
      </c>
      <c r="H89">
        <v>65</v>
      </c>
      <c r="I89">
        <v>70</v>
      </c>
      <c r="J89">
        <v>80</v>
      </c>
      <c r="K89">
        <v>40</v>
      </c>
      <c r="L89">
        <v>60</v>
      </c>
      <c r="M89">
        <v>75</v>
      </c>
      <c r="N89">
        <v>65</v>
      </c>
      <c r="O89" t="s">
        <v>28</v>
      </c>
      <c r="P89" t="s">
        <v>23</v>
      </c>
    </row>
    <row r="90" spans="1:16" x14ac:dyDescent="0.3">
      <c r="A90" t="s">
        <v>283</v>
      </c>
      <c r="B90" t="s">
        <v>284</v>
      </c>
      <c r="C90" t="s">
        <v>787</v>
      </c>
      <c r="D90" t="s">
        <v>788</v>
      </c>
      <c r="E90" t="s">
        <v>287</v>
      </c>
      <c r="F90" t="s">
        <v>21</v>
      </c>
      <c r="G90">
        <v>0.88</v>
      </c>
      <c r="H90">
        <v>75</v>
      </c>
      <c r="I90">
        <v>75</v>
      </c>
      <c r="J90">
        <v>75</v>
      </c>
      <c r="K90">
        <v>75</v>
      </c>
      <c r="L90">
        <v>75</v>
      </c>
      <c r="M90">
        <v>75</v>
      </c>
      <c r="N90">
        <v>75</v>
      </c>
      <c r="O90" t="s">
        <v>22</v>
      </c>
      <c r="P90" t="s">
        <v>23</v>
      </c>
    </row>
    <row r="91" spans="1:16" x14ac:dyDescent="0.3">
      <c r="A91" t="s">
        <v>283</v>
      </c>
      <c r="B91" t="s">
        <v>284</v>
      </c>
      <c r="C91" t="s">
        <v>789</v>
      </c>
      <c r="D91" t="s">
        <v>790</v>
      </c>
      <c r="E91" t="s">
        <v>287</v>
      </c>
      <c r="F91" t="s">
        <v>21</v>
      </c>
      <c r="G91">
        <v>0.9</v>
      </c>
      <c r="H91">
        <v>85</v>
      </c>
      <c r="I91">
        <v>90</v>
      </c>
      <c r="J91">
        <v>70</v>
      </c>
      <c r="K91">
        <v>60</v>
      </c>
      <c r="L91">
        <v>80</v>
      </c>
      <c r="M91">
        <v>95</v>
      </c>
      <c r="N91">
        <v>80</v>
      </c>
      <c r="O91" t="s">
        <v>22</v>
      </c>
      <c r="P91" t="s">
        <v>23</v>
      </c>
    </row>
    <row r="92" spans="1:16" x14ac:dyDescent="0.3">
      <c r="A92" t="s">
        <v>283</v>
      </c>
      <c r="B92" t="s">
        <v>284</v>
      </c>
      <c r="C92" t="s">
        <v>791</v>
      </c>
      <c r="D92" t="s">
        <v>792</v>
      </c>
      <c r="E92" t="s">
        <v>287</v>
      </c>
      <c r="F92" t="s">
        <v>21</v>
      </c>
      <c r="G92">
        <v>0.92</v>
      </c>
      <c r="H92">
        <v>75</v>
      </c>
      <c r="I92">
        <v>75</v>
      </c>
      <c r="J92">
        <v>75</v>
      </c>
      <c r="K92">
        <v>75</v>
      </c>
      <c r="L92">
        <v>75</v>
      </c>
      <c r="M92">
        <v>75</v>
      </c>
      <c r="N92">
        <v>75</v>
      </c>
      <c r="O92" t="s">
        <v>22</v>
      </c>
      <c r="P92" t="s">
        <v>23</v>
      </c>
    </row>
    <row r="93" spans="1:16" x14ac:dyDescent="0.3">
      <c r="A93" t="s">
        <v>283</v>
      </c>
      <c r="B93" t="s">
        <v>284</v>
      </c>
      <c r="C93" t="s">
        <v>292</v>
      </c>
      <c r="D93" t="s">
        <v>793</v>
      </c>
      <c r="E93" t="s">
        <v>287</v>
      </c>
      <c r="F93" t="s">
        <v>21</v>
      </c>
      <c r="G93">
        <v>0.88</v>
      </c>
      <c r="H93">
        <v>85</v>
      </c>
      <c r="I93">
        <v>90</v>
      </c>
      <c r="J93">
        <v>70</v>
      </c>
      <c r="K93">
        <v>60</v>
      </c>
      <c r="L93">
        <v>80</v>
      </c>
      <c r="M93">
        <v>75</v>
      </c>
      <c r="N93">
        <v>76</v>
      </c>
      <c r="O93" t="s">
        <v>22</v>
      </c>
      <c r="P93" t="s">
        <v>23</v>
      </c>
    </row>
    <row r="94" spans="1:16" x14ac:dyDescent="0.3">
      <c r="A94" t="s">
        <v>294</v>
      </c>
      <c r="B94" t="s">
        <v>295</v>
      </c>
      <c r="C94" t="s">
        <v>794</v>
      </c>
      <c r="D94" t="s">
        <v>795</v>
      </c>
      <c r="E94" t="s">
        <v>796</v>
      </c>
      <c r="F94" t="s">
        <v>21</v>
      </c>
      <c r="G94">
        <v>0.85</v>
      </c>
      <c r="H94">
        <v>75</v>
      </c>
      <c r="I94">
        <v>80</v>
      </c>
      <c r="J94">
        <v>60</v>
      </c>
      <c r="K94">
        <v>40</v>
      </c>
      <c r="L94">
        <v>90</v>
      </c>
      <c r="M94">
        <v>70</v>
      </c>
      <c r="N94">
        <v>69</v>
      </c>
      <c r="O94" t="s">
        <v>28</v>
      </c>
      <c r="P94" t="s">
        <v>23</v>
      </c>
    </row>
    <row r="95" spans="1:16" x14ac:dyDescent="0.3">
      <c r="A95" t="s">
        <v>294</v>
      </c>
      <c r="B95" t="s">
        <v>295</v>
      </c>
      <c r="C95" t="s">
        <v>797</v>
      </c>
      <c r="D95" t="s">
        <v>798</v>
      </c>
      <c r="E95" t="s">
        <v>796</v>
      </c>
      <c r="F95" t="s">
        <v>21</v>
      </c>
      <c r="G95">
        <v>0.6</v>
      </c>
      <c r="H95">
        <v>75</v>
      </c>
      <c r="I95">
        <v>75</v>
      </c>
      <c r="J95">
        <v>75</v>
      </c>
      <c r="K95">
        <v>75</v>
      </c>
      <c r="L95">
        <v>75</v>
      </c>
      <c r="M95">
        <v>75</v>
      </c>
      <c r="N95">
        <v>75</v>
      </c>
      <c r="O95" t="s">
        <v>22</v>
      </c>
      <c r="P95" t="s">
        <v>23</v>
      </c>
    </row>
    <row r="96" spans="1:16" x14ac:dyDescent="0.3">
      <c r="A96" t="s">
        <v>294</v>
      </c>
      <c r="B96" t="s">
        <v>295</v>
      </c>
      <c r="C96" t="s">
        <v>799</v>
      </c>
      <c r="D96" t="s">
        <v>800</v>
      </c>
      <c r="E96" t="s">
        <v>796</v>
      </c>
      <c r="F96" t="s">
        <v>21</v>
      </c>
      <c r="G96">
        <v>0.85</v>
      </c>
      <c r="H96">
        <v>75</v>
      </c>
      <c r="I96">
        <v>75</v>
      </c>
      <c r="J96">
        <v>75</v>
      </c>
      <c r="K96">
        <v>75</v>
      </c>
      <c r="L96">
        <v>75</v>
      </c>
      <c r="M96">
        <v>75</v>
      </c>
      <c r="N96">
        <v>75</v>
      </c>
      <c r="O96" t="s">
        <v>22</v>
      </c>
      <c r="P96" t="s">
        <v>23</v>
      </c>
    </row>
    <row r="97" spans="1:16" x14ac:dyDescent="0.3">
      <c r="A97" t="s">
        <v>294</v>
      </c>
      <c r="B97" t="s">
        <v>295</v>
      </c>
      <c r="C97" t="s">
        <v>801</v>
      </c>
      <c r="D97" t="s">
        <v>802</v>
      </c>
      <c r="E97" t="s">
        <v>796</v>
      </c>
      <c r="F97" t="s">
        <v>21</v>
      </c>
      <c r="G97">
        <v>0.87</v>
      </c>
      <c r="H97">
        <v>75</v>
      </c>
      <c r="I97">
        <v>75</v>
      </c>
      <c r="J97">
        <v>75</v>
      </c>
      <c r="K97">
        <v>75</v>
      </c>
      <c r="L97">
        <v>75</v>
      </c>
      <c r="M97">
        <v>75</v>
      </c>
      <c r="N97">
        <v>75</v>
      </c>
      <c r="O97" t="s">
        <v>22</v>
      </c>
      <c r="P97" t="s">
        <v>23</v>
      </c>
    </row>
    <row r="98" spans="1:16" x14ac:dyDescent="0.3">
      <c r="A98" t="s">
        <v>305</v>
      </c>
      <c r="B98" t="s">
        <v>306</v>
      </c>
      <c r="C98" t="s">
        <v>803</v>
      </c>
      <c r="D98" t="s">
        <v>804</v>
      </c>
      <c r="E98" t="s">
        <v>805</v>
      </c>
      <c r="F98" t="s">
        <v>21</v>
      </c>
      <c r="G98">
        <v>0.95</v>
      </c>
      <c r="H98">
        <v>65</v>
      </c>
      <c r="I98">
        <v>75</v>
      </c>
      <c r="J98">
        <v>80</v>
      </c>
      <c r="K98">
        <v>30</v>
      </c>
      <c r="L98">
        <v>40</v>
      </c>
      <c r="M98">
        <v>50</v>
      </c>
      <c r="N98">
        <v>56</v>
      </c>
      <c r="O98" t="s">
        <v>71</v>
      </c>
      <c r="P98" t="s">
        <v>23</v>
      </c>
    </row>
    <row r="99" spans="1:16" x14ac:dyDescent="0.3">
      <c r="A99" t="s">
        <v>305</v>
      </c>
      <c r="B99" t="s">
        <v>306</v>
      </c>
      <c r="C99" t="s">
        <v>806</v>
      </c>
      <c r="D99" t="s">
        <v>807</v>
      </c>
      <c r="E99" t="s">
        <v>805</v>
      </c>
      <c r="F99" t="s">
        <v>21</v>
      </c>
      <c r="G99">
        <v>0.92</v>
      </c>
      <c r="H99">
        <v>85</v>
      </c>
      <c r="I99">
        <v>90</v>
      </c>
      <c r="J99">
        <v>75</v>
      </c>
      <c r="K99">
        <v>60</v>
      </c>
      <c r="L99">
        <v>70</v>
      </c>
      <c r="M99">
        <v>80</v>
      </c>
      <c r="N99">
        <v>76</v>
      </c>
      <c r="O99" t="s">
        <v>22</v>
      </c>
      <c r="P99" t="s">
        <v>23</v>
      </c>
    </row>
    <row r="100" spans="1:16" x14ac:dyDescent="0.3">
      <c r="A100" t="s">
        <v>305</v>
      </c>
      <c r="B100" t="s">
        <v>306</v>
      </c>
      <c r="C100" t="s">
        <v>808</v>
      </c>
      <c r="D100" t="s">
        <v>809</v>
      </c>
      <c r="E100" t="s">
        <v>805</v>
      </c>
      <c r="F100" t="s">
        <v>21</v>
      </c>
      <c r="G100">
        <v>0.85</v>
      </c>
      <c r="H100">
        <v>85</v>
      </c>
      <c r="I100">
        <v>70</v>
      </c>
      <c r="J100">
        <v>60</v>
      </c>
      <c r="K100">
        <v>90</v>
      </c>
      <c r="L100">
        <v>75</v>
      </c>
      <c r="M100">
        <v>80</v>
      </c>
      <c r="N100">
        <v>76</v>
      </c>
      <c r="O100" t="s">
        <v>22</v>
      </c>
      <c r="P100" t="s">
        <v>23</v>
      </c>
    </row>
    <row r="101" spans="1:16" x14ac:dyDescent="0.3">
      <c r="A101" t="s">
        <v>305</v>
      </c>
      <c r="B101" t="s">
        <v>306</v>
      </c>
      <c r="C101" t="s">
        <v>810</v>
      </c>
      <c r="D101" t="s">
        <v>811</v>
      </c>
      <c r="E101" t="s">
        <v>805</v>
      </c>
      <c r="F101" t="s">
        <v>21</v>
      </c>
      <c r="G101">
        <v>0.9</v>
      </c>
      <c r="H101">
        <v>75</v>
      </c>
      <c r="I101">
        <v>85</v>
      </c>
      <c r="J101">
        <v>80</v>
      </c>
      <c r="K101">
        <v>60</v>
      </c>
      <c r="L101">
        <v>80</v>
      </c>
      <c r="M101">
        <v>70</v>
      </c>
      <c r="N101">
        <v>75</v>
      </c>
      <c r="O101" t="s">
        <v>22</v>
      </c>
      <c r="P101" t="s">
        <v>23</v>
      </c>
    </row>
    <row r="102" spans="1:16" x14ac:dyDescent="0.3">
      <c r="A102" t="s">
        <v>316</v>
      </c>
      <c r="B102" t="s">
        <v>317</v>
      </c>
      <c r="C102" t="s">
        <v>812</v>
      </c>
      <c r="D102" t="s">
        <v>813</v>
      </c>
      <c r="E102" t="s">
        <v>814</v>
      </c>
      <c r="F102" t="s">
        <v>21</v>
      </c>
      <c r="G102">
        <v>0.9</v>
      </c>
      <c r="H102">
        <v>60</v>
      </c>
      <c r="I102">
        <v>70</v>
      </c>
      <c r="J102">
        <v>80</v>
      </c>
      <c r="K102">
        <v>50</v>
      </c>
      <c r="L102">
        <v>70</v>
      </c>
      <c r="M102">
        <v>75</v>
      </c>
      <c r="N102">
        <v>67</v>
      </c>
      <c r="O102" t="s">
        <v>28</v>
      </c>
      <c r="P102" t="s">
        <v>23</v>
      </c>
    </row>
    <row r="103" spans="1:16" x14ac:dyDescent="0.3">
      <c r="A103" t="s">
        <v>316</v>
      </c>
      <c r="B103" t="s">
        <v>317</v>
      </c>
      <c r="C103" t="s">
        <v>815</v>
      </c>
      <c r="D103" t="s">
        <v>816</v>
      </c>
      <c r="E103" t="s">
        <v>817</v>
      </c>
      <c r="F103" t="s">
        <v>21</v>
      </c>
      <c r="G103">
        <v>0.9</v>
      </c>
      <c r="H103">
        <v>85</v>
      </c>
      <c r="I103">
        <v>90</v>
      </c>
      <c r="J103">
        <v>75</v>
      </c>
      <c r="K103">
        <v>60</v>
      </c>
      <c r="L103">
        <v>80</v>
      </c>
      <c r="M103">
        <v>80</v>
      </c>
      <c r="N103">
        <v>78</v>
      </c>
      <c r="O103" t="s">
        <v>22</v>
      </c>
      <c r="P103" t="s">
        <v>23</v>
      </c>
    </row>
    <row r="104" spans="1:16" x14ac:dyDescent="0.3">
      <c r="A104" t="s">
        <v>316</v>
      </c>
      <c r="B104" t="s">
        <v>317</v>
      </c>
      <c r="C104" t="s">
        <v>818</v>
      </c>
      <c r="D104" t="s">
        <v>819</v>
      </c>
      <c r="E104" t="s">
        <v>817</v>
      </c>
      <c r="F104" t="s">
        <v>21</v>
      </c>
      <c r="G104">
        <v>0.9</v>
      </c>
      <c r="H104">
        <v>85</v>
      </c>
      <c r="I104">
        <v>90</v>
      </c>
      <c r="J104">
        <v>70</v>
      </c>
      <c r="K104">
        <v>60</v>
      </c>
      <c r="L104">
        <v>95</v>
      </c>
      <c r="M104">
        <v>65</v>
      </c>
      <c r="N104">
        <v>77</v>
      </c>
      <c r="O104" t="s">
        <v>22</v>
      </c>
      <c r="P104" t="s">
        <v>23</v>
      </c>
    </row>
    <row r="105" spans="1:16" x14ac:dyDescent="0.3">
      <c r="A105" t="s">
        <v>316</v>
      </c>
      <c r="B105" t="s">
        <v>317</v>
      </c>
      <c r="C105" t="s">
        <v>820</v>
      </c>
      <c r="D105" t="s">
        <v>821</v>
      </c>
      <c r="E105" t="s">
        <v>540</v>
      </c>
      <c r="F105" t="s">
        <v>21</v>
      </c>
      <c r="G105">
        <v>0.8</v>
      </c>
      <c r="H105">
        <v>75</v>
      </c>
      <c r="I105">
        <v>75</v>
      </c>
      <c r="J105">
        <v>75</v>
      </c>
      <c r="K105">
        <v>95</v>
      </c>
      <c r="L105">
        <v>75</v>
      </c>
      <c r="M105">
        <v>75</v>
      </c>
      <c r="N105">
        <v>78</v>
      </c>
      <c r="O105" t="s">
        <v>22</v>
      </c>
      <c r="P105" t="s">
        <v>23</v>
      </c>
    </row>
    <row r="106" spans="1:16" x14ac:dyDescent="0.3">
      <c r="A106" t="s">
        <v>330</v>
      </c>
      <c r="B106" t="s">
        <v>331</v>
      </c>
      <c r="C106" t="s">
        <v>822</v>
      </c>
      <c r="D106" t="s">
        <v>823</v>
      </c>
      <c r="E106" t="s">
        <v>824</v>
      </c>
      <c r="F106" t="s">
        <v>21</v>
      </c>
      <c r="G106">
        <v>0.9</v>
      </c>
      <c r="H106">
        <v>75</v>
      </c>
      <c r="I106">
        <v>80</v>
      </c>
      <c r="J106">
        <v>60</v>
      </c>
      <c r="K106">
        <v>40</v>
      </c>
      <c r="L106">
        <v>70</v>
      </c>
      <c r="M106">
        <v>90</v>
      </c>
      <c r="N106">
        <v>69</v>
      </c>
      <c r="O106" t="s">
        <v>28</v>
      </c>
      <c r="P106" t="s">
        <v>23</v>
      </c>
    </row>
    <row r="107" spans="1:16" x14ac:dyDescent="0.3">
      <c r="A107" t="s">
        <v>330</v>
      </c>
      <c r="B107" t="s">
        <v>331</v>
      </c>
      <c r="C107" t="s">
        <v>825</v>
      </c>
      <c r="D107" t="s">
        <v>826</v>
      </c>
      <c r="E107" t="s">
        <v>824</v>
      </c>
      <c r="F107" t="s">
        <v>21</v>
      </c>
      <c r="G107">
        <v>0.9</v>
      </c>
      <c r="H107">
        <v>75</v>
      </c>
      <c r="I107">
        <v>75</v>
      </c>
      <c r="J107">
        <v>75</v>
      </c>
      <c r="K107">
        <v>75</v>
      </c>
      <c r="L107">
        <v>75</v>
      </c>
      <c r="M107">
        <v>75</v>
      </c>
      <c r="N107">
        <v>75</v>
      </c>
      <c r="O107" t="s">
        <v>22</v>
      </c>
      <c r="P107" t="s">
        <v>23</v>
      </c>
    </row>
    <row r="108" spans="1:16" x14ac:dyDescent="0.3">
      <c r="A108" t="s">
        <v>330</v>
      </c>
      <c r="B108" t="s">
        <v>331</v>
      </c>
      <c r="C108" t="s">
        <v>827</v>
      </c>
      <c r="D108" t="s">
        <v>828</v>
      </c>
      <c r="E108" t="s">
        <v>824</v>
      </c>
      <c r="F108" t="s">
        <v>21</v>
      </c>
      <c r="G108">
        <v>0.92</v>
      </c>
      <c r="H108">
        <v>75</v>
      </c>
      <c r="I108">
        <v>75</v>
      </c>
      <c r="J108">
        <v>75</v>
      </c>
      <c r="K108">
        <v>75</v>
      </c>
      <c r="L108">
        <v>75</v>
      </c>
      <c r="M108">
        <v>75</v>
      </c>
      <c r="N108">
        <v>75</v>
      </c>
      <c r="O108" t="s">
        <v>22</v>
      </c>
      <c r="P108" t="s">
        <v>23</v>
      </c>
    </row>
    <row r="109" spans="1:16" x14ac:dyDescent="0.3">
      <c r="A109" t="s">
        <v>330</v>
      </c>
      <c r="B109" t="s">
        <v>331</v>
      </c>
      <c r="C109" t="s">
        <v>321</v>
      </c>
      <c r="D109" t="s">
        <v>829</v>
      </c>
      <c r="E109" t="s">
        <v>824</v>
      </c>
      <c r="F109" t="s">
        <v>21</v>
      </c>
      <c r="G109">
        <v>0.88</v>
      </c>
      <c r="H109">
        <v>65</v>
      </c>
      <c r="I109">
        <v>70</v>
      </c>
      <c r="J109">
        <v>85</v>
      </c>
      <c r="K109">
        <v>30</v>
      </c>
      <c r="L109">
        <v>70</v>
      </c>
      <c r="M109">
        <v>40</v>
      </c>
      <c r="N109">
        <v>60</v>
      </c>
      <c r="O109" t="s">
        <v>28</v>
      </c>
      <c r="P109" t="s">
        <v>23</v>
      </c>
    </row>
    <row r="110" spans="1:16" x14ac:dyDescent="0.3">
      <c r="A110" t="s">
        <v>343</v>
      </c>
      <c r="B110" t="s">
        <v>344</v>
      </c>
      <c r="C110" t="s">
        <v>830</v>
      </c>
      <c r="D110" t="s">
        <v>831</v>
      </c>
      <c r="E110" t="s">
        <v>50</v>
      </c>
      <c r="F110" t="s">
        <v>21</v>
      </c>
      <c r="G110">
        <v>0.92</v>
      </c>
      <c r="H110">
        <v>65</v>
      </c>
      <c r="I110">
        <v>72</v>
      </c>
      <c r="J110">
        <v>80</v>
      </c>
      <c r="K110">
        <v>30</v>
      </c>
      <c r="L110">
        <v>45</v>
      </c>
      <c r="M110">
        <v>80</v>
      </c>
      <c r="N110">
        <v>62</v>
      </c>
      <c r="O110" t="s">
        <v>28</v>
      </c>
      <c r="P110" t="s">
        <v>23</v>
      </c>
    </row>
    <row r="111" spans="1:16" x14ac:dyDescent="0.3">
      <c r="A111" t="s">
        <v>343</v>
      </c>
      <c r="B111" t="s">
        <v>344</v>
      </c>
      <c r="C111" t="s">
        <v>832</v>
      </c>
      <c r="D111" t="s">
        <v>833</v>
      </c>
      <c r="E111" t="s">
        <v>834</v>
      </c>
      <c r="F111" t="s">
        <v>21</v>
      </c>
      <c r="G111">
        <v>0.88</v>
      </c>
      <c r="H111">
        <v>75</v>
      </c>
      <c r="I111">
        <v>75</v>
      </c>
      <c r="J111">
        <v>75</v>
      </c>
      <c r="K111">
        <v>75</v>
      </c>
      <c r="L111">
        <v>75</v>
      </c>
      <c r="M111">
        <v>75</v>
      </c>
      <c r="N111">
        <v>75</v>
      </c>
      <c r="O111" t="s">
        <v>22</v>
      </c>
      <c r="P111" t="s">
        <v>23</v>
      </c>
    </row>
    <row r="112" spans="1:16" x14ac:dyDescent="0.3">
      <c r="A112" t="s">
        <v>343</v>
      </c>
      <c r="B112" t="s">
        <v>344</v>
      </c>
      <c r="C112" t="s">
        <v>835</v>
      </c>
      <c r="D112" t="s">
        <v>836</v>
      </c>
      <c r="E112" t="s">
        <v>834</v>
      </c>
      <c r="F112" t="s">
        <v>21</v>
      </c>
      <c r="G112">
        <v>0.92</v>
      </c>
      <c r="H112">
        <v>75</v>
      </c>
      <c r="I112">
        <v>75</v>
      </c>
      <c r="J112">
        <v>75</v>
      </c>
      <c r="K112">
        <v>75</v>
      </c>
      <c r="L112">
        <v>75</v>
      </c>
      <c r="M112">
        <v>75</v>
      </c>
      <c r="N112">
        <v>75</v>
      </c>
      <c r="O112" t="s">
        <v>22</v>
      </c>
      <c r="P112" t="s">
        <v>23</v>
      </c>
    </row>
    <row r="113" spans="1:16" x14ac:dyDescent="0.3">
      <c r="A113" t="s">
        <v>343</v>
      </c>
      <c r="B113" t="s">
        <v>344</v>
      </c>
      <c r="C113" t="s">
        <v>347</v>
      </c>
      <c r="D113" t="s">
        <v>837</v>
      </c>
      <c r="E113" t="s">
        <v>838</v>
      </c>
      <c r="F113" t="s">
        <v>21</v>
      </c>
      <c r="G113">
        <v>0.93</v>
      </c>
      <c r="H113">
        <v>75</v>
      </c>
      <c r="I113">
        <v>85</v>
      </c>
      <c r="J113">
        <v>80</v>
      </c>
      <c r="K113">
        <v>60</v>
      </c>
      <c r="L113">
        <v>90</v>
      </c>
      <c r="M113">
        <v>80</v>
      </c>
      <c r="N113">
        <v>78</v>
      </c>
      <c r="O113" t="s">
        <v>22</v>
      </c>
      <c r="P113" t="s">
        <v>23</v>
      </c>
    </row>
    <row r="114" spans="1:16" x14ac:dyDescent="0.3">
      <c r="A114" t="s">
        <v>354</v>
      </c>
      <c r="B114" t="s">
        <v>355</v>
      </c>
      <c r="C114" t="s">
        <v>839</v>
      </c>
      <c r="D114" t="s">
        <v>840</v>
      </c>
      <c r="E114" t="s">
        <v>841</v>
      </c>
      <c r="F114" t="s">
        <v>21</v>
      </c>
      <c r="G114">
        <v>0.9</v>
      </c>
      <c r="H114">
        <v>85</v>
      </c>
      <c r="I114">
        <v>75</v>
      </c>
      <c r="J114">
        <v>60</v>
      </c>
      <c r="K114">
        <v>40</v>
      </c>
      <c r="L114">
        <v>90</v>
      </c>
      <c r="M114">
        <v>70</v>
      </c>
      <c r="N114">
        <v>70</v>
      </c>
      <c r="O114" t="s">
        <v>28</v>
      </c>
      <c r="P114" t="s">
        <v>23</v>
      </c>
    </row>
    <row r="115" spans="1:16" x14ac:dyDescent="0.3">
      <c r="A115" t="s">
        <v>354</v>
      </c>
      <c r="B115" t="s">
        <v>355</v>
      </c>
      <c r="C115" t="s">
        <v>842</v>
      </c>
      <c r="D115" t="s">
        <v>843</v>
      </c>
      <c r="E115" t="s">
        <v>841</v>
      </c>
      <c r="F115" t="s">
        <v>21</v>
      </c>
      <c r="G115">
        <v>0.9</v>
      </c>
      <c r="H115">
        <v>75</v>
      </c>
      <c r="I115">
        <v>75</v>
      </c>
      <c r="J115">
        <v>75</v>
      </c>
      <c r="K115">
        <v>30</v>
      </c>
      <c r="L115">
        <v>75</v>
      </c>
      <c r="M115">
        <v>75</v>
      </c>
      <c r="N115">
        <v>67</v>
      </c>
      <c r="O115" t="s">
        <v>28</v>
      </c>
      <c r="P115" t="s">
        <v>23</v>
      </c>
    </row>
    <row r="116" spans="1:16" x14ac:dyDescent="0.3">
      <c r="A116" t="s">
        <v>354</v>
      </c>
      <c r="B116" t="s">
        <v>355</v>
      </c>
      <c r="C116" t="s">
        <v>844</v>
      </c>
      <c r="D116" t="s">
        <v>845</v>
      </c>
      <c r="E116" t="s">
        <v>841</v>
      </c>
      <c r="F116" t="s">
        <v>21</v>
      </c>
      <c r="G116">
        <v>0.92</v>
      </c>
      <c r="H116">
        <v>85</v>
      </c>
      <c r="I116">
        <v>90</v>
      </c>
      <c r="J116">
        <v>80</v>
      </c>
      <c r="K116">
        <v>75</v>
      </c>
      <c r="L116">
        <v>80</v>
      </c>
      <c r="M116">
        <v>95</v>
      </c>
      <c r="N116">
        <v>84</v>
      </c>
      <c r="O116" t="s">
        <v>22</v>
      </c>
      <c r="P116" t="s">
        <v>23</v>
      </c>
    </row>
    <row r="117" spans="1:16" x14ac:dyDescent="0.3">
      <c r="A117" t="s">
        <v>354</v>
      </c>
      <c r="B117" t="s">
        <v>355</v>
      </c>
      <c r="C117" t="s">
        <v>846</v>
      </c>
      <c r="D117" t="s">
        <v>847</v>
      </c>
      <c r="E117" t="s">
        <v>841</v>
      </c>
      <c r="F117" t="s">
        <v>21</v>
      </c>
      <c r="G117">
        <v>0.95</v>
      </c>
      <c r="H117">
        <v>85</v>
      </c>
      <c r="I117">
        <v>90</v>
      </c>
      <c r="J117">
        <v>75</v>
      </c>
      <c r="K117">
        <v>80</v>
      </c>
      <c r="L117">
        <v>90</v>
      </c>
      <c r="M117">
        <v>95</v>
      </c>
      <c r="N117">
        <v>85</v>
      </c>
      <c r="O117" t="s">
        <v>22</v>
      </c>
      <c r="P117" t="s">
        <v>23</v>
      </c>
    </row>
    <row r="118" spans="1:16" x14ac:dyDescent="0.3">
      <c r="A118" t="s">
        <v>365</v>
      </c>
      <c r="B118" t="s">
        <v>366</v>
      </c>
      <c r="C118" t="s">
        <v>848</v>
      </c>
      <c r="D118" t="s">
        <v>849</v>
      </c>
      <c r="E118" t="s">
        <v>369</v>
      </c>
      <c r="F118" t="s">
        <v>21</v>
      </c>
      <c r="G118">
        <v>0.86</v>
      </c>
      <c r="H118">
        <v>70</v>
      </c>
      <c r="I118">
        <v>60</v>
      </c>
      <c r="J118">
        <v>75</v>
      </c>
      <c r="K118">
        <v>80</v>
      </c>
      <c r="L118">
        <v>85</v>
      </c>
      <c r="M118">
        <v>90</v>
      </c>
      <c r="N118">
        <v>76</v>
      </c>
      <c r="O118" t="s">
        <v>22</v>
      </c>
      <c r="P118" t="s">
        <v>23</v>
      </c>
    </row>
    <row r="119" spans="1:16" x14ac:dyDescent="0.3">
      <c r="A119" t="s">
        <v>365</v>
      </c>
      <c r="B119" t="s">
        <v>366</v>
      </c>
      <c r="C119" t="s">
        <v>850</v>
      </c>
      <c r="D119" t="s">
        <v>851</v>
      </c>
      <c r="E119" t="s">
        <v>369</v>
      </c>
      <c r="F119" t="s">
        <v>21</v>
      </c>
      <c r="G119">
        <v>0.85</v>
      </c>
      <c r="H119">
        <v>75</v>
      </c>
      <c r="I119">
        <v>75</v>
      </c>
      <c r="J119">
        <v>75</v>
      </c>
      <c r="K119">
        <v>75</v>
      </c>
      <c r="L119">
        <v>75</v>
      </c>
      <c r="M119">
        <v>75</v>
      </c>
      <c r="N119">
        <v>75</v>
      </c>
      <c r="O119" t="s">
        <v>22</v>
      </c>
      <c r="P119" t="s">
        <v>23</v>
      </c>
    </row>
    <row r="120" spans="1:16" x14ac:dyDescent="0.3">
      <c r="A120" t="s">
        <v>365</v>
      </c>
      <c r="B120" t="s">
        <v>366</v>
      </c>
      <c r="C120" t="s">
        <v>852</v>
      </c>
      <c r="D120" t="s">
        <v>853</v>
      </c>
      <c r="E120" t="s">
        <v>369</v>
      </c>
      <c r="F120" t="s">
        <v>21</v>
      </c>
      <c r="G120">
        <v>0.88</v>
      </c>
      <c r="H120">
        <v>30</v>
      </c>
      <c r="I120">
        <v>50</v>
      </c>
      <c r="J120">
        <v>40</v>
      </c>
      <c r="K120">
        <v>20</v>
      </c>
      <c r="L120">
        <v>0</v>
      </c>
      <c r="M120">
        <v>0</v>
      </c>
      <c r="N120">
        <v>0</v>
      </c>
      <c r="O120" t="s">
        <v>403</v>
      </c>
      <c r="P120" t="s">
        <v>23</v>
      </c>
    </row>
    <row r="121" spans="1:16" x14ac:dyDescent="0.3">
      <c r="A121" t="s">
        <v>365</v>
      </c>
      <c r="B121" t="s">
        <v>366</v>
      </c>
      <c r="C121" t="s">
        <v>854</v>
      </c>
      <c r="D121" t="s">
        <v>855</v>
      </c>
      <c r="E121" t="s">
        <v>369</v>
      </c>
      <c r="F121" t="s">
        <v>21</v>
      </c>
      <c r="G121">
        <v>0.88</v>
      </c>
      <c r="H121">
        <v>75</v>
      </c>
      <c r="I121">
        <v>85</v>
      </c>
      <c r="J121">
        <v>70</v>
      </c>
      <c r="K121">
        <v>60</v>
      </c>
      <c r="L121">
        <v>90</v>
      </c>
      <c r="M121">
        <v>80</v>
      </c>
      <c r="N121">
        <v>76</v>
      </c>
      <c r="O121" t="s">
        <v>22</v>
      </c>
      <c r="P121" t="s">
        <v>23</v>
      </c>
    </row>
    <row r="122" spans="1:16" x14ac:dyDescent="0.3">
      <c r="A122" t="s">
        <v>376</v>
      </c>
      <c r="B122" t="s">
        <v>377</v>
      </c>
      <c r="C122" t="s">
        <v>856</v>
      </c>
      <c r="D122" t="s">
        <v>857</v>
      </c>
      <c r="E122" t="s">
        <v>858</v>
      </c>
      <c r="F122" t="s">
        <v>21</v>
      </c>
      <c r="G122">
        <v>0.9</v>
      </c>
      <c r="H122">
        <v>85</v>
      </c>
      <c r="I122">
        <v>90</v>
      </c>
      <c r="J122">
        <v>75</v>
      </c>
      <c r="K122">
        <v>60</v>
      </c>
      <c r="L122">
        <v>90</v>
      </c>
      <c r="M122">
        <v>80</v>
      </c>
      <c r="N122">
        <v>80</v>
      </c>
      <c r="O122" t="s">
        <v>22</v>
      </c>
      <c r="P122" t="s">
        <v>23</v>
      </c>
    </row>
    <row r="123" spans="1:16" x14ac:dyDescent="0.3">
      <c r="A123" t="s">
        <v>376</v>
      </c>
      <c r="B123" t="s">
        <v>377</v>
      </c>
      <c r="C123" t="s">
        <v>859</v>
      </c>
      <c r="D123" t="s">
        <v>860</v>
      </c>
      <c r="E123" t="s">
        <v>858</v>
      </c>
      <c r="F123" t="s">
        <v>21</v>
      </c>
      <c r="G123">
        <v>0.82</v>
      </c>
      <c r="H123">
        <v>85</v>
      </c>
      <c r="I123">
        <v>90</v>
      </c>
      <c r="J123">
        <v>75</v>
      </c>
      <c r="K123">
        <v>60</v>
      </c>
      <c r="L123">
        <v>80</v>
      </c>
      <c r="M123">
        <v>95</v>
      </c>
      <c r="N123">
        <v>80</v>
      </c>
      <c r="O123" t="s">
        <v>22</v>
      </c>
      <c r="P123" t="s">
        <v>23</v>
      </c>
    </row>
    <row r="124" spans="1:16" x14ac:dyDescent="0.3">
      <c r="A124" t="s">
        <v>376</v>
      </c>
      <c r="B124" t="s">
        <v>377</v>
      </c>
      <c r="C124" t="s">
        <v>861</v>
      </c>
      <c r="D124" t="s">
        <v>862</v>
      </c>
      <c r="E124" t="s">
        <v>863</v>
      </c>
      <c r="F124" t="s">
        <v>21</v>
      </c>
      <c r="G124">
        <v>0.85</v>
      </c>
      <c r="H124">
        <v>95</v>
      </c>
      <c r="I124">
        <v>90</v>
      </c>
      <c r="J124">
        <v>85</v>
      </c>
      <c r="K124">
        <v>90</v>
      </c>
      <c r="L124">
        <v>80</v>
      </c>
      <c r="M124">
        <v>95</v>
      </c>
      <c r="N124">
        <v>89</v>
      </c>
      <c r="O124" t="s">
        <v>22</v>
      </c>
      <c r="P124" t="s">
        <v>23</v>
      </c>
    </row>
    <row r="125" spans="1:16" x14ac:dyDescent="0.3">
      <c r="A125" t="s">
        <v>376</v>
      </c>
      <c r="B125" t="s">
        <v>377</v>
      </c>
      <c r="C125" t="s">
        <v>864</v>
      </c>
      <c r="D125" t="s">
        <v>865</v>
      </c>
      <c r="E125" t="s">
        <v>866</v>
      </c>
      <c r="F125" t="s">
        <v>21</v>
      </c>
      <c r="G125">
        <v>0.92</v>
      </c>
      <c r="H125">
        <v>85</v>
      </c>
      <c r="I125">
        <v>90</v>
      </c>
      <c r="J125">
        <v>70</v>
      </c>
      <c r="K125">
        <v>65</v>
      </c>
      <c r="L125">
        <v>95</v>
      </c>
      <c r="M125">
        <v>90</v>
      </c>
      <c r="N125">
        <v>82</v>
      </c>
      <c r="O125" t="s">
        <v>22</v>
      </c>
      <c r="P125" t="s">
        <v>23</v>
      </c>
    </row>
    <row r="126" spans="1:16" x14ac:dyDescent="0.3">
      <c r="A126" t="s">
        <v>388</v>
      </c>
      <c r="B126" t="s">
        <v>389</v>
      </c>
      <c r="C126" t="s">
        <v>390</v>
      </c>
      <c r="D126" t="s">
        <v>867</v>
      </c>
      <c r="E126" t="s">
        <v>392</v>
      </c>
      <c r="F126" t="s">
        <v>21</v>
      </c>
      <c r="G126">
        <v>0.85</v>
      </c>
      <c r="H126">
        <v>60</v>
      </c>
      <c r="I126">
        <v>70</v>
      </c>
      <c r="J126">
        <v>80</v>
      </c>
      <c r="K126">
        <v>40</v>
      </c>
      <c r="L126">
        <v>50</v>
      </c>
      <c r="M126">
        <v>65</v>
      </c>
      <c r="N126">
        <v>60</v>
      </c>
      <c r="O126" t="s">
        <v>28</v>
      </c>
      <c r="P126" t="s">
        <v>23</v>
      </c>
    </row>
    <row r="127" spans="1:16" x14ac:dyDescent="0.3">
      <c r="A127" t="s">
        <v>388</v>
      </c>
      <c r="B127" t="s">
        <v>389</v>
      </c>
      <c r="C127" t="s">
        <v>868</v>
      </c>
      <c r="D127" t="s">
        <v>869</v>
      </c>
      <c r="E127" t="s">
        <v>392</v>
      </c>
      <c r="F127" t="s">
        <v>21</v>
      </c>
      <c r="G127">
        <v>0.87</v>
      </c>
      <c r="H127">
        <v>60</v>
      </c>
      <c r="I127">
        <v>70</v>
      </c>
      <c r="J127">
        <v>80</v>
      </c>
      <c r="K127">
        <v>85</v>
      </c>
      <c r="L127">
        <v>65</v>
      </c>
      <c r="M127">
        <v>75</v>
      </c>
      <c r="N127">
        <v>72</v>
      </c>
      <c r="O127" t="s">
        <v>28</v>
      </c>
      <c r="P127" t="s">
        <v>23</v>
      </c>
    </row>
    <row r="128" spans="1:16" x14ac:dyDescent="0.3">
      <c r="A128" t="s">
        <v>388</v>
      </c>
      <c r="B128" t="s">
        <v>389</v>
      </c>
      <c r="C128" t="s">
        <v>870</v>
      </c>
      <c r="D128" t="s">
        <v>871</v>
      </c>
      <c r="E128" t="s">
        <v>392</v>
      </c>
      <c r="F128" t="s">
        <v>51</v>
      </c>
      <c r="G128">
        <v>0.95</v>
      </c>
      <c r="H128">
        <v>75</v>
      </c>
      <c r="I128">
        <v>75</v>
      </c>
      <c r="J128">
        <v>75</v>
      </c>
      <c r="K128">
        <v>75</v>
      </c>
      <c r="L128">
        <v>75</v>
      </c>
      <c r="M128">
        <v>75</v>
      </c>
      <c r="N128">
        <v>75</v>
      </c>
      <c r="O128" t="s">
        <v>22</v>
      </c>
      <c r="P128" t="s">
        <v>23</v>
      </c>
    </row>
    <row r="129" spans="1:16" x14ac:dyDescent="0.3">
      <c r="A129" t="s">
        <v>388</v>
      </c>
      <c r="B129" t="s">
        <v>389</v>
      </c>
      <c r="C129" t="s">
        <v>872</v>
      </c>
      <c r="D129" t="s">
        <v>873</v>
      </c>
      <c r="E129" t="s">
        <v>392</v>
      </c>
      <c r="F129" t="s">
        <v>51</v>
      </c>
      <c r="G129">
        <v>0.86</v>
      </c>
      <c r="H129">
        <v>85</v>
      </c>
      <c r="I129">
        <v>90</v>
      </c>
      <c r="J129">
        <v>75</v>
      </c>
      <c r="K129">
        <v>60</v>
      </c>
      <c r="L129">
        <v>90</v>
      </c>
      <c r="M129">
        <v>80</v>
      </c>
      <c r="N129">
        <v>80</v>
      </c>
      <c r="O129" t="s">
        <v>22</v>
      </c>
      <c r="P129" t="s">
        <v>23</v>
      </c>
    </row>
    <row r="130" spans="1:16" x14ac:dyDescent="0.3">
      <c r="A130" t="s">
        <v>399</v>
      </c>
      <c r="B130" t="s">
        <v>400</v>
      </c>
      <c r="C130" t="s">
        <v>401</v>
      </c>
      <c r="D130" t="s">
        <v>874</v>
      </c>
      <c r="E130" t="s">
        <v>387</v>
      </c>
      <c r="F130" t="s">
        <v>51</v>
      </c>
      <c r="G130">
        <v>0.95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 t="s">
        <v>403</v>
      </c>
      <c r="P130" t="s">
        <v>23</v>
      </c>
    </row>
    <row r="131" spans="1:16" x14ac:dyDescent="0.3">
      <c r="A131" t="s">
        <v>399</v>
      </c>
      <c r="B131" t="s">
        <v>400</v>
      </c>
      <c r="C131" t="s">
        <v>404</v>
      </c>
      <c r="D131" t="s">
        <v>875</v>
      </c>
      <c r="E131" t="s">
        <v>387</v>
      </c>
      <c r="F131" t="s">
        <v>51</v>
      </c>
      <c r="G131">
        <v>0.95</v>
      </c>
      <c r="H131">
        <v>70</v>
      </c>
      <c r="I131">
        <v>60</v>
      </c>
      <c r="J131">
        <v>65</v>
      </c>
      <c r="K131">
        <v>30</v>
      </c>
      <c r="L131">
        <v>25</v>
      </c>
      <c r="M131">
        <v>50</v>
      </c>
      <c r="N131">
        <v>50</v>
      </c>
      <c r="O131" t="s">
        <v>71</v>
      </c>
      <c r="P131" t="s">
        <v>23</v>
      </c>
    </row>
    <row r="132" spans="1:16" x14ac:dyDescent="0.3">
      <c r="A132" t="s">
        <v>399</v>
      </c>
      <c r="B132" t="s">
        <v>400</v>
      </c>
      <c r="C132" t="s">
        <v>408</v>
      </c>
      <c r="D132" t="s">
        <v>876</v>
      </c>
      <c r="E132" t="s">
        <v>392</v>
      </c>
      <c r="F132" t="s">
        <v>51</v>
      </c>
      <c r="G132">
        <v>0.88</v>
      </c>
      <c r="H132">
        <v>20</v>
      </c>
      <c r="I132">
        <v>30</v>
      </c>
      <c r="J132">
        <v>40</v>
      </c>
      <c r="K132">
        <v>10</v>
      </c>
      <c r="L132">
        <v>50</v>
      </c>
      <c r="M132">
        <v>80</v>
      </c>
      <c r="N132">
        <v>38</v>
      </c>
      <c r="O132" t="s">
        <v>99</v>
      </c>
      <c r="P132" t="s">
        <v>23</v>
      </c>
    </row>
    <row r="133" spans="1:16" x14ac:dyDescent="0.3">
      <c r="A133" t="s">
        <v>399</v>
      </c>
      <c r="B133" t="s">
        <v>400</v>
      </c>
      <c r="C133" t="s">
        <v>406</v>
      </c>
      <c r="D133" t="s">
        <v>877</v>
      </c>
      <c r="E133" t="s">
        <v>392</v>
      </c>
      <c r="F133" t="s">
        <v>51</v>
      </c>
      <c r="G133">
        <v>0.95</v>
      </c>
      <c r="H133">
        <v>0</v>
      </c>
      <c r="I133">
        <v>0</v>
      </c>
      <c r="J133">
        <v>20</v>
      </c>
      <c r="K133">
        <v>0</v>
      </c>
      <c r="L133">
        <v>0</v>
      </c>
      <c r="M133">
        <v>0</v>
      </c>
      <c r="N133">
        <v>0</v>
      </c>
      <c r="O133" t="s">
        <v>403</v>
      </c>
      <c r="P133" t="s">
        <v>23</v>
      </c>
    </row>
    <row r="134" spans="1:16" x14ac:dyDescent="0.3">
      <c r="A134" t="s">
        <v>410</v>
      </c>
      <c r="B134" t="s">
        <v>411</v>
      </c>
      <c r="C134" t="s">
        <v>401</v>
      </c>
      <c r="D134" t="s">
        <v>878</v>
      </c>
      <c r="E134" t="s">
        <v>387</v>
      </c>
      <c r="F134" t="s">
        <v>51</v>
      </c>
      <c r="G134">
        <v>0.92</v>
      </c>
      <c r="H134">
        <v>20</v>
      </c>
      <c r="I134">
        <v>35</v>
      </c>
      <c r="J134">
        <v>50</v>
      </c>
      <c r="K134">
        <v>20</v>
      </c>
      <c r="L134">
        <v>30</v>
      </c>
      <c r="M134">
        <v>25</v>
      </c>
      <c r="N134">
        <v>30</v>
      </c>
      <c r="O134" t="s">
        <v>99</v>
      </c>
      <c r="P134" t="s">
        <v>23</v>
      </c>
    </row>
    <row r="135" spans="1:16" x14ac:dyDescent="0.3">
      <c r="A135" t="s">
        <v>410</v>
      </c>
      <c r="B135" t="s">
        <v>411</v>
      </c>
      <c r="C135" t="s">
        <v>879</v>
      </c>
      <c r="D135" t="s">
        <v>880</v>
      </c>
      <c r="E135" t="s">
        <v>387</v>
      </c>
      <c r="F135" t="s">
        <v>51</v>
      </c>
      <c r="G135">
        <v>0.9</v>
      </c>
      <c r="H135">
        <v>35</v>
      </c>
      <c r="I135">
        <v>40</v>
      </c>
      <c r="J135">
        <v>60</v>
      </c>
      <c r="K135">
        <v>20</v>
      </c>
      <c r="L135">
        <v>45</v>
      </c>
      <c r="M135">
        <v>10</v>
      </c>
      <c r="N135">
        <v>35</v>
      </c>
      <c r="O135" t="s">
        <v>99</v>
      </c>
      <c r="P135" t="s">
        <v>23</v>
      </c>
    </row>
    <row r="136" spans="1:16" x14ac:dyDescent="0.3">
      <c r="A136" t="s">
        <v>410</v>
      </c>
      <c r="B136" t="s">
        <v>411</v>
      </c>
      <c r="C136" t="s">
        <v>881</v>
      </c>
      <c r="D136" t="s">
        <v>882</v>
      </c>
      <c r="E136" t="s">
        <v>392</v>
      </c>
      <c r="F136" t="s">
        <v>51</v>
      </c>
      <c r="G136">
        <v>0.9</v>
      </c>
      <c r="H136">
        <v>95</v>
      </c>
      <c r="I136">
        <v>80</v>
      </c>
      <c r="J136">
        <v>70</v>
      </c>
      <c r="K136">
        <v>60</v>
      </c>
      <c r="L136">
        <v>75</v>
      </c>
      <c r="M136">
        <v>80</v>
      </c>
      <c r="N136">
        <v>76</v>
      </c>
      <c r="O136" t="s">
        <v>22</v>
      </c>
      <c r="P136" t="s">
        <v>23</v>
      </c>
    </row>
    <row r="137" spans="1:16" x14ac:dyDescent="0.3">
      <c r="A137" t="s">
        <v>410</v>
      </c>
      <c r="B137" t="s">
        <v>411</v>
      </c>
      <c r="C137" t="s">
        <v>883</v>
      </c>
      <c r="D137" t="s">
        <v>884</v>
      </c>
      <c r="E137" t="s">
        <v>392</v>
      </c>
      <c r="F137" t="s">
        <v>51</v>
      </c>
      <c r="G137">
        <v>0.9</v>
      </c>
      <c r="H137">
        <v>75</v>
      </c>
      <c r="I137">
        <v>80</v>
      </c>
      <c r="J137">
        <v>70</v>
      </c>
      <c r="K137">
        <v>60</v>
      </c>
      <c r="L137">
        <v>85</v>
      </c>
      <c r="M137">
        <v>90</v>
      </c>
      <c r="N137">
        <v>76</v>
      </c>
      <c r="O137" t="s">
        <v>22</v>
      </c>
      <c r="P137" t="s">
        <v>23</v>
      </c>
    </row>
    <row r="138" spans="1:16" x14ac:dyDescent="0.3">
      <c r="A138" t="s">
        <v>418</v>
      </c>
      <c r="B138" t="s">
        <v>419</v>
      </c>
      <c r="C138" t="s">
        <v>408</v>
      </c>
      <c r="D138" t="s">
        <v>885</v>
      </c>
      <c r="E138" t="s">
        <v>392</v>
      </c>
      <c r="F138" t="s">
        <v>51</v>
      </c>
      <c r="G138">
        <v>0.9</v>
      </c>
      <c r="H138">
        <v>30</v>
      </c>
      <c r="I138">
        <v>45</v>
      </c>
      <c r="J138">
        <v>50</v>
      </c>
      <c r="K138">
        <v>20</v>
      </c>
      <c r="L138">
        <v>60</v>
      </c>
      <c r="M138">
        <v>15</v>
      </c>
      <c r="N138">
        <v>36</v>
      </c>
      <c r="O138" t="s">
        <v>99</v>
      </c>
      <c r="P138" t="s">
        <v>23</v>
      </c>
    </row>
    <row r="139" spans="1:16" x14ac:dyDescent="0.3">
      <c r="A139" t="s">
        <v>418</v>
      </c>
      <c r="B139" t="s">
        <v>419</v>
      </c>
      <c r="C139" t="s">
        <v>404</v>
      </c>
      <c r="D139" t="s">
        <v>886</v>
      </c>
      <c r="E139" t="s">
        <v>387</v>
      </c>
      <c r="F139" t="s">
        <v>51</v>
      </c>
      <c r="G139">
        <v>0.93</v>
      </c>
      <c r="H139">
        <v>75</v>
      </c>
      <c r="I139">
        <v>75</v>
      </c>
      <c r="J139">
        <v>75</v>
      </c>
      <c r="K139">
        <v>20</v>
      </c>
      <c r="L139">
        <v>75</v>
      </c>
      <c r="M139">
        <v>75</v>
      </c>
      <c r="N139">
        <v>65</v>
      </c>
      <c r="O139" t="s">
        <v>28</v>
      </c>
      <c r="P139" t="s">
        <v>23</v>
      </c>
    </row>
    <row r="140" spans="1:16" x14ac:dyDescent="0.3">
      <c r="A140" t="s">
        <v>418</v>
      </c>
      <c r="B140" t="s">
        <v>419</v>
      </c>
      <c r="C140" t="s">
        <v>401</v>
      </c>
      <c r="D140" t="s">
        <v>887</v>
      </c>
      <c r="E140" t="s">
        <v>387</v>
      </c>
      <c r="F140" t="s">
        <v>51</v>
      </c>
      <c r="G140">
        <v>0.92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100</v>
      </c>
      <c r="N140">
        <v>0</v>
      </c>
      <c r="O140" t="s">
        <v>403</v>
      </c>
      <c r="P140" t="s">
        <v>23</v>
      </c>
    </row>
    <row r="141" spans="1:16" x14ac:dyDescent="0.3">
      <c r="A141" t="s">
        <v>418</v>
      </c>
      <c r="B141" t="s">
        <v>419</v>
      </c>
      <c r="C141" t="s">
        <v>406</v>
      </c>
      <c r="D141" t="s">
        <v>888</v>
      </c>
      <c r="E141" t="s">
        <v>392</v>
      </c>
      <c r="F141" t="s">
        <v>51</v>
      </c>
      <c r="G141">
        <v>0.92</v>
      </c>
      <c r="H141">
        <v>20</v>
      </c>
      <c r="I141">
        <v>30</v>
      </c>
      <c r="J141">
        <v>40</v>
      </c>
      <c r="K141">
        <v>5</v>
      </c>
      <c r="L141">
        <v>10</v>
      </c>
      <c r="M141">
        <v>95</v>
      </c>
      <c r="N141">
        <v>33</v>
      </c>
      <c r="O141" t="s">
        <v>99</v>
      </c>
      <c r="P141" t="s">
        <v>23</v>
      </c>
    </row>
    <row r="142" spans="1:16" x14ac:dyDescent="0.3">
      <c r="A142" t="s">
        <v>424</v>
      </c>
      <c r="B142" t="s">
        <v>425</v>
      </c>
      <c r="C142" t="s">
        <v>404</v>
      </c>
      <c r="D142" t="s">
        <v>889</v>
      </c>
      <c r="E142" t="s">
        <v>387</v>
      </c>
      <c r="F142" t="s">
        <v>51</v>
      </c>
      <c r="G142">
        <v>0.9</v>
      </c>
      <c r="H142">
        <v>20</v>
      </c>
      <c r="I142">
        <v>35</v>
      </c>
      <c r="J142">
        <v>40</v>
      </c>
      <c r="K142">
        <v>15</v>
      </c>
      <c r="L142">
        <v>70</v>
      </c>
      <c r="M142">
        <v>5</v>
      </c>
      <c r="N142">
        <v>30</v>
      </c>
      <c r="O142" t="s">
        <v>99</v>
      </c>
      <c r="P142" t="s">
        <v>23</v>
      </c>
    </row>
    <row r="143" spans="1:16" x14ac:dyDescent="0.3">
      <c r="A143" t="s">
        <v>424</v>
      </c>
      <c r="B143" t="s">
        <v>425</v>
      </c>
      <c r="C143" t="s">
        <v>890</v>
      </c>
      <c r="D143" t="s">
        <v>891</v>
      </c>
      <c r="E143" t="s">
        <v>387</v>
      </c>
      <c r="F143" t="s">
        <v>51</v>
      </c>
      <c r="G143">
        <v>0.95</v>
      </c>
      <c r="H143">
        <v>35</v>
      </c>
      <c r="I143">
        <v>40</v>
      </c>
      <c r="J143">
        <v>60</v>
      </c>
      <c r="K143">
        <v>20</v>
      </c>
      <c r="L143">
        <v>50</v>
      </c>
      <c r="M143">
        <v>15</v>
      </c>
      <c r="N143">
        <v>36</v>
      </c>
      <c r="O143" t="s">
        <v>99</v>
      </c>
      <c r="P143" t="s">
        <v>23</v>
      </c>
    </row>
    <row r="144" spans="1:16" x14ac:dyDescent="0.3">
      <c r="A144" t="s">
        <v>424</v>
      </c>
      <c r="B144" t="s">
        <v>425</v>
      </c>
      <c r="C144" t="s">
        <v>892</v>
      </c>
      <c r="D144" t="s">
        <v>893</v>
      </c>
      <c r="E144" t="s">
        <v>387</v>
      </c>
      <c r="F144" t="s">
        <v>21</v>
      </c>
      <c r="G144">
        <v>0.75</v>
      </c>
      <c r="H144">
        <v>85</v>
      </c>
      <c r="I144">
        <v>90</v>
      </c>
      <c r="J144">
        <v>75</v>
      </c>
      <c r="K144">
        <v>60</v>
      </c>
      <c r="L144">
        <v>70</v>
      </c>
      <c r="M144">
        <v>60</v>
      </c>
      <c r="N144">
        <v>73</v>
      </c>
      <c r="O144" t="s">
        <v>28</v>
      </c>
      <c r="P144" t="s">
        <v>23</v>
      </c>
    </row>
    <row r="145" spans="1:16" x14ac:dyDescent="0.3">
      <c r="A145" t="s">
        <v>424</v>
      </c>
      <c r="B145" t="s">
        <v>425</v>
      </c>
      <c r="C145" t="s">
        <v>408</v>
      </c>
      <c r="D145" t="s">
        <v>894</v>
      </c>
      <c r="E145" t="s">
        <v>392</v>
      </c>
      <c r="F145" t="s">
        <v>51</v>
      </c>
      <c r="G145">
        <v>0.92</v>
      </c>
      <c r="H145">
        <v>30</v>
      </c>
      <c r="I145">
        <v>40</v>
      </c>
      <c r="J145">
        <v>60</v>
      </c>
      <c r="K145">
        <v>20</v>
      </c>
      <c r="L145">
        <v>50</v>
      </c>
      <c r="M145">
        <v>10</v>
      </c>
      <c r="N145">
        <v>35</v>
      </c>
      <c r="O145" t="s">
        <v>99</v>
      </c>
      <c r="P145" t="s">
        <v>23</v>
      </c>
    </row>
    <row r="146" spans="1:16" x14ac:dyDescent="0.3">
      <c r="A146" t="s">
        <v>432</v>
      </c>
      <c r="B146" t="s">
        <v>433</v>
      </c>
      <c r="C146" t="s">
        <v>408</v>
      </c>
      <c r="D146" t="s">
        <v>895</v>
      </c>
      <c r="E146" t="s">
        <v>392</v>
      </c>
      <c r="F146" t="s">
        <v>51</v>
      </c>
      <c r="G146">
        <v>0.88</v>
      </c>
      <c r="H146">
        <v>75</v>
      </c>
      <c r="I146">
        <v>75</v>
      </c>
      <c r="J146">
        <v>75</v>
      </c>
      <c r="K146">
        <v>75</v>
      </c>
      <c r="L146">
        <v>75</v>
      </c>
      <c r="M146">
        <v>75</v>
      </c>
      <c r="N146">
        <v>75</v>
      </c>
      <c r="O146" t="s">
        <v>22</v>
      </c>
      <c r="P146" t="s">
        <v>23</v>
      </c>
    </row>
    <row r="147" spans="1:16" x14ac:dyDescent="0.3">
      <c r="A147" t="s">
        <v>432</v>
      </c>
      <c r="B147" t="s">
        <v>433</v>
      </c>
      <c r="C147" t="s">
        <v>896</v>
      </c>
      <c r="D147" t="s">
        <v>897</v>
      </c>
      <c r="E147" t="s">
        <v>392</v>
      </c>
      <c r="F147" t="s">
        <v>51</v>
      </c>
      <c r="G147">
        <v>0.85</v>
      </c>
      <c r="H147">
        <v>75</v>
      </c>
      <c r="I147">
        <v>85</v>
      </c>
      <c r="J147">
        <v>80</v>
      </c>
      <c r="K147">
        <v>60</v>
      </c>
      <c r="L147">
        <v>70</v>
      </c>
      <c r="M147">
        <v>90</v>
      </c>
      <c r="N147">
        <v>76</v>
      </c>
      <c r="O147" t="s">
        <v>22</v>
      </c>
      <c r="P147" t="s">
        <v>23</v>
      </c>
    </row>
    <row r="148" spans="1:16" x14ac:dyDescent="0.3">
      <c r="A148" t="s">
        <v>432</v>
      </c>
      <c r="B148" t="s">
        <v>433</v>
      </c>
      <c r="C148" t="s">
        <v>404</v>
      </c>
      <c r="D148" t="s">
        <v>898</v>
      </c>
      <c r="E148" t="s">
        <v>387</v>
      </c>
      <c r="F148" t="s">
        <v>51</v>
      </c>
      <c r="G148">
        <v>0.95</v>
      </c>
      <c r="H148">
        <v>70</v>
      </c>
      <c r="I148">
        <v>85</v>
      </c>
      <c r="J148">
        <v>70</v>
      </c>
      <c r="K148">
        <v>35</v>
      </c>
      <c r="L148">
        <v>40</v>
      </c>
      <c r="M148">
        <v>50</v>
      </c>
      <c r="N148">
        <v>58</v>
      </c>
      <c r="O148" t="s">
        <v>71</v>
      </c>
      <c r="P148" t="s">
        <v>23</v>
      </c>
    </row>
    <row r="149" spans="1:16" x14ac:dyDescent="0.3">
      <c r="A149" t="s">
        <v>432</v>
      </c>
      <c r="B149" t="s">
        <v>433</v>
      </c>
      <c r="C149" t="s">
        <v>899</v>
      </c>
      <c r="D149" t="s">
        <v>900</v>
      </c>
      <c r="E149" t="s">
        <v>387</v>
      </c>
      <c r="F149" t="s">
        <v>51</v>
      </c>
      <c r="G149">
        <v>0.9</v>
      </c>
      <c r="H149">
        <v>85</v>
      </c>
      <c r="I149">
        <v>70</v>
      </c>
      <c r="J149">
        <v>60</v>
      </c>
      <c r="K149">
        <v>90</v>
      </c>
      <c r="L149">
        <v>75</v>
      </c>
      <c r="M149">
        <v>80</v>
      </c>
      <c r="N149">
        <v>76</v>
      </c>
      <c r="O149" t="s">
        <v>22</v>
      </c>
      <c r="P149" t="s">
        <v>23</v>
      </c>
    </row>
    <row r="150" spans="1:16" x14ac:dyDescent="0.3">
      <c r="A150" t="s">
        <v>442</v>
      </c>
      <c r="B150" t="s">
        <v>443</v>
      </c>
      <c r="C150" t="s">
        <v>879</v>
      </c>
      <c r="D150" t="s">
        <v>901</v>
      </c>
      <c r="E150" t="s">
        <v>387</v>
      </c>
      <c r="F150" t="s">
        <v>51</v>
      </c>
      <c r="G150">
        <v>0.9</v>
      </c>
      <c r="H150">
        <v>75</v>
      </c>
      <c r="I150">
        <v>75</v>
      </c>
      <c r="J150">
        <v>75</v>
      </c>
      <c r="K150">
        <v>75</v>
      </c>
      <c r="L150">
        <v>75</v>
      </c>
      <c r="M150">
        <v>75</v>
      </c>
      <c r="N150">
        <v>75</v>
      </c>
      <c r="O150" t="s">
        <v>22</v>
      </c>
      <c r="P150" t="s">
        <v>23</v>
      </c>
    </row>
    <row r="151" spans="1:16" x14ac:dyDescent="0.3">
      <c r="A151" t="s">
        <v>442</v>
      </c>
      <c r="B151" t="s">
        <v>443</v>
      </c>
      <c r="C151" t="s">
        <v>446</v>
      </c>
      <c r="D151" t="s">
        <v>902</v>
      </c>
      <c r="E151" t="s">
        <v>387</v>
      </c>
      <c r="F151" t="s">
        <v>51</v>
      </c>
      <c r="G151">
        <v>0.9</v>
      </c>
      <c r="H151">
        <v>0</v>
      </c>
      <c r="I151">
        <v>0</v>
      </c>
      <c r="J151">
        <v>20</v>
      </c>
      <c r="K151">
        <v>0</v>
      </c>
      <c r="L151">
        <v>0</v>
      </c>
      <c r="M151">
        <v>0</v>
      </c>
      <c r="N151">
        <v>0</v>
      </c>
      <c r="O151" t="s">
        <v>403</v>
      </c>
      <c r="P151" t="s">
        <v>23</v>
      </c>
    </row>
    <row r="152" spans="1:16" x14ac:dyDescent="0.3">
      <c r="A152" t="s">
        <v>442</v>
      </c>
      <c r="B152" t="s">
        <v>443</v>
      </c>
      <c r="C152" t="s">
        <v>448</v>
      </c>
      <c r="D152" t="s">
        <v>903</v>
      </c>
      <c r="E152" t="s">
        <v>387</v>
      </c>
      <c r="F152" t="s">
        <v>51</v>
      </c>
      <c r="G152">
        <v>0.9</v>
      </c>
      <c r="H152">
        <v>65</v>
      </c>
      <c r="I152">
        <v>80</v>
      </c>
      <c r="J152">
        <v>70</v>
      </c>
      <c r="K152">
        <v>40</v>
      </c>
      <c r="L152">
        <v>50</v>
      </c>
      <c r="M152">
        <v>60</v>
      </c>
      <c r="N152">
        <v>60</v>
      </c>
      <c r="O152" t="s">
        <v>28</v>
      </c>
      <c r="P152" t="s">
        <v>23</v>
      </c>
    </row>
    <row r="153" spans="1:16" x14ac:dyDescent="0.3">
      <c r="A153" t="s">
        <v>442</v>
      </c>
      <c r="B153" t="s">
        <v>443</v>
      </c>
      <c r="C153" t="s">
        <v>904</v>
      </c>
      <c r="D153" t="s">
        <v>905</v>
      </c>
      <c r="E153" t="s">
        <v>387</v>
      </c>
      <c r="F153" t="s">
        <v>51</v>
      </c>
      <c r="G153">
        <v>0.95</v>
      </c>
      <c r="H153">
        <v>30</v>
      </c>
      <c r="I153">
        <v>45</v>
      </c>
      <c r="J153">
        <v>60</v>
      </c>
      <c r="K153">
        <v>20</v>
      </c>
      <c r="L153">
        <v>50</v>
      </c>
      <c r="M153">
        <v>70</v>
      </c>
      <c r="N153">
        <v>45</v>
      </c>
      <c r="O153" t="s">
        <v>71</v>
      </c>
      <c r="P153" t="s">
        <v>23</v>
      </c>
    </row>
    <row r="154" spans="1:16" x14ac:dyDescent="0.3">
      <c r="A154" t="s">
        <v>452</v>
      </c>
      <c r="B154" t="s">
        <v>453</v>
      </c>
      <c r="C154" t="s">
        <v>483</v>
      </c>
      <c r="D154" t="s">
        <v>906</v>
      </c>
      <c r="E154" t="s">
        <v>907</v>
      </c>
      <c r="F154" t="s">
        <v>51</v>
      </c>
      <c r="G154">
        <v>0.95</v>
      </c>
      <c r="H154">
        <v>75</v>
      </c>
      <c r="I154">
        <v>80</v>
      </c>
      <c r="J154">
        <v>70</v>
      </c>
      <c r="K154">
        <v>60</v>
      </c>
      <c r="L154">
        <v>85</v>
      </c>
      <c r="M154">
        <v>90</v>
      </c>
      <c r="N154">
        <v>76</v>
      </c>
      <c r="O154" t="s">
        <v>22</v>
      </c>
      <c r="P154" t="s">
        <v>23</v>
      </c>
    </row>
    <row r="155" spans="1:16" x14ac:dyDescent="0.3">
      <c r="A155" t="s">
        <v>452</v>
      </c>
      <c r="B155" t="s">
        <v>453</v>
      </c>
      <c r="C155" t="s">
        <v>461</v>
      </c>
      <c r="D155" t="s">
        <v>908</v>
      </c>
      <c r="E155" t="s">
        <v>907</v>
      </c>
      <c r="F155" t="s">
        <v>51</v>
      </c>
      <c r="G155">
        <v>0.95</v>
      </c>
      <c r="H155">
        <v>50</v>
      </c>
      <c r="I155">
        <v>60</v>
      </c>
      <c r="J155">
        <v>70</v>
      </c>
      <c r="K155">
        <v>25</v>
      </c>
      <c r="L155">
        <v>40</v>
      </c>
      <c r="M155">
        <v>35</v>
      </c>
      <c r="N155">
        <v>46</v>
      </c>
      <c r="O155" t="s">
        <v>71</v>
      </c>
      <c r="P155" t="s">
        <v>23</v>
      </c>
    </row>
    <row r="156" spans="1:16" x14ac:dyDescent="0.3">
      <c r="A156" t="s">
        <v>452</v>
      </c>
      <c r="B156" t="s">
        <v>453</v>
      </c>
      <c r="C156" t="s">
        <v>909</v>
      </c>
      <c r="D156" t="s">
        <v>910</v>
      </c>
      <c r="E156" t="s">
        <v>907</v>
      </c>
      <c r="F156" t="s">
        <v>51</v>
      </c>
      <c r="G156">
        <v>0.93</v>
      </c>
      <c r="H156">
        <v>20</v>
      </c>
      <c r="I156">
        <v>30</v>
      </c>
      <c r="J156">
        <v>40</v>
      </c>
      <c r="K156">
        <v>5</v>
      </c>
      <c r="L156">
        <v>10</v>
      </c>
      <c r="M156">
        <v>5</v>
      </c>
      <c r="N156">
        <v>18</v>
      </c>
      <c r="O156" t="s">
        <v>99</v>
      </c>
      <c r="P156" t="s">
        <v>23</v>
      </c>
    </row>
    <row r="157" spans="1:16" x14ac:dyDescent="0.3">
      <c r="A157" t="s">
        <v>452</v>
      </c>
      <c r="B157" t="s">
        <v>453</v>
      </c>
      <c r="C157" t="s">
        <v>457</v>
      </c>
      <c r="D157" t="s">
        <v>911</v>
      </c>
      <c r="E157" t="s">
        <v>907</v>
      </c>
      <c r="F157" t="s">
        <v>51</v>
      </c>
      <c r="G157">
        <v>0.95</v>
      </c>
      <c r="H157">
        <v>75</v>
      </c>
      <c r="I157">
        <v>75</v>
      </c>
      <c r="J157">
        <v>75</v>
      </c>
      <c r="K157">
        <v>75</v>
      </c>
      <c r="L157">
        <v>75</v>
      </c>
      <c r="M157">
        <v>75</v>
      </c>
      <c r="N157">
        <v>75</v>
      </c>
      <c r="O157" t="s">
        <v>22</v>
      </c>
      <c r="P157" t="s">
        <v>23</v>
      </c>
    </row>
    <row r="158" spans="1:16" x14ac:dyDescent="0.3">
      <c r="A158" t="s">
        <v>463</v>
      </c>
      <c r="B158" t="s">
        <v>464</v>
      </c>
      <c r="C158" t="s">
        <v>474</v>
      </c>
      <c r="D158" t="s">
        <v>912</v>
      </c>
      <c r="E158" t="s">
        <v>913</v>
      </c>
      <c r="F158" t="s">
        <v>51</v>
      </c>
      <c r="G158">
        <v>0.95</v>
      </c>
      <c r="H158">
        <v>50</v>
      </c>
      <c r="I158">
        <v>70</v>
      </c>
      <c r="J158">
        <v>60</v>
      </c>
      <c r="K158">
        <v>20</v>
      </c>
      <c r="L158">
        <v>30</v>
      </c>
      <c r="M158">
        <v>80</v>
      </c>
      <c r="N158">
        <v>51</v>
      </c>
      <c r="O158" t="s">
        <v>71</v>
      </c>
      <c r="P158" t="s">
        <v>23</v>
      </c>
    </row>
    <row r="159" spans="1:16" x14ac:dyDescent="0.3">
      <c r="A159" t="s">
        <v>463</v>
      </c>
      <c r="B159" t="s">
        <v>464</v>
      </c>
      <c r="C159" t="s">
        <v>461</v>
      </c>
      <c r="D159" t="s">
        <v>914</v>
      </c>
      <c r="E159" t="s">
        <v>915</v>
      </c>
      <c r="F159" t="s">
        <v>51</v>
      </c>
      <c r="G159">
        <v>0.92</v>
      </c>
      <c r="H159">
        <v>35</v>
      </c>
      <c r="I159">
        <v>45</v>
      </c>
      <c r="J159">
        <v>60</v>
      </c>
      <c r="K159">
        <v>20</v>
      </c>
      <c r="L159">
        <v>70</v>
      </c>
      <c r="M159">
        <v>50</v>
      </c>
      <c r="N159">
        <v>46</v>
      </c>
      <c r="O159" t="s">
        <v>71</v>
      </c>
      <c r="P159" t="s">
        <v>23</v>
      </c>
    </row>
    <row r="160" spans="1:16" x14ac:dyDescent="0.3">
      <c r="A160" t="s">
        <v>463</v>
      </c>
      <c r="B160" t="s">
        <v>464</v>
      </c>
      <c r="C160" t="s">
        <v>457</v>
      </c>
      <c r="D160" t="s">
        <v>916</v>
      </c>
      <c r="E160" t="s">
        <v>917</v>
      </c>
      <c r="F160" t="s">
        <v>51</v>
      </c>
      <c r="G160">
        <v>0.95</v>
      </c>
      <c r="H160">
        <v>60</v>
      </c>
      <c r="I160">
        <v>70</v>
      </c>
      <c r="J160">
        <v>65</v>
      </c>
      <c r="K160">
        <v>50</v>
      </c>
      <c r="L160">
        <v>70</v>
      </c>
      <c r="M160">
        <v>30</v>
      </c>
      <c r="N160">
        <v>57</v>
      </c>
      <c r="O160" t="s">
        <v>71</v>
      </c>
      <c r="P160" t="s">
        <v>23</v>
      </c>
    </row>
    <row r="161" spans="1:16" x14ac:dyDescent="0.3">
      <c r="A161" t="s">
        <v>463</v>
      </c>
      <c r="B161" t="s">
        <v>464</v>
      </c>
      <c r="C161" t="s">
        <v>909</v>
      </c>
      <c r="D161" t="s">
        <v>918</v>
      </c>
      <c r="E161" t="s">
        <v>919</v>
      </c>
      <c r="F161" t="s">
        <v>51</v>
      </c>
      <c r="G161">
        <v>0.95</v>
      </c>
      <c r="H161">
        <v>20</v>
      </c>
      <c r="I161">
        <v>40</v>
      </c>
      <c r="J161">
        <v>30</v>
      </c>
      <c r="K161">
        <v>5</v>
      </c>
      <c r="L161">
        <v>0</v>
      </c>
      <c r="M161">
        <v>90</v>
      </c>
      <c r="N161">
        <v>0</v>
      </c>
      <c r="O161" t="s">
        <v>403</v>
      </c>
      <c r="P161" t="s">
        <v>23</v>
      </c>
    </row>
    <row r="162" spans="1:16" x14ac:dyDescent="0.3">
      <c r="A162" t="s">
        <v>472</v>
      </c>
      <c r="B162" t="s">
        <v>473</v>
      </c>
      <c r="C162" t="s">
        <v>920</v>
      </c>
      <c r="D162" t="s">
        <v>921</v>
      </c>
      <c r="E162" t="s">
        <v>922</v>
      </c>
      <c r="F162" t="s">
        <v>51</v>
      </c>
      <c r="G162">
        <v>0.9</v>
      </c>
      <c r="H162">
        <v>30</v>
      </c>
      <c r="I162">
        <v>40</v>
      </c>
      <c r="J162">
        <v>50</v>
      </c>
      <c r="K162">
        <v>20</v>
      </c>
      <c r="L162">
        <v>60</v>
      </c>
      <c r="M162">
        <v>70</v>
      </c>
      <c r="N162">
        <v>45</v>
      </c>
      <c r="O162" t="s">
        <v>71</v>
      </c>
      <c r="P162" t="s">
        <v>23</v>
      </c>
    </row>
    <row r="163" spans="1:16" x14ac:dyDescent="0.3">
      <c r="A163" t="s">
        <v>472</v>
      </c>
      <c r="B163" t="s">
        <v>473</v>
      </c>
      <c r="C163" t="s">
        <v>923</v>
      </c>
      <c r="D163" t="s">
        <v>924</v>
      </c>
      <c r="E163" t="s">
        <v>925</v>
      </c>
      <c r="F163" t="s">
        <v>51</v>
      </c>
      <c r="G163">
        <v>0.92</v>
      </c>
      <c r="H163">
        <v>20</v>
      </c>
      <c r="I163">
        <v>30</v>
      </c>
      <c r="J163">
        <v>40</v>
      </c>
      <c r="K163">
        <v>50</v>
      </c>
      <c r="L163">
        <v>60</v>
      </c>
      <c r="M163">
        <v>70</v>
      </c>
      <c r="N163">
        <v>45</v>
      </c>
      <c r="O163" t="s">
        <v>71</v>
      </c>
      <c r="P163" t="s">
        <v>23</v>
      </c>
    </row>
    <row r="164" spans="1:16" x14ac:dyDescent="0.3">
      <c r="A164" t="s">
        <v>472</v>
      </c>
      <c r="B164" t="s">
        <v>473</v>
      </c>
      <c r="C164" t="s">
        <v>457</v>
      </c>
      <c r="D164" t="s">
        <v>926</v>
      </c>
      <c r="E164" t="s">
        <v>922</v>
      </c>
      <c r="F164" t="s">
        <v>51</v>
      </c>
      <c r="G164">
        <v>0.94</v>
      </c>
      <c r="H164">
        <v>65</v>
      </c>
      <c r="I164">
        <v>70</v>
      </c>
      <c r="J164">
        <v>80</v>
      </c>
      <c r="K164">
        <v>40</v>
      </c>
      <c r="L164">
        <v>60</v>
      </c>
      <c r="M164">
        <v>75</v>
      </c>
      <c r="N164">
        <v>65</v>
      </c>
      <c r="O164" t="s">
        <v>28</v>
      </c>
      <c r="P164" t="s">
        <v>23</v>
      </c>
    </row>
    <row r="165" spans="1:16" x14ac:dyDescent="0.3">
      <c r="A165" t="s">
        <v>472</v>
      </c>
      <c r="B165" t="s">
        <v>473</v>
      </c>
      <c r="C165" t="s">
        <v>927</v>
      </c>
      <c r="D165" t="s">
        <v>928</v>
      </c>
      <c r="E165" t="s">
        <v>510</v>
      </c>
      <c r="F165" t="s">
        <v>51</v>
      </c>
      <c r="G165">
        <v>0.95</v>
      </c>
      <c r="H165">
        <v>30</v>
      </c>
      <c r="I165">
        <v>45</v>
      </c>
      <c r="J165">
        <v>60</v>
      </c>
      <c r="K165">
        <v>20</v>
      </c>
      <c r="L165">
        <v>50</v>
      </c>
      <c r="M165">
        <v>10</v>
      </c>
      <c r="N165">
        <v>35</v>
      </c>
      <c r="O165" t="s">
        <v>99</v>
      </c>
      <c r="P165" t="s">
        <v>23</v>
      </c>
    </row>
    <row r="166" spans="1:16" x14ac:dyDescent="0.3">
      <c r="A166" t="s">
        <v>481</v>
      </c>
      <c r="B166" t="s">
        <v>482</v>
      </c>
      <c r="C166" t="s">
        <v>474</v>
      </c>
      <c r="D166" t="s">
        <v>929</v>
      </c>
      <c r="E166" t="s">
        <v>50</v>
      </c>
      <c r="F166" t="s">
        <v>51</v>
      </c>
      <c r="G166">
        <v>0.95</v>
      </c>
      <c r="H166">
        <v>65</v>
      </c>
      <c r="I166">
        <v>80</v>
      </c>
      <c r="J166">
        <v>70</v>
      </c>
      <c r="K166">
        <v>20</v>
      </c>
      <c r="L166">
        <v>40</v>
      </c>
      <c r="M166">
        <v>50</v>
      </c>
      <c r="N166">
        <v>54</v>
      </c>
      <c r="O166" t="s">
        <v>71</v>
      </c>
      <c r="P166" t="s">
        <v>23</v>
      </c>
    </row>
    <row r="167" spans="1:16" x14ac:dyDescent="0.3">
      <c r="A167" t="s">
        <v>481</v>
      </c>
      <c r="B167" t="s">
        <v>482</v>
      </c>
      <c r="C167" t="s">
        <v>461</v>
      </c>
      <c r="D167" t="s">
        <v>930</v>
      </c>
      <c r="E167" t="s">
        <v>50</v>
      </c>
      <c r="F167" t="s">
        <v>51</v>
      </c>
      <c r="G167">
        <v>0.95</v>
      </c>
      <c r="H167">
        <v>65</v>
      </c>
      <c r="I167">
        <v>70</v>
      </c>
      <c r="J167">
        <v>80</v>
      </c>
      <c r="K167">
        <v>30</v>
      </c>
      <c r="L167">
        <v>40</v>
      </c>
      <c r="M167">
        <v>50</v>
      </c>
      <c r="N167">
        <v>55</v>
      </c>
      <c r="O167" t="s">
        <v>71</v>
      </c>
      <c r="P167" t="s">
        <v>23</v>
      </c>
    </row>
    <row r="168" spans="1:16" x14ac:dyDescent="0.3">
      <c r="A168" t="s">
        <v>481</v>
      </c>
      <c r="B168" t="s">
        <v>482</v>
      </c>
      <c r="C168" t="s">
        <v>457</v>
      </c>
      <c r="D168" t="s">
        <v>931</v>
      </c>
      <c r="E168" t="s">
        <v>50</v>
      </c>
      <c r="F168" t="s">
        <v>51</v>
      </c>
      <c r="G168">
        <v>0.92</v>
      </c>
      <c r="H168">
        <v>75</v>
      </c>
      <c r="I168">
        <v>80</v>
      </c>
      <c r="J168">
        <v>80</v>
      </c>
      <c r="K168">
        <v>60</v>
      </c>
      <c r="L168">
        <v>70</v>
      </c>
      <c r="M168">
        <v>60</v>
      </c>
      <c r="N168">
        <v>70</v>
      </c>
      <c r="O168" t="s">
        <v>28</v>
      </c>
      <c r="P168" t="s">
        <v>23</v>
      </c>
    </row>
    <row r="169" spans="1:16" x14ac:dyDescent="0.3">
      <c r="A169" t="s">
        <v>481</v>
      </c>
      <c r="B169" t="s">
        <v>482</v>
      </c>
      <c r="C169" t="s">
        <v>932</v>
      </c>
      <c r="D169" t="s">
        <v>933</v>
      </c>
      <c r="E169" t="s">
        <v>50</v>
      </c>
      <c r="F169" t="s">
        <v>51</v>
      </c>
      <c r="G169">
        <v>0.95</v>
      </c>
      <c r="H169">
        <v>60</v>
      </c>
      <c r="I169">
        <v>75</v>
      </c>
      <c r="J169">
        <v>85</v>
      </c>
      <c r="K169">
        <v>20</v>
      </c>
      <c r="L169">
        <v>40</v>
      </c>
      <c r="M169">
        <v>60</v>
      </c>
      <c r="N169">
        <v>56</v>
      </c>
      <c r="O169" t="s">
        <v>71</v>
      </c>
      <c r="P169" t="s">
        <v>23</v>
      </c>
    </row>
    <row r="170" spans="1:16" x14ac:dyDescent="0.3">
      <c r="A170" t="s">
        <v>489</v>
      </c>
      <c r="B170" t="s">
        <v>490</v>
      </c>
      <c r="C170" t="s">
        <v>483</v>
      </c>
      <c r="D170" t="s">
        <v>934</v>
      </c>
      <c r="E170" t="s">
        <v>935</v>
      </c>
      <c r="F170" t="s">
        <v>51</v>
      </c>
      <c r="G170">
        <v>0.95</v>
      </c>
      <c r="H170">
        <v>85</v>
      </c>
      <c r="I170">
        <v>75</v>
      </c>
      <c r="J170">
        <v>65</v>
      </c>
      <c r="K170">
        <v>90</v>
      </c>
      <c r="L170">
        <v>70</v>
      </c>
      <c r="M170">
        <v>80</v>
      </c>
      <c r="N170">
        <v>77</v>
      </c>
      <c r="O170" t="s">
        <v>22</v>
      </c>
      <c r="P170" t="s">
        <v>23</v>
      </c>
    </row>
    <row r="171" spans="1:16" x14ac:dyDescent="0.3">
      <c r="A171" t="s">
        <v>489</v>
      </c>
      <c r="B171" t="s">
        <v>490</v>
      </c>
      <c r="C171" t="s">
        <v>461</v>
      </c>
      <c r="D171" t="s">
        <v>936</v>
      </c>
      <c r="E171" t="s">
        <v>937</v>
      </c>
      <c r="F171" t="s">
        <v>51</v>
      </c>
      <c r="G171">
        <v>0.95</v>
      </c>
      <c r="H171">
        <v>60</v>
      </c>
      <c r="I171">
        <v>75</v>
      </c>
      <c r="J171">
        <v>80</v>
      </c>
      <c r="K171">
        <v>20</v>
      </c>
      <c r="L171">
        <v>30</v>
      </c>
      <c r="M171">
        <v>40</v>
      </c>
      <c r="N171">
        <v>50</v>
      </c>
      <c r="O171" t="s">
        <v>71</v>
      </c>
      <c r="P171" t="s">
        <v>23</v>
      </c>
    </row>
    <row r="172" spans="1:16" x14ac:dyDescent="0.3">
      <c r="A172" t="s">
        <v>489</v>
      </c>
      <c r="B172" t="s">
        <v>490</v>
      </c>
      <c r="C172" t="s">
        <v>457</v>
      </c>
      <c r="D172" t="s">
        <v>938</v>
      </c>
      <c r="E172" t="s">
        <v>939</v>
      </c>
      <c r="F172" t="s">
        <v>51</v>
      </c>
      <c r="G172">
        <v>0.95</v>
      </c>
      <c r="H172">
        <v>20</v>
      </c>
      <c r="I172">
        <v>50</v>
      </c>
      <c r="J172">
        <v>50</v>
      </c>
      <c r="K172">
        <v>30</v>
      </c>
      <c r="L172">
        <v>20</v>
      </c>
      <c r="M172">
        <v>50</v>
      </c>
      <c r="N172">
        <v>36</v>
      </c>
      <c r="O172" t="s">
        <v>99</v>
      </c>
      <c r="P172" t="s">
        <v>23</v>
      </c>
    </row>
    <row r="173" spans="1:16" x14ac:dyDescent="0.3">
      <c r="A173" t="s">
        <v>489</v>
      </c>
      <c r="B173" t="s">
        <v>490</v>
      </c>
      <c r="C173" t="s">
        <v>479</v>
      </c>
      <c r="D173" t="s">
        <v>940</v>
      </c>
      <c r="E173" t="s">
        <v>941</v>
      </c>
      <c r="F173" t="s">
        <v>51</v>
      </c>
      <c r="G173">
        <v>0.88</v>
      </c>
      <c r="H173">
        <v>75</v>
      </c>
      <c r="I173">
        <v>80</v>
      </c>
      <c r="J173">
        <v>70</v>
      </c>
      <c r="K173">
        <v>40</v>
      </c>
      <c r="L173">
        <v>60</v>
      </c>
      <c r="M173">
        <v>65</v>
      </c>
      <c r="N173">
        <v>65</v>
      </c>
      <c r="O173" t="s">
        <v>28</v>
      </c>
      <c r="P173" t="s">
        <v>23</v>
      </c>
    </row>
    <row r="174" spans="1:16" x14ac:dyDescent="0.3">
      <c r="A174" t="s">
        <v>500</v>
      </c>
      <c r="B174" t="s">
        <v>501</v>
      </c>
      <c r="C174" t="s">
        <v>942</v>
      </c>
      <c r="D174" t="s">
        <v>943</v>
      </c>
      <c r="E174" t="s">
        <v>944</v>
      </c>
      <c r="F174" t="s">
        <v>51</v>
      </c>
      <c r="G174">
        <v>0.95</v>
      </c>
      <c r="H174">
        <v>65</v>
      </c>
      <c r="I174">
        <v>70</v>
      </c>
      <c r="J174">
        <v>80</v>
      </c>
      <c r="K174">
        <v>40</v>
      </c>
      <c r="L174">
        <v>50</v>
      </c>
      <c r="M174">
        <v>55</v>
      </c>
      <c r="N174">
        <v>60</v>
      </c>
      <c r="O174" t="s">
        <v>28</v>
      </c>
      <c r="P174" t="s">
        <v>23</v>
      </c>
    </row>
    <row r="175" spans="1:16" x14ac:dyDescent="0.3">
      <c r="A175" t="s">
        <v>500</v>
      </c>
      <c r="B175" t="s">
        <v>501</v>
      </c>
      <c r="C175" t="s">
        <v>457</v>
      </c>
      <c r="D175" t="s">
        <v>945</v>
      </c>
      <c r="E175" t="s">
        <v>517</v>
      </c>
      <c r="F175" t="s">
        <v>51</v>
      </c>
      <c r="G175">
        <v>0.95</v>
      </c>
      <c r="H175">
        <v>85</v>
      </c>
      <c r="I175">
        <v>90</v>
      </c>
      <c r="J175">
        <v>70</v>
      </c>
      <c r="K175">
        <v>60</v>
      </c>
      <c r="L175">
        <v>80</v>
      </c>
      <c r="M175">
        <v>75</v>
      </c>
      <c r="N175">
        <v>76</v>
      </c>
      <c r="O175" t="s">
        <v>22</v>
      </c>
      <c r="P175" t="s">
        <v>23</v>
      </c>
    </row>
    <row r="176" spans="1:16" x14ac:dyDescent="0.3">
      <c r="A176" t="s">
        <v>500</v>
      </c>
      <c r="B176" t="s">
        <v>501</v>
      </c>
      <c r="C176" t="s">
        <v>461</v>
      </c>
      <c r="D176" t="s">
        <v>946</v>
      </c>
      <c r="E176" t="s">
        <v>947</v>
      </c>
      <c r="F176" t="s">
        <v>51</v>
      </c>
      <c r="G176">
        <v>0.95</v>
      </c>
      <c r="H176">
        <v>50</v>
      </c>
      <c r="I176">
        <v>60</v>
      </c>
      <c r="J176">
        <v>70</v>
      </c>
      <c r="K176">
        <v>20</v>
      </c>
      <c r="L176">
        <v>40</v>
      </c>
      <c r="M176">
        <v>30</v>
      </c>
      <c r="N176">
        <v>45</v>
      </c>
      <c r="O176" t="s">
        <v>71</v>
      </c>
      <c r="P176" t="s">
        <v>23</v>
      </c>
    </row>
    <row r="177" spans="1:16" x14ac:dyDescent="0.3">
      <c r="A177" t="s">
        <v>500</v>
      </c>
      <c r="B177" t="s">
        <v>501</v>
      </c>
      <c r="C177" t="s">
        <v>497</v>
      </c>
      <c r="D177" t="s">
        <v>948</v>
      </c>
      <c r="E177" t="s">
        <v>510</v>
      </c>
      <c r="F177" t="s">
        <v>51</v>
      </c>
      <c r="G177">
        <v>0.9</v>
      </c>
      <c r="H177">
        <v>85</v>
      </c>
      <c r="I177">
        <v>75</v>
      </c>
      <c r="J177">
        <v>70</v>
      </c>
      <c r="K177">
        <v>80</v>
      </c>
      <c r="L177">
        <v>80</v>
      </c>
      <c r="M177">
        <v>60</v>
      </c>
      <c r="N177">
        <v>75</v>
      </c>
      <c r="O177" t="s">
        <v>22</v>
      </c>
      <c r="P177" t="s">
        <v>23</v>
      </c>
    </row>
    <row r="178" spans="1:16" x14ac:dyDescent="0.3">
      <c r="A178" t="s">
        <v>511</v>
      </c>
      <c r="B178" t="s">
        <v>512</v>
      </c>
      <c r="C178" t="s">
        <v>949</v>
      </c>
      <c r="D178" t="s">
        <v>950</v>
      </c>
      <c r="E178" t="s">
        <v>951</v>
      </c>
      <c r="F178" t="s">
        <v>51</v>
      </c>
      <c r="G178">
        <v>0.9</v>
      </c>
      <c r="H178">
        <v>35</v>
      </c>
      <c r="I178">
        <v>40</v>
      </c>
      <c r="J178">
        <v>60</v>
      </c>
      <c r="K178">
        <v>20</v>
      </c>
      <c r="L178">
        <v>70</v>
      </c>
      <c r="M178">
        <v>50</v>
      </c>
      <c r="N178">
        <v>45</v>
      </c>
      <c r="O178" t="s">
        <v>71</v>
      </c>
      <c r="P178" t="s">
        <v>23</v>
      </c>
    </row>
    <row r="179" spans="1:16" x14ac:dyDescent="0.3">
      <c r="A179" t="s">
        <v>511</v>
      </c>
      <c r="B179" t="s">
        <v>512</v>
      </c>
      <c r="C179" t="s">
        <v>457</v>
      </c>
      <c r="D179" t="s">
        <v>952</v>
      </c>
      <c r="E179" t="s">
        <v>953</v>
      </c>
      <c r="F179" t="s">
        <v>51</v>
      </c>
      <c r="G179">
        <v>0.92</v>
      </c>
      <c r="H179">
        <v>50</v>
      </c>
      <c r="I179">
        <v>75</v>
      </c>
      <c r="J179">
        <v>80</v>
      </c>
      <c r="K179">
        <v>50</v>
      </c>
      <c r="L179">
        <v>60</v>
      </c>
      <c r="M179">
        <v>80</v>
      </c>
      <c r="N179">
        <v>65</v>
      </c>
      <c r="O179" t="s">
        <v>28</v>
      </c>
      <c r="P179" t="s">
        <v>23</v>
      </c>
    </row>
    <row r="180" spans="1:16" x14ac:dyDescent="0.3">
      <c r="A180" t="s">
        <v>511</v>
      </c>
      <c r="B180" t="s">
        <v>512</v>
      </c>
      <c r="C180" t="s">
        <v>461</v>
      </c>
      <c r="D180" t="s">
        <v>954</v>
      </c>
      <c r="E180" t="s">
        <v>955</v>
      </c>
      <c r="F180" t="s">
        <v>51</v>
      </c>
      <c r="G180">
        <v>0.95</v>
      </c>
      <c r="H180">
        <v>65</v>
      </c>
      <c r="I180">
        <v>70</v>
      </c>
      <c r="J180">
        <v>80</v>
      </c>
      <c r="K180">
        <v>40</v>
      </c>
      <c r="L180">
        <v>75</v>
      </c>
      <c r="M180">
        <v>60</v>
      </c>
      <c r="N180">
        <v>65</v>
      </c>
      <c r="O180" t="s">
        <v>28</v>
      </c>
      <c r="P180" t="s">
        <v>23</v>
      </c>
    </row>
    <row r="181" spans="1:16" x14ac:dyDescent="0.3">
      <c r="A181" t="s">
        <v>511</v>
      </c>
      <c r="B181" t="s">
        <v>512</v>
      </c>
      <c r="C181" t="s">
        <v>927</v>
      </c>
      <c r="D181" t="s">
        <v>956</v>
      </c>
      <c r="E181" t="s">
        <v>957</v>
      </c>
      <c r="F181" t="s">
        <v>51</v>
      </c>
      <c r="G181">
        <v>0.95</v>
      </c>
      <c r="H181">
        <v>35</v>
      </c>
      <c r="I181">
        <v>60</v>
      </c>
      <c r="J181">
        <v>70</v>
      </c>
      <c r="K181">
        <v>20</v>
      </c>
      <c r="L181">
        <v>40</v>
      </c>
      <c r="M181">
        <v>50</v>
      </c>
      <c r="N181">
        <v>45</v>
      </c>
      <c r="O181" t="s">
        <v>71</v>
      </c>
      <c r="P181" t="s">
        <v>23</v>
      </c>
    </row>
    <row r="182" spans="1:16" x14ac:dyDescent="0.3">
      <c r="A182" t="s">
        <v>524</v>
      </c>
      <c r="B182" t="s">
        <v>525</v>
      </c>
      <c r="C182" t="s">
        <v>958</v>
      </c>
      <c r="D182" t="s">
        <v>959</v>
      </c>
      <c r="E182" t="s">
        <v>960</v>
      </c>
      <c r="F182" t="s">
        <v>529</v>
      </c>
      <c r="G182">
        <v>0.86</v>
      </c>
      <c r="H182">
        <v>75</v>
      </c>
      <c r="I182">
        <v>75</v>
      </c>
      <c r="J182">
        <v>75</v>
      </c>
      <c r="K182">
        <v>75</v>
      </c>
      <c r="L182">
        <v>75</v>
      </c>
      <c r="M182">
        <v>75</v>
      </c>
      <c r="N182">
        <v>75</v>
      </c>
      <c r="O182" t="s">
        <v>22</v>
      </c>
      <c r="P182" t="s">
        <v>23</v>
      </c>
    </row>
    <row r="183" spans="1:16" x14ac:dyDescent="0.3">
      <c r="A183" t="s">
        <v>524</v>
      </c>
      <c r="B183" t="s">
        <v>525</v>
      </c>
      <c r="C183" t="s">
        <v>961</v>
      </c>
      <c r="D183" t="s">
        <v>962</v>
      </c>
      <c r="E183" t="s">
        <v>960</v>
      </c>
      <c r="F183" t="s">
        <v>21</v>
      </c>
      <c r="G183">
        <v>0.7</v>
      </c>
      <c r="H183">
        <v>85</v>
      </c>
      <c r="I183">
        <v>90</v>
      </c>
      <c r="J183">
        <v>70</v>
      </c>
      <c r="K183">
        <v>60</v>
      </c>
      <c r="L183">
        <v>80</v>
      </c>
      <c r="M183">
        <v>95</v>
      </c>
      <c r="N183">
        <v>80</v>
      </c>
      <c r="O183" t="s">
        <v>22</v>
      </c>
      <c r="P183" t="s">
        <v>23</v>
      </c>
    </row>
    <row r="184" spans="1:16" x14ac:dyDescent="0.3">
      <c r="A184" t="s">
        <v>524</v>
      </c>
      <c r="B184" t="s">
        <v>525</v>
      </c>
      <c r="C184" t="s">
        <v>963</v>
      </c>
      <c r="D184" t="s">
        <v>964</v>
      </c>
      <c r="E184" t="s">
        <v>960</v>
      </c>
      <c r="F184" t="s">
        <v>21</v>
      </c>
      <c r="G184">
        <v>0.85</v>
      </c>
      <c r="H184">
        <v>85</v>
      </c>
      <c r="I184">
        <v>70</v>
      </c>
      <c r="J184">
        <v>65</v>
      </c>
      <c r="K184">
        <v>30</v>
      </c>
      <c r="L184">
        <v>70</v>
      </c>
      <c r="M184">
        <v>60</v>
      </c>
      <c r="N184">
        <v>63</v>
      </c>
      <c r="O184" t="s">
        <v>28</v>
      </c>
      <c r="P184" t="s">
        <v>23</v>
      </c>
    </row>
    <row r="185" spans="1:16" x14ac:dyDescent="0.3">
      <c r="A185" t="s">
        <v>524</v>
      </c>
      <c r="B185" t="s">
        <v>525</v>
      </c>
      <c r="C185" t="s">
        <v>965</v>
      </c>
      <c r="D185" t="s">
        <v>966</v>
      </c>
      <c r="E185" t="s">
        <v>960</v>
      </c>
      <c r="F185" t="s">
        <v>21</v>
      </c>
      <c r="G185">
        <v>0.88</v>
      </c>
      <c r="H185">
        <v>85</v>
      </c>
      <c r="I185">
        <v>90</v>
      </c>
      <c r="J185">
        <v>75</v>
      </c>
      <c r="K185">
        <v>60</v>
      </c>
      <c r="L185">
        <v>80</v>
      </c>
      <c r="M185">
        <v>90</v>
      </c>
      <c r="N185">
        <v>80</v>
      </c>
      <c r="O185" t="s">
        <v>22</v>
      </c>
      <c r="P185" t="s">
        <v>23</v>
      </c>
    </row>
    <row r="186" spans="1:16" x14ac:dyDescent="0.3">
      <c r="A186" t="s">
        <v>536</v>
      </c>
      <c r="B186" t="s">
        <v>537</v>
      </c>
      <c r="C186" t="s">
        <v>538</v>
      </c>
      <c r="D186" t="s">
        <v>967</v>
      </c>
      <c r="E186" t="s">
        <v>573</v>
      </c>
      <c r="F186" t="s">
        <v>529</v>
      </c>
      <c r="G186">
        <v>0.9</v>
      </c>
      <c r="H186">
        <v>85</v>
      </c>
      <c r="I186">
        <v>90</v>
      </c>
      <c r="J186">
        <v>75</v>
      </c>
      <c r="K186">
        <v>60</v>
      </c>
      <c r="L186">
        <v>80</v>
      </c>
      <c r="M186">
        <v>70</v>
      </c>
      <c r="N186">
        <v>76</v>
      </c>
      <c r="O186" t="s">
        <v>22</v>
      </c>
      <c r="P186" t="s">
        <v>23</v>
      </c>
    </row>
    <row r="187" spans="1:16" x14ac:dyDescent="0.3">
      <c r="A187" t="s">
        <v>536</v>
      </c>
      <c r="B187" t="s">
        <v>537</v>
      </c>
      <c r="C187" t="s">
        <v>968</v>
      </c>
      <c r="D187" t="s">
        <v>969</v>
      </c>
      <c r="E187" t="s">
        <v>573</v>
      </c>
      <c r="F187" t="s">
        <v>21</v>
      </c>
      <c r="G187">
        <v>0.65</v>
      </c>
      <c r="H187">
        <v>20</v>
      </c>
      <c r="I187">
        <v>45</v>
      </c>
      <c r="J187">
        <v>60</v>
      </c>
      <c r="K187">
        <v>25</v>
      </c>
      <c r="L187">
        <v>30</v>
      </c>
      <c r="M187">
        <v>15</v>
      </c>
      <c r="N187">
        <v>32</v>
      </c>
      <c r="O187" t="s">
        <v>99</v>
      </c>
      <c r="P187" t="s">
        <v>23</v>
      </c>
    </row>
    <row r="188" spans="1:16" x14ac:dyDescent="0.3">
      <c r="A188" t="s">
        <v>536</v>
      </c>
      <c r="B188" t="s">
        <v>537</v>
      </c>
      <c r="C188" t="s">
        <v>970</v>
      </c>
      <c r="D188" t="s">
        <v>971</v>
      </c>
      <c r="E188" t="s">
        <v>573</v>
      </c>
      <c r="F188" t="s">
        <v>21</v>
      </c>
      <c r="G188">
        <v>0.86</v>
      </c>
      <c r="H188">
        <v>75</v>
      </c>
      <c r="I188">
        <v>75</v>
      </c>
      <c r="J188">
        <v>75</v>
      </c>
      <c r="K188">
        <v>80</v>
      </c>
      <c r="L188">
        <v>75</v>
      </c>
      <c r="M188">
        <v>75</v>
      </c>
      <c r="N188">
        <v>75</v>
      </c>
      <c r="O188" t="s">
        <v>22</v>
      </c>
      <c r="P188" t="s">
        <v>23</v>
      </c>
    </row>
    <row r="189" spans="1:16" x14ac:dyDescent="0.3">
      <c r="A189" t="s">
        <v>536</v>
      </c>
      <c r="B189" t="s">
        <v>537</v>
      </c>
      <c r="C189" t="s">
        <v>972</v>
      </c>
      <c r="D189" t="s">
        <v>973</v>
      </c>
      <c r="E189" t="s">
        <v>573</v>
      </c>
      <c r="F189" t="s">
        <v>529</v>
      </c>
      <c r="G189">
        <v>0.88</v>
      </c>
      <c r="H189">
        <v>75</v>
      </c>
      <c r="I189">
        <v>80</v>
      </c>
      <c r="J189">
        <v>60</v>
      </c>
      <c r="K189">
        <v>40</v>
      </c>
      <c r="L189">
        <v>65</v>
      </c>
      <c r="M189">
        <v>90</v>
      </c>
      <c r="N189">
        <v>68</v>
      </c>
      <c r="O189" t="s">
        <v>28</v>
      </c>
      <c r="P189" t="s">
        <v>23</v>
      </c>
    </row>
    <row r="190" spans="1:16" x14ac:dyDescent="0.3">
      <c r="A190" t="s">
        <v>547</v>
      </c>
      <c r="B190" t="s">
        <v>548</v>
      </c>
      <c r="C190" t="s">
        <v>974</v>
      </c>
      <c r="D190" t="s">
        <v>975</v>
      </c>
      <c r="E190" t="s">
        <v>960</v>
      </c>
      <c r="F190" t="s">
        <v>529</v>
      </c>
      <c r="G190">
        <v>0.82</v>
      </c>
      <c r="H190">
        <v>75</v>
      </c>
      <c r="I190">
        <v>80</v>
      </c>
      <c r="J190">
        <v>65</v>
      </c>
      <c r="K190">
        <v>90</v>
      </c>
      <c r="L190">
        <v>80</v>
      </c>
      <c r="M190">
        <v>70</v>
      </c>
      <c r="N190">
        <v>76</v>
      </c>
      <c r="O190" t="s">
        <v>22</v>
      </c>
      <c r="P190" t="s">
        <v>23</v>
      </c>
    </row>
    <row r="191" spans="1:16" x14ac:dyDescent="0.3">
      <c r="A191" t="s">
        <v>547</v>
      </c>
      <c r="B191" t="s">
        <v>548</v>
      </c>
      <c r="C191" t="s">
        <v>976</v>
      </c>
      <c r="D191" t="s">
        <v>977</v>
      </c>
      <c r="E191" t="s">
        <v>960</v>
      </c>
      <c r="F191" t="s">
        <v>21</v>
      </c>
      <c r="G191">
        <v>0.75</v>
      </c>
      <c r="H191">
        <v>75</v>
      </c>
      <c r="I191">
        <v>75</v>
      </c>
      <c r="J191">
        <v>75</v>
      </c>
      <c r="K191">
        <v>75</v>
      </c>
      <c r="L191">
        <v>75</v>
      </c>
      <c r="M191">
        <v>75</v>
      </c>
      <c r="N191">
        <v>75</v>
      </c>
      <c r="O191" t="s">
        <v>22</v>
      </c>
      <c r="P191" t="s">
        <v>23</v>
      </c>
    </row>
    <row r="192" spans="1:16" x14ac:dyDescent="0.3">
      <c r="A192" t="s">
        <v>547</v>
      </c>
      <c r="B192" t="s">
        <v>548</v>
      </c>
      <c r="C192" t="s">
        <v>978</v>
      </c>
      <c r="D192" t="s">
        <v>979</v>
      </c>
      <c r="E192" t="s">
        <v>960</v>
      </c>
      <c r="F192" t="s">
        <v>21</v>
      </c>
      <c r="G192">
        <v>0.9</v>
      </c>
      <c r="H192">
        <v>85</v>
      </c>
      <c r="I192">
        <v>75</v>
      </c>
      <c r="J192">
        <v>80</v>
      </c>
      <c r="K192">
        <v>60</v>
      </c>
      <c r="L192">
        <v>90</v>
      </c>
      <c r="M192">
        <v>70</v>
      </c>
      <c r="N192">
        <v>76</v>
      </c>
      <c r="O192" t="s">
        <v>22</v>
      </c>
      <c r="P192" t="s">
        <v>23</v>
      </c>
    </row>
    <row r="193" spans="1:16" x14ac:dyDescent="0.3">
      <c r="A193" t="s">
        <v>547</v>
      </c>
      <c r="B193" t="s">
        <v>548</v>
      </c>
      <c r="C193" t="s">
        <v>980</v>
      </c>
      <c r="D193" t="s">
        <v>981</v>
      </c>
      <c r="E193" t="s">
        <v>960</v>
      </c>
      <c r="F193" t="s">
        <v>21</v>
      </c>
      <c r="G193">
        <v>0.85</v>
      </c>
      <c r="H193">
        <v>85</v>
      </c>
      <c r="I193">
        <v>90</v>
      </c>
      <c r="J193">
        <v>75</v>
      </c>
      <c r="K193">
        <v>65</v>
      </c>
      <c r="L193">
        <v>80</v>
      </c>
      <c r="M193">
        <v>80</v>
      </c>
      <c r="N193">
        <v>79</v>
      </c>
      <c r="O193" t="s">
        <v>22</v>
      </c>
      <c r="P193" t="s">
        <v>23</v>
      </c>
    </row>
    <row r="194" spans="1:16" x14ac:dyDescent="0.3">
      <c r="A194" t="s">
        <v>558</v>
      </c>
      <c r="B194" t="s">
        <v>559</v>
      </c>
      <c r="C194" t="s">
        <v>982</v>
      </c>
      <c r="D194" t="s">
        <v>983</v>
      </c>
      <c r="E194" t="s">
        <v>984</v>
      </c>
      <c r="F194" t="s">
        <v>21</v>
      </c>
      <c r="G194">
        <v>0.88</v>
      </c>
      <c r="H194">
        <v>85</v>
      </c>
      <c r="I194">
        <v>70</v>
      </c>
      <c r="J194">
        <v>65</v>
      </c>
      <c r="K194">
        <v>55</v>
      </c>
      <c r="L194">
        <v>90</v>
      </c>
      <c r="M194">
        <v>70</v>
      </c>
      <c r="N194">
        <v>72</v>
      </c>
      <c r="O194" t="s">
        <v>28</v>
      </c>
      <c r="P194" t="s">
        <v>23</v>
      </c>
    </row>
    <row r="195" spans="1:16" x14ac:dyDescent="0.3">
      <c r="A195" t="s">
        <v>558</v>
      </c>
      <c r="B195" t="s">
        <v>559</v>
      </c>
      <c r="C195" t="s">
        <v>985</v>
      </c>
      <c r="D195" t="s">
        <v>986</v>
      </c>
      <c r="E195" t="s">
        <v>984</v>
      </c>
      <c r="F195" t="s">
        <v>21</v>
      </c>
      <c r="G195">
        <v>0.75</v>
      </c>
      <c r="H195">
        <v>75</v>
      </c>
      <c r="I195">
        <v>85</v>
      </c>
      <c r="J195">
        <v>90</v>
      </c>
      <c r="K195">
        <v>45</v>
      </c>
      <c r="L195">
        <v>60</v>
      </c>
      <c r="M195">
        <v>60</v>
      </c>
      <c r="N195">
        <v>69</v>
      </c>
      <c r="O195" t="s">
        <v>28</v>
      </c>
      <c r="P195" t="s">
        <v>23</v>
      </c>
    </row>
    <row r="196" spans="1:16" x14ac:dyDescent="0.3">
      <c r="A196" t="s">
        <v>558</v>
      </c>
      <c r="B196" t="s">
        <v>559</v>
      </c>
      <c r="C196" t="s">
        <v>987</v>
      </c>
      <c r="D196" t="s">
        <v>988</v>
      </c>
      <c r="E196" t="s">
        <v>984</v>
      </c>
      <c r="F196" t="s">
        <v>21</v>
      </c>
      <c r="G196">
        <v>0.86</v>
      </c>
      <c r="H196">
        <v>75</v>
      </c>
      <c r="I196">
        <v>75</v>
      </c>
      <c r="J196">
        <v>75</v>
      </c>
      <c r="K196">
        <v>75</v>
      </c>
      <c r="L196">
        <v>75</v>
      </c>
      <c r="M196">
        <v>75</v>
      </c>
      <c r="N196">
        <v>75</v>
      </c>
      <c r="O196" t="s">
        <v>22</v>
      </c>
      <c r="P196" t="s">
        <v>23</v>
      </c>
    </row>
    <row r="197" spans="1:16" x14ac:dyDescent="0.3">
      <c r="A197" t="s">
        <v>558</v>
      </c>
      <c r="B197" t="s">
        <v>559</v>
      </c>
      <c r="C197" t="s">
        <v>989</v>
      </c>
      <c r="D197" t="s">
        <v>990</v>
      </c>
      <c r="E197" t="s">
        <v>984</v>
      </c>
      <c r="F197" t="s">
        <v>21</v>
      </c>
      <c r="G197">
        <v>0.6</v>
      </c>
      <c r="H197">
        <v>75</v>
      </c>
      <c r="I197">
        <v>75</v>
      </c>
      <c r="J197">
        <v>75</v>
      </c>
      <c r="K197">
        <v>80</v>
      </c>
      <c r="L197">
        <v>75</v>
      </c>
      <c r="M197">
        <v>75</v>
      </c>
      <c r="N197">
        <v>75</v>
      </c>
      <c r="O197" t="s">
        <v>22</v>
      </c>
      <c r="P197" t="s">
        <v>23</v>
      </c>
    </row>
    <row r="198" spans="1:16" x14ac:dyDescent="0.3">
      <c r="A198" t="s">
        <v>569</v>
      </c>
      <c r="B198" t="s">
        <v>570</v>
      </c>
      <c r="C198" t="s">
        <v>991</v>
      </c>
      <c r="D198" t="s">
        <v>992</v>
      </c>
      <c r="E198" t="s">
        <v>573</v>
      </c>
      <c r="F198" t="s">
        <v>21</v>
      </c>
      <c r="G198">
        <v>0.85</v>
      </c>
      <c r="H198">
        <v>65</v>
      </c>
      <c r="I198">
        <v>70</v>
      </c>
      <c r="J198">
        <v>70</v>
      </c>
      <c r="K198">
        <v>35</v>
      </c>
      <c r="L198">
        <v>40</v>
      </c>
      <c r="M198">
        <v>80</v>
      </c>
      <c r="N198">
        <v>60</v>
      </c>
      <c r="O198" t="s">
        <v>28</v>
      </c>
      <c r="P198" t="s">
        <v>23</v>
      </c>
    </row>
    <row r="199" spans="1:16" x14ac:dyDescent="0.3">
      <c r="A199" t="s">
        <v>569</v>
      </c>
      <c r="B199" t="s">
        <v>570</v>
      </c>
      <c r="C199" t="s">
        <v>993</v>
      </c>
      <c r="D199" t="s">
        <v>994</v>
      </c>
      <c r="E199" t="s">
        <v>573</v>
      </c>
      <c r="F199" t="s">
        <v>21</v>
      </c>
      <c r="G199">
        <v>0.85</v>
      </c>
      <c r="H199">
        <v>35</v>
      </c>
      <c r="I199">
        <v>45</v>
      </c>
      <c r="J199">
        <v>70</v>
      </c>
      <c r="K199">
        <v>20</v>
      </c>
      <c r="L199">
        <v>60</v>
      </c>
      <c r="M199">
        <v>60</v>
      </c>
      <c r="N199">
        <v>48</v>
      </c>
      <c r="O199" t="s">
        <v>71</v>
      </c>
      <c r="P199" t="s">
        <v>23</v>
      </c>
    </row>
    <row r="200" spans="1:16" x14ac:dyDescent="0.3">
      <c r="A200" t="s">
        <v>569</v>
      </c>
      <c r="B200" t="s">
        <v>570</v>
      </c>
      <c r="C200" t="s">
        <v>995</v>
      </c>
      <c r="D200" t="s">
        <v>996</v>
      </c>
      <c r="E200" t="s">
        <v>573</v>
      </c>
      <c r="F200" t="s">
        <v>21</v>
      </c>
      <c r="G200">
        <v>0.85</v>
      </c>
      <c r="H200">
        <v>75</v>
      </c>
      <c r="I200">
        <v>75</v>
      </c>
      <c r="J200">
        <v>75</v>
      </c>
      <c r="K200">
        <v>75</v>
      </c>
      <c r="L200">
        <v>75</v>
      </c>
      <c r="M200">
        <v>75</v>
      </c>
      <c r="N200">
        <v>75</v>
      </c>
      <c r="O200" t="s">
        <v>22</v>
      </c>
      <c r="P200" t="s">
        <v>23</v>
      </c>
    </row>
    <row r="201" spans="1:16" x14ac:dyDescent="0.3">
      <c r="A201" t="s">
        <v>569</v>
      </c>
      <c r="B201" t="s">
        <v>570</v>
      </c>
      <c r="C201" t="s">
        <v>997</v>
      </c>
      <c r="D201" t="s">
        <v>998</v>
      </c>
      <c r="E201" t="s">
        <v>573</v>
      </c>
      <c r="F201" t="s">
        <v>21</v>
      </c>
      <c r="G201">
        <v>0.86</v>
      </c>
      <c r="H201">
        <v>95</v>
      </c>
      <c r="I201">
        <v>85</v>
      </c>
      <c r="J201">
        <v>80</v>
      </c>
      <c r="K201">
        <v>90</v>
      </c>
      <c r="L201">
        <v>80</v>
      </c>
      <c r="M201">
        <v>70</v>
      </c>
      <c r="N201">
        <v>83</v>
      </c>
      <c r="O201" t="s">
        <v>22</v>
      </c>
      <c r="P201" t="s">
        <v>23</v>
      </c>
    </row>
    <row r="202" spans="1:16" x14ac:dyDescent="0.3">
      <c r="A202" t="s">
        <v>580</v>
      </c>
      <c r="B202" t="s">
        <v>581</v>
      </c>
      <c r="C202" t="s">
        <v>582</v>
      </c>
      <c r="D202" t="s">
        <v>999</v>
      </c>
      <c r="E202" t="s">
        <v>1000</v>
      </c>
      <c r="F202" t="s">
        <v>21</v>
      </c>
      <c r="G202">
        <v>0.9</v>
      </c>
      <c r="H202">
        <v>75</v>
      </c>
      <c r="I202">
        <v>80</v>
      </c>
      <c r="J202">
        <v>60</v>
      </c>
      <c r="K202">
        <v>70</v>
      </c>
      <c r="L202">
        <v>85</v>
      </c>
      <c r="M202">
        <v>65</v>
      </c>
      <c r="N202">
        <v>72</v>
      </c>
      <c r="O202" t="s">
        <v>28</v>
      </c>
      <c r="P202" t="s">
        <v>23</v>
      </c>
    </row>
    <row r="203" spans="1:16" x14ac:dyDescent="0.3">
      <c r="A203" t="s">
        <v>580</v>
      </c>
      <c r="B203" t="s">
        <v>581</v>
      </c>
      <c r="C203" t="s">
        <v>48</v>
      </c>
      <c r="D203" t="s">
        <v>1001</v>
      </c>
      <c r="E203" t="s">
        <v>50</v>
      </c>
      <c r="F203" t="s">
        <v>51</v>
      </c>
      <c r="G203">
        <v>0.95</v>
      </c>
      <c r="H203">
        <v>85</v>
      </c>
      <c r="I203">
        <v>80</v>
      </c>
      <c r="J203">
        <v>75</v>
      </c>
      <c r="K203">
        <v>90</v>
      </c>
      <c r="L203">
        <v>70</v>
      </c>
      <c r="M203">
        <v>60</v>
      </c>
      <c r="N203">
        <v>76</v>
      </c>
      <c r="O203" t="s">
        <v>22</v>
      </c>
      <c r="P203" t="s">
        <v>23</v>
      </c>
    </row>
    <row r="204" spans="1:16" x14ac:dyDescent="0.3">
      <c r="A204" t="s">
        <v>580</v>
      </c>
      <c r="B204" t="s">
        <v>581</v>
      </c>
      <c r="C204" t="s">
        <v>1002</v>
      </c>
      <c r="D204" t="s">
        <v>1003</v>
      </c>
      <c r="E204" t="s">
        <v>1004</v>
      </c>
      <c r="F204" t="s">
        <v>21</v>
      </c>
      <c r="G204">
        <v>0.88</v>
      </c>
      <c r="H204">
        <v>85</v>
      </c>
      <c r="I204">
        <v>70</v>
      </c>
      <c r="J204">
        <v>65</v>
      </c>
      <c r="K204">
        <v>40</v>
      </c>
      <c r="L204">
        <v>90</v>
      </c>
      <c r="M204">
        <v>60</v>
      </c>
      <c r="N204">
        <v>68</v>
      </c>
      <c r="O204" t="s">
        <v>28</v>
      </c>
      <c r="P204" t="s">
        <v>23</v>
      </c>
    </row>
    <row r="205" spans="1:16" x14ac:dyDescent="0.3">
      <c r="A205" t="s">
        <v>580</v>
      </c>
      <c r="B205" t="s">
        <v>581</v>
      </c>
      <c r="C205" t="s">
        <v>1005</v>
      </c>
      <c r="D205" t="s">
        <v>1006</v>
      </c>
      <c r="E205" t="s">
        <v>1007</v>
      </c>
      <c r="F205" t="s">
        <v>21</v>
      </c>
      <c r="G205">
        <v>0.9</v>
      </c>
      <c r="H205">
        <v>75</v>
      </c>
      <c r="I205">
        <v>80</v>
      </c>
      <c r="J205">
        <v>65</v>
      </c>
      <c r="K205">
        <v>30</v>
      </c>
      <c r="L205">
        <v>40</v>
      </c>
      <c r="M205">
        <v>60</v>
      </c>
      <c r="N205">
        <v>58</v>
      </c>
      <c r="O205" t="s">
        <v>71</v>
      </c>
      <c r="P205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C4E51-2CE7-4CBE-9827-D5CC2EC159D8}">
  <dimension ref="A1:P205"/>
  <sheetViews>
    <sheetView workbookViewId="0">
      <selection activeCell="F1" sqref="F1:F1048576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1008</v>
      </c>
      <c r="D2" t="s">
        <v>1009</v>
      </c>
      <c r="E2" t="s">
        <v>1010</v>
      </c>
      <c r="F2" t="s">
        <v>21</v>
      </c>
      <c r="G2">
        <v>0.95</v>
      </c>
      <c r="H2">
        <v>75</v>
      </c>
      <c r="I2">
        <v>75</v>
      </c>
      <c r="J2">
        <v>75</v>
      </c>
      <c r="K2">
        <v>60</v>
      </c>
      <c r="L2">
        <v>75</v>
      </c>
      <c r="M2">
        <v>75</v>
      </c>
      <c r="N2">
        <v>72</v>
      </c>
      <c r="O2" t="s">
        <v>28</v>
      </c>
      <c r="P2" t="s">
        <v>23</v>
      </c>
    </row>
    <row r="3" spans="1:16" x14ac:dyDescent="0.3">
      <c r="A3" t="s">
        <v>16</v>
      </c>
      <c r="B3" t="s">
        <v>17</v>
      </c>
      <c r="C3" t="s">
        <v>1011</v>
      </c>
      <c r="D3" t="s">
        <v>1012</v>
      </c>
      <c r="E3" t="s">
        <v>1010</v>
      </c>
      <c r="F3" t="s">
        <v>21</v>
      </c>
      <c r="G3">
        <v>0.92</v>
      </c>
      <c r="H3">
        <v>65</v>
      </c>
      <c r="I3">
        <v>70</v>
      </c>
      <c r="J3">
        <v>80</v>
      </c>
      <c r="K3">
        <v>40</v>
      </c>
      <c r="L3">
        <v>75</v>
      </c>
      <c r="M3">
        <v>60</v>
      </c>
      <c r="N3">
        <v>65</v>
      </c>
      <c r="O3" t="s">
        <v>28</v>
      </c>
      <c r="P3" t="s">
        <v>23</v>
      </c>
    </row>
    <row r="4" spans="1:16" x14ac:dyDescent="0.3">
      <c r="A4" t="s">
        <v>16</v>
      </c>
      <c r="B4" t="s">
        <v>17</v>
      </c>
      <c r="C4" t="s">
        <v>1013</v>
      </c>
      <c r="D4" t="s">
        <v>1014</v>
      </c>
      <c r="E4" t="s">
        <v>1010</v>
      </c>
      <c r="F4" t="s">
        <v>21</v>
      </c>
      <c r="G4">
        <v>0.92</v>
      </c>
      <c r="H4">
        <v>75</v>
      </c>
      <c r="I4">
        <v>80</v>
      </c>
      <c r="J4">
        <v>70</v>
      </c>
      <c r="K4">
        <v>90</v>
      </c>
      <c r="L4">
        <v>85</v>
      </c>
      <c r="M4">
        <v>90</v>
      </c>
      <c r="N4">
        <v>81</v>
      </c>
      <c r="O4" t="s">
        <v>22</v>
      </c>
      <c r="P4" t="s">
        <v>23</v>
      </c>
    </row>
    <row r="5" spans="1:16" x14ac:dyDescent="0.3">
      <c r="A5" t="s">
        <v>16</v>
      </c>
      <c r="B5" t="s">
        <v>17</v>
      </c>
      <c r="C5" t="s">
        <v>1015</v>
      </c>
      <c r="D5" t="s">
        <v>1016</v>
      </c>
      <c r="E5" t="s">
        <v>1017</v>
      </c>
      <c r="F5" t="s">
        <v>21</v>
      </c>
      <c r="G5">
        <v>0.87</v>
      </c>
      <c r="H5">
        <v>85</v>
      </c>
      <c r="I5">
        <v>70</v>
      </c>
      <c r="J5">
        <v>60</v>
      </c>
      <c r="K5">
        <v>65</v>
      </c>
      <c r="L5">
        <v>75</v>
      </c>
      <c r="M5">
        <v>90</v>
      </c>
      <c r="N5">
        <v>74</v>
      </c>
      <c r="O5" t="s">
        <v>28</v>
      </c>
      <c r="P5" t="s">
        <v>23</v>
      </c>
    </row>
    <row r="6" spans="1:16" x14ac:dyDescent="0.3">
      <c r="A6" t="s">
        <v>32</v>
      </c>
      <c r="B6" t="s">
        <v>33</v>
      </c>
      <c r="C6" t="s">
        <v>1018</v>
      </c>
      <c r="D6" t="s">
        <v>1019</v>
      </c>
      <c r="E6" t="s">
        <v>1020</v>
      </c>
      <c r="F6" t="s">
        <v>21</v>
      </c>
      <c r="G6">
        <v>0.94</v>
      </c>
      <c r="H6">
        <v>85</v>
      </c>
      <c r="I6">
        <v>75</v>
      </c>
      <c r="J6">
        <v>80</v>
      </c>
      <c r="K6">
        <v>90</v>
      </c>
      <c r="L6">
        <v>80</v>
      </c>
      <c r="M6">
        <v>70</v>
      </c>
      <c r="N6">
        <v>80</v>
      </c>
      <c r="O6" t="s">
        <v>22</v>
      </c>
      <c r="P6" t="s">
        <v>23</v>
      </c>
    </row>
    <row r="7" spans="1:16" x14ac:dyDescent="0.3">
      <c r="A7" t="s">
        <v>32</v>
      </c>
      <c r="B7" t="s">
        <v>33</v>
      </c>
      <c r="C7" t="s">
        <v>1021</v>
      </c>
      <c r="D7" t="s">
        <v>1022</v>
      </c>
      <c r="E7" t="s">
        <v>50</v>
      </c>
      <c r="F7" t="s">
        <v>21</v>
      </c>
      <c r="G7">
        <v>0.9</v>
      </c>
      <c r="H7">
        <v>85</v>
      </c>
      <c r="I7">
        <v>80</v>
      </c>
      <c r="J7">
        <v>75</v>
      </c>
      <c r="K7">
        <v>90</v>
      </c>
      <c r="L7">
        <v>70</v>
      </c>
      <c r="M7">
        <v>65</v>
      </c>
      <c r="N7">
        <v>77</v>
      </c>
      <c r="O7" t="s">
        <v>22</v>
      </c>
      <c r="P7" t="s">
        <v>23</v>
      </c>
    </row>
    <row r="8" spans="1:16" x14ac:dyDescent="0.3">
      <c r="A8" t="s">
        <v>32</v>
      </c>
      <c r="B8" t="s">
        <v>33</v>
      </c>
      <c r="C8" t="s">
        <v>1023</v>
      </c>
      <c r="D8" t="s">
        <v>1024</v>
      </c>
      <c r="E8" t="s">
        <v>39</v>
      </c>
      <c r="F8" t="s">
        <v>21</v>
      </c>
      <c r="G8">
        <v>0.9</v>
      </c>
      <c r="H8">
        <v>85</v>
      </c>
      <c r="I8">
        <v>80</v>
      </c>
      <c r="J8">
        <v>75</v>
      </c>
      <c r="K8">
        <v>90</v>
      </c>
      <c r="L8">
        <v>70</v>
      </c>
      <c r="M8">
        <v>95</v>
      </c>
      <c r="N8">
        <v>82</v>
      </c>
      <c r="O8" t="s">
        <v>22</v>
      </c>
      <c r="P8" t="s">
        <v>23</v>
      </c>
    </row>
    <row r="9" spans="1:16" x14ac:dyDescent="0.3">
      <c r="A9" t="s">
        <v>32</v>
      </c>
      <c r="B9" t="s">
        <v>33</v>
      </c>
      <c r="C9" t="s">
        <v>1025</v>
      </c>
      <c r="D9" t="s">
        <v>1026</v>
      </c>
      <c r="E9" t="s">
        <v>1027</v>
      </c>
      <c r="F9" t="s">
        <v>21</v>
      </c>
      <c r="G9">
        <v>0.9</v>
      </c>
      <c r="H9">
        <v>75</v>
      </c>
      <c r="I9">
        <v>80</v>
      </c>
      <c r="J9">
        <v>65</v>
      </c>
      <c r="K9">
        <v>40</v>
      </c>
      <c r="L9">
        <v>80</v>
      </c>
      <c r="M9">
        <v>60</v>
      </c>
      <c r="N9">
        <v>66</v>
      </c>
      <c r="O9" t="s">
        <v>28</v>
      </c>
      <c r="P9" t="s">
        <v>23</v>
      </c>
    </row>
    <row r="10" spans="1:16" x14ac:dyDescent="0.3">
      <c r="A10" t="s">
        <v>46</v>
      </c>
      <c r="B10" t="s">
        <v>47</v>
      </c>
      <c r="C10" t="s">
        <v>1028</v>
      </c>
      <c r="D10" t="s">
        <v>1029</v>
      </c>
      <c r="E10" t="s">
        <v>50</v>
      </c>
      <c r="F10" t="s">
        <v>51</v>
      </c>
      <c r="G10">
        <v>0.93</v>
      </c>
      <c r="H10">
        <v>75</v>
      </c>
      <c r="I10">
        <v>80</v>
      </c>
      <c r="J10">
        <v>65</v>
      </c>
      <c r="K10">
        <v>30</v>
      </c>
      <c r="L10">
        <v>85</v>
      </c>
      <c r="M10">
        <v>40</v>
      </c>
      <c r="N10">
        <v>62</v>
      </c>
      <c r="O10" t="s">
        <v>28</v>
      </c>
      <c r="P10" t="s">
        <v>23</v>
      </c>
    </row>
    <row r="11" spans="1:16" x14ac:dyDescent="0.3">
      <c r="A11" t="s">
        <v>46</v>
      </c>
      <c r="B11" t="s">
        <v>47</v>
      </c>
      <c r="C11" t="s">
        <v>615</v>
      </c>
      <c r="D11" t="s">
        <v>1030</v>
      </c>
      <c r="E11" t="s">
        <v>50</v>
      </c>
      <c r="F11" t="s">
        <v>51</v>
      </c>
      <c r="G11">
        <v>0.95</v>
      </c>
      <c r="H11">
        <v>40</v>
      </c>
      <c r="I11">
        <v>50</v>
      </c>
      <c r="J11">
        <v>60</v>
      </c>
      <c r="K11">
        <v>20</v>
      </c>
      <c r="L11">
        <v>30</v>
      </c>
      <c r="M11">
        <v>80</v>
      </c>
      <c r="N11">
        <v>46</v>
      </c>
      <c r="O11" t="s">
        <v>71</v>
      </c>
      <c r="P11" t="s">
        <v>23</v>
      </c>
    </row>
    <row r="12" spans="1:16" x14ac:dyDescent="0.3">
      <c r="A12" t="s">
        <v>46</v>
      </c>
      <c r="B12" t="s">
        <v>47</v>
      </c>
      <c r="C12" t="s">
        <v>1031</v>
      </c>
      <c r="D12" t="s">
        <v>1032</v>
      </c>
      <c r="E12" t="s">
        <v>674</v>
      </c>
      <c r="F12" t="s">
        <v>51</v>
      </c>
      <c r="G12">
        <v>0.82</v>
      </c>
      <c r="H12">
        <v>25</v>
      </c>
      <c r="I12">
        <v>40</v>
      </c>
      <c r="J12">
        <v>30</v>
      </c>
      <c r="K12">
        <v>10</v>
      </c>
      <c r="L12">
        <v>0</v>
      </c>
      <c r="M12">
        <v>15</v>
      </c>
      <c r="N12">
        <v>0</v>
      </c>
      <c r="O12" t="s">
        <v>403</v>
      </c>
      <c r="P12" t="s">
        <v>23</v>
      </c>
    </row>
    <row r="13" spans="1:16" x14ac:dyDescent="0.3">
      <c r="A13" t="s">
        <v>46</v>
      </c>
      <c r="B13" t="s">
        <v>47</v>
      </c>
      <c r="C13" t="s">
        <v>1033</v>
      </c>
      <c r="D13" t="s">
        <v>1034</v>
      </c>
      <c r="E13" t="s">
        <v>39</v>
      </c>
      <c r="F13" t="s">
        <v>21</v>
      </c>
      <c r="G13">
        <v>0.85</v>
      </c>
      <c r="H13">
        <v>35</v>
      </c>
      <c r="I13">
        <v>45</v>
      </c>
      <c r="J13">
        <v>60</v>
      </c>
      <c r="K13">
        <v>20</v>
      </c>
      <c r="L13">
        <v>70</v>
      </c>
      <c r="M13">
        <v>10</v>
      </c>
      <c r="N13">
        <v>40</v>
      </c>
      <c r="O13" t="s">
        <v>71</v>
      </c>
      <c r="P13" t="s">
        <v>23</v>
      </c>
    </row>
    <row r="14" spans="1:16" x14ac:dyDescent="0.3">
      <c r="A14" t="s">
        <v>59</v>
      </c>
      <c r="B14" t="s">
        <v>60</v>
      </c>
      <c r="C14" t="s">
        <v>61</v>
      </c>
      <c r="D14" t="s">
        <v>1035</v>
      </c>
      <c r="E14" t="s">
        <v>1036</v>
      </c>
      <c r="F14" t="s">
        <v>21</v>
      </c>
      <c r="G14">
        <v>0.95</v>
      </c>
      <c r="H14">
        <v>65</v>
      </c>
      <c r="I14">
        <v>70</v>
      </c>
      <c r="J14">
        <v>80</v>
      </c>
      <c r="K14">
        <v>40</v>
      </c>
      <c r="L14">
        <v>70</v>
      </c>
      <c r="M14">
        <v>60</v>
      </c>
      <c r="N14">
        <v>64</v>
      </c>
      <c r="O14" t="s">
        <v>28</v>
      </c>
      <c r="P14" t="s">
        <v>23</v>
      </c>
    </row>
    <row r="15" spans="1:16" x14ac:dyDescent="0.3">
      <c r="A15" t="s">
        <v>59</v>
      </c>
      <c r="B15" t="s">
        <v>60</v>
      </c>
      <c r="C15" t="s">
        <v>1037</v>
      </c>
      <c r="D15" t="s">
        <v>1038</v>
      </c>
      <c r="E15" t="s">
        <v>1036</v>
      </c>
      <c r="F15" t="s">
        <v>21</v>
      </c>
      <c r="G15">
        <v>0.9</v>
      </c>
      <c r="H15">
        <v>85</v>
      </c>
      <c r="I15">
        <v>75</v>
      </c>
      <c r="J15">
        <v>70</v>
      </c>
      <c r="K15">
        <v>80</v>
      </c>
      <c r="L15">
        <v>90</v>
      </c>
      <c r="M15">
        <v>80</v>
      </c>
      <c r="N15">
        <v>80</v>
      </c>
      <c r="O15" t="s">
        <v>22</v>
      </c>
      <c r="P15" t="s">
        <v>23</v>
      </c>
    </row>
    <row r="16" spans="1:16" x14ac:dyDescent="0.3">
      <c r="A16" t="s">
        <v>59</v>
      </c>
      <c r="B16" t="s">
        <v>60</v>
      </c>
      <c r="C16" t="s">
        <v>1039</v>
      </c>
      <c r="D16" t="s">
        <v>1040</v>
      </c>
      <c r="E16" t="s">
        <v>1041</v>
      </c>
      <c r="F16" t="s">
        <v>21</v>
      </c>
      <c r="G16">
        <v>0.95</v>
      </c>
      <c r="H16">
        <v>75</v>
      </c>
      <c r="I16">
        <v>80</v>
      </c>
      <c r="J16">
        <v>70</v>
      </c>
      <c r="K16">
        <v>60</v>
      </c>
      <c r="L16">
        <v>85</v>
      </c>
      <c r="M16">
        <v>90</v>
      </c>
      <c r="N16">
        <v>76</v>
      </c>
      <c r="O16" t="s">
        <v>22</v>
      </c>
      <c r="P16" t="s">
        <v>23</v>
      </c>
    </row>
    <row r="17" spans="1:16" x14ac:dyDescent="0.3">
      <c r="A17" t="s">
        <v>59</v>
      </c>
      <c r="B17" t="s">
        <v>60</v>
      </c>
      <c r="C17" t="s">
        <v>68</v>
      </c>
      <c r="D17" t="s">
        <v>1042</v>
      </c>
      <c r="E17" t="s">
        <v>45</v>
      </c>
      <c r="F17" t="s">
        <v>21</v>
      </c>
      <c r="G17">
        <v>0.95</v>
      </c>
      <c r="H17">
        <v>65</v>
      </c>
      <c r="I17">
        <v>75</v>
      </c>
      <c r="J17">
        <v>80</v>
      </c>
      <c r="K17">
        <v>30</v>
      </c>
      <c r="L17">
        <v>50</v>
      </c>
      <c r="M17">
        <v>40</v>
      </c>
      <c r="N17">
        <v>56</v>
      </c>
      <c r="O17" t="s">
        <v>71</v>
      </c>
      <c r="P17" t="s">
        <v>23</v>
      </c>
    </row>
    <row r="18" spans="1:16" x14ac:dyDescent="0.3">
      <c r="A18" t="s">
        <v>72</v>
      </c>
      <c r="B18" t="s">
        <v>73</v>
      </c>
      <c r="C18" t="s">
        <v>1043</v>
      </c>
      <c r="D18" t="s">
        <v>1044</v>
      </c>
      <c r="E18" t="s">
        <v>76</v>
      </c>
      <c r="F18" t="s">
        <v>21</v>
      </c>
      <c r="G18">
        <v>0.87</v>
      </c>
      <c r="H18">
        <v>75</v>
      </c>
      <c r="I18">
        <v>75</v>
      </c>
      <c r="J18">
        <v>75</v>
      </c>
      <c r="K18">
        <v>60</v>
      </c>
      <c r="L18">
        <v>75</v>
      </c>
      <c r="M18">
        <v>75</v>
      </c>
      <c r="N18">
        <v>72</v>
      </c>
      <c r="O18" t="s">
        <v>28</v>
      </c>
      <c r="P18" t="s">
        <v>23</v>
      </c>
    </row>
    <row r="19" spans="1:16" x14ac:dyDescent="0.3">
      <c r="A19" t="s">
        <v>72</v>
      </c>
      <c r="B19" t="s">
        <v>73</v>
      </c>
      <c r="C19" t="s">
        <v>1045</v>
      </c>
      <c r="D19" t="s">
        <v>1046</v>
      </c>
      <c r="E19" t="s">
        <v>76</v>
      </c>
      <c r="F19" t="s">
        <v>51</v>
      </c>
      <c r="G19">
        <v>0.93</v>
      </c>
      <c r="H19">
        <v>50</v>
      </c>
      <c r="I19">
        <v>60</v>
      </c>
      <c r="J19">
        <v>70</v>
      </c>
      <c r="K19">
        <v>20</v>
      </c>
      <c r="L19">
        <v>30</v>
      </c>
      <c r="M19">
        <v>80</v>
      </c>
      <c r="N19">
        <v>51</v>
      </c>
      <c r="O19" t="s">
        <v>71</v>
      </c>
      <c r="P19" t="s">
        <v>23</v>
      </c>
    </row>
    <row r="20" spans="1:16" x14ac:dyDescent="0.3">
      <c r="A20" t="s">
        <v>72</v>
      </c>
      <c r="B20" t="s">
        <v>73</v>
      </c>
      <c r="C20" t="s">
        <v>79</v>
      </c>
      <c r="D20" t="s">
        <v>1047</v>
      </c>
      <c r="E20" t="s">
        <v>76</v>
      </c>
      <c r="F20" t="s">
        <v>51</v>
      </c>
      <c r="G20">
        <v>0.92</v>
      </c>
      <c r="H20">
        <v>50</v>
      </c>
      <c r="I20">
        <v>70</v>
      </c>
      <c r="J20">
        <v>80</v>
      </c>
      <c r="K20">
        <v>30</v>
      </c>
      <c r="L20">
        <v>40</v>
      </c>
      <c r="M20">
        <v>60</v>
      </c>
      <c r="N20">
        <v>55</v>
      </c>
      <c r="O20" t="s">
        <v>71</v>
      </c>
      <c r="P20" t="s">
        <v>23</v>
      </c>
    </row>
    <row r="21" spans="1:16" x14ac:dyDescent="0.3">
      <c r="A21" t="s">
        <v>72</v>
      </c>
      <c r="B21" t="s">
        <v>73</v>
      </c>
      <c r="C21" t="s">
        <v>1048</v>
      </c>
      <c r="D21" t="s">
        <v>1049</v>
      </c>
      <c r="E21" t="s">
        <v>76</v>
      </c>
      <c r="F21" t="s">
        <v>21</v>
      </c>
      <c r="G21">
        <v>0.85</v>
      </c>
      <c r="H21">
        <v>75</v>
      </c>
      <c r="I21">
        <v>80</v>
      </c>
      <c r="J21">
        <v>65</v>
      </c>
      <c r="K21">
        <v>40</v>
      </c>
      <c r="L21">
        <v>60</v>
      </c>
      <c r="M21">
        <v>90</v>
      </c>
      <c r="N21">
        <v>68</v>
      </c>
      <c r="O21" t="s">
        <v>28</v>
      </c>
      <c r="P21" t="s">
        <v>23</v>
      </c>
    </row>
    <row r="22" spans="1:16" x14ac:dyDescent="0.3">
      <c r="A22" t="s">
        <v>83</v>
      </c>
      <c r="B22" t="s">
        <v>84</v>
      </c>
      <c r="C22" t="s">
        <v>85</v>
      </c>
      <c r="D22" t="s">
        <v>1050</v>
      </c>
      <c r="E22" t="s">
        <v>87</v>
      </c>
      <c r="F22" t="s">
        <v>21</v>
      </c>
      <c r="G22">
        <v>0.95</v>
      </c>
      <c r="H22">
        <v>75</v>
      </c>
      <c r="I22">
        <v>75</v>
      </c>
      <c r="J22">
        <v>75</v>
      </c>
      <c r="K22">
        <v>90</v>
      </c>
      <c r="L22">
        <v>75</v>
      </c>
      <c r="M22">
        <v>75</v>
      </c>
      <c r="N22">
        <v>77</v>
      </c>
      <c r="O22" t="s">
        <v>22</v>
      </c>
      <c r="P22" t="s">
        <v>23</v>
      </c>
    </row>
    <row r="23" spans="1:16" x14ac:dyDescent="0.3">
      <c r="A23" t="s">
        <v>83</v>
      </c>
      <c r="B23" t="s">
        <v>84</v>
      </c>
      <c r="C23" t="s">
        <v>1051</v>
      </c>
      <c r="D23" t="s">
        <v>1052</v>
      </c>
      <c r="E23" t="s">
        <v>87</v>
      </c>
      <c r="F23" t="s">
        <v>21</v>
      </c>
      <c r="G23">
        <v>0.95</v>
      </c>
      <c r="H23">
        <v>50</v>
      </c>
      <c r="I23">
        <v>60</v>
      </c>
      <c r="J23">
        <v>70</v>
      </c>
      <c r="K23">
        <v>20</v>
      </c>
      <c r="L23">
        <v>40</v>
      </c>
      <c r="M23">
        <v>80</v>
      </c>
      <c r="N23">
        <v>53</v>
      </c>
      <c r="O23" t="s">
        <v>71</v>
      </c>
      <c r="P23" t="s">
        <v>23</v>
      </c>
    </row>
    <row r="24" spans="1:16" x14ac:dyDescent="0.3">
      <c r="A24" t="s">
        <v>83</v>
      </c>
      <c r="B24" t="s">
        <v>84</v>
      </c>
      <c r="C24" t="s">
        <v>1053</v>
      </c>
      <c r="D24" t="s">
        <v>1054</v>
      </c>
      <c r="E24" t="s">
        <v>87</v>
      </c>
      <c r="F24" t="s">
        <v>21</v>
      </c>
      <c r="G24">
        <v>0.92</v>
      </c>
      <c r="H24">
        <v>85</v>
      </c>
      <c r="I24">
        <v>70</v>
      </c>
      <c r="J24">
        <v>65</v>
      </c>
      <c r="K24">
        <v>45</v>
      </c>
      <c r="L24">
        <v>90</v>
      </c>
      <c r="M24">
        <v>60</v>
      </c>
      <c r="N24">
        <v>69</v>
      </c>
      <c r="O24" t="s">
        <v>28</v>
      </c>
      <c r="P24" t="s">
        <v>23</v>
      </c>
    </row>
    <row r="25" spans="1:16" x14ac:dyDescent="0.3">
      <c r="A25" t="s">
        <v>83</v>
      </c>
      <c r="B25" t="s">
        <v>84</v>
      </c>
      <c r="C25" t="s">
        <v>1055</v>
      </c>
      <c r="D25" t="s">
        <v>1056</v>
      </c>
      <c r="E25" t="s">
        <v>87</v>
      </c>
      <c r="F25" t="s">
        <v>21</v>
      </c>
      <c r="G25">
        <v>0.87</v>
      </c>
      <c r="H25">
        <v>65</v>
      </c>
      <c r="I25">
        <v>70</v>
      </c>
      <c r="J25">
        <v>80</v>
      </c>
      <c r="K25">
        <v>40</v>
      </c>
      <c r="L25">
        <v>60</v>
      </c>
      <c r="M25">
        <v>50</v>
      </c>
      <c r="N25">
        <v>60</v>
      </c>
      <c r="O25" t="s">
        <v>28</v>
      </c>
      <c r="P25" t="s">
        <v>23</v>
      </c>
    </row>
    <row r="26" spans="1:16" x14ac:dyDescent="0.3">
      <c r="A26" t="s">
        <v>94</v>
      </c>
      <c r="B26" t="s">
        <v>95</v>
      </c>
      <c r="C26" t="s">
        <v>1057</v>
      </c>
      <c r="D26" t="s">
        <v>1058</v>
      </c>
      <c r="E26" t="s">
        <v>98</v>
      </c>
      <c r="F26" t="s">
        <v>51</v>
      </c>
      <c r="G26">
        <v>0.95</v>
      </c>
      <c r="H26">
        <v>35</v>
      </c>
      <c r="I26">
        <v>65</v>
      </c>
      <c r="J26">
        <v>70</v>
      </c>
      <c r="K26">
        <v>20</v>
      </c>
      <c r="L26">
        <v>50</v>
      </c>
      <c r="M26">
        <v>10</v>
      </c>
      <c r="N26">
        <v>41</v>
      </c>
      <c r="O26" t="s">
        <v>71</v>
      </c>
      <c r="P26" t="s">
        <v>23</v>
      </c>
    </row>
    <row r="27" spans="1:16" x14ac:dyDescent="0.3">
      <c r="A27" t="s">
        <v>94</v>
      </c>
      <c r="B27" t="s">
        <v>95</v>
      </c>
      <c r="C27" t="s">
        <v>1059</v>
      </c>
      <c r="D27" t="s">
        <v>1060</v>
      </c>
      <c r="E27" t="s">
        <v>1061</v>
      </c>
      <c r="F27" t="s">
        <v>51</v>
      </c>
      <c r="G27">
        <v>0.95</v>
      </c>
      <c r="H27">
        <v>45</v>
      </c>
      <c r="I27">
        <v>60</v>
      </c>
      <c r="J27">
        <v>70</v>
      </c>
      <c r="K27">
        <v>30</v>
      </c>
      <c r="L27">
        <v>50</v>
      </c>
      <c r="M27">
        <v>85</v>
      </c>
      <c r="N27">
        <v>56</v>
      </c>
      <c r="O27" t="s">
        <v>71</v>
      </c>
      <c r="P27" t="s">
        <v>23</v>
      </c>
    </row>
    <row r="28" spans="1:16" x14ac:dyDescent="0.3">
      <c r="A28" t="s">
        <v>94</v>
      </c>
      <c r="B28" t="s">
        <v>95</v>
      </c>
      <c r="C28" t="s">
        <v>96</v>
      </c>
      <c r="D28" t="s">
        <v>1062</v>
      </c>
      <c r="E28" t="s">
        <v>98</v>
      </c>
      <c r="F28" t="s">
        <v>51</v>
      </c>
      <c r="G28">
        <v>0.92</v>
      </c>
      <c r="H28">
        <v>30</v>
      </c>
      <c r="I28">
        <v>45</v>
      </c>
      <c r="J28">
        <v>60</v>
      </c>
      <c r="K28">
        <v>15</v>
      </c>
      <c r="L28">
        <v>70</v>
      </c>
      <c r="M28">
        <v>20</v>
      </c>
      <c r="N28">
        <v>40</v>
      </c>
      <c r="O28" t="s">
        <v>71</v>
      </c>
      <c r="P28" t="s">
        <v>23</v>
      </c>
    </row>
    <row r="29" spans="1:16" x14ac:dyDescent="0.3">
      <c r="A29" t="s">
        <v>94</v>
      </c>
      <c r="B29" t="s">
        <v>95</v>
      </c>
      <c r="C29" t="s">
        <v>1063</v>
      </c>
      <c r="D29" t="s">
        <v>1064</v>
      </c>
      <c r="E29" t="s">
        <v>98</v>
      </c>
      <c r="F29" t="s">
        <v>51</v>
      </c>
      <c r="G29">
        <v>0.95</v>
      </c>
      <c r="H29">
        <v>45</v>
      </c>
      <c r="I29">
        <v>60</v>
      </c>
      <c r="J29">
        <v>70</v>
      </c>
      <c r="K29">
        <v>25</v>
      </c>
      <c r="L29">
        <v>30</v>
      </c>
      <c r="M29">
        <v>85</v>
      </c>
      <c r="N29">
        <v>52</v>
      </c>
      <c r="O29" t="s">
        <v>71</v>
      </c>
      <c r="P29" t="s">
        <v>23</v>
      </c>
    </row>
    <row r="30" spans="1:16" x14ac:dyDescent="0.3">
      <c r="A30" t="s">
        <v>106</v>
      </c>
      <c r="B30" t="s">
        <v>107</v>
      </c>
      <c r="C30" t="s">
        <v>1065</v>
      </c>
      <c r="D30" t="s">
        <v>1066</v>
      </c>
      <c r="E30" t="s">
        <v>110</v>
      </c>
      <c r="F30" t="s">
        <v>21</v>
      </c>
      <c r="G30">
        <v>0.92</v>
      </c>
      <c r="H30">
        <v>85</v>
      </c>
      <c r="I30">
        <v>70</v>
      </c>
      <c r="J30">
        <v>65</v>
      </c>
      <c r="K30">
        <v>45</v>
      </c>
      <c r="L30">
        <v>60</v>
      </c>
      <c r="M30">
        <v>90</v>
      </c>
      <c r="N30">
        <v>69</v>
      </c>
      <c r="O30" t="s">
        <v>28</v>
      </c>
      <c r="P30" t="s">
        <v>23</v>
      </c>
    </row>
    <row r="31" spans="1:16" x14ac:dyDescent="0.3">
      <c r="A31" t="s">
        <v>106</v>
      </c>
      <c r="B31" t="s">
        <v>107</v>
      </c>
      <c r="C31" t="s">
        <v>111</v>
      </c>
      <c r="D31" t="s">
        <v>1067</v>
      </c>
      <c r="E31" t="s">
        <v>110</v>
      </c>
      <c r="F31" t="s">
        <v>21</v>
      </c>
      <c r="G31">
        <v>0.85</v>
      </c>
      <c r="H31">
        <v>85</v>
      </c>
      <c r="I31">
        <v>90</v>
      </c>
      <c r="J31">
        <v>70</v>
      </c>
      <c r="K31">
        <v>65</v>
      </c>
      <c r="L31">
        <v>80</v>
      </c>
      <c r="M31">
        <v>70</v>
      </c>
      <c r="N31">
        <v>76</v>
      </c>
      <c r="O31" t="s">
        <v>22</v>
      </c>
      <c r="P31" t="s">
        <v>23</v>
      </c>
    </row>
    <row r="32" spans="1:16" x14ac:dyDescent="0.3">
      <c r="A32" t="s">
        <v>106</v>
      </c>
      <c r="B32" t="s">
        <v>107</v>
      </c>
      <c r="C32" t="s">
        <v>1068</v>
      </c>
      <c r="D32" t="s">
        <v>1069</v>
      </c>
      <c r="E32" t="s">
        <v>110</v>
      </c>
      <c r="F32" t="s">
        <v>21</v>
      </c>
      <c r="G32">
        <v>0.86</v>
      </c>
      <c r="H32">
        <v>75</v>
      </c>
      <c r="I32">
        <v>75</v>
      </c>
      <c r="J32">
        <v>75</v>
      </c>
      <c r="K32">
        <v>90</v>
      </c>
      <c r="L32">
        <v>75</v>
      </c>
      <c r="M32">
        <v>75</v>
      </c>
      <c r="N32">
        <v>77</v>
      </c>
      <c r="O32" t="s">
        <v>22</v>
      </c>
      <c r="P32" t="s">
        <v>23</v>
      </c>
    </row>
    <row r="33" spans="1:16" x14ac:dyDescent="0.3">
      <c r="A33" t="s">
        <v>106</v>
      </c>
      <c r="B33" t="s">
        <v>107</v>
      </c>
      <c r="C33" t="s">
        <v>1070</v>
      </c>
      <c r="D33" t="s">
        <v>1071</v>
      </c>
      <c r="E33" t="s">
        <v>1072</v>
      </c>
      <c r="F33" t="s">
        <v>21</v>
      </c>
      <c r="G33">
        <v>0.83</v>
      </c>
      <c r="H33">
        <v>75</v>
      </c>
      <c r="I33">
        <v>75</v>
      </c>
      <c r="J33">
        <v>75</v>
      </c>
      <c r="K33">
        <v>75</v>
      </c>
      <c r="L33">
        <v>75</v>
      </c>
      <c r="M33">
        <v>75</v>
      </c>
      <c r="N33">
        <v>75</v>
      </c>
      <c r="O33" t="s">
        <v>22</v>
      </c>
      <c r="P33" t="s">
        <v>23</v>
      </c>
    </row>
    <row r="34" spans="1:16" x14ac:dyDescent="0.3">
      <c r="A34" t="s">
        <v>117</v>
      </c>
      <c r="B34" t="s">
        <v>118</v>
      </c>
      <c r="C34" t="s">
        <v>1073</v>
      </c>
      <c r="D34" t="s">
        <v>1074</v>
      </c>
      <c r="E34" t="s">
        <v>45</v>
      </c>
      <c r="F34" t="s">
        <v>21</v>
      </c>
      <c r="G34">
        <v>0.9</v>
      </c>
      <c r="H34">
        <v>85</v>
      </c>
      <c r="I34">
        <v>70</v>
      </c>
      <c r="J34">
        <v>65</v>
      </c>
      <c r="K34">
        <v>90</v>
      </c>
      <c r="L34">
        <v>70</v>
      </c>
      <c r="M34">
        <v>60</v>
      </c>
      <c r="N34">
        <v>73</v>
      </c>
      <c r="O34" t="s">
        <v>28</v>
      </c>
      <c r="P34" t="s">
        <v>23</v>
      </c>
    </row>
    <row r="35" spans="1:16" x14ac:dyDescent="0.3">
      <c r="A35" t="s">
        <v>117</v>
      </c>
      <c r="B35" t="s">
        <v>118</v>
      </c>
      <c r="C35" t="s">
        <v>1075</v>
      </c>
      <c r="D35" t="s">
        <v>1076</v>
      </c>
      <c r="E35" t="s">
        <v>45</v>
      </c>
      <c r="F35" t="s">
        <v>21</v>
      </c>
      <c r="G35">
        <v>0.9</v>
      </c>
      <c r="H35">
        <v>95</v>
      </c>
      <c r="I35">
        <v>85</v>
      </c>
      <c r="J35">
        <v>75</v>
      </c>
      <c r="K35">
        <v>65</v>
      </c>
      <c r="L35">
        <v>90</v>
      </c>
      <c r="M35">
        <v>80</v>
      </c>
      <c r="N35">
        <v>81</v>
      </c>
      <c r="O35" t="s">
        <v>22</v>
      </c>
      <c r="P35" t="s">
        <v>23</v>
      </c>
    </row>
    <row r="36" spans="1:16" x14ac:dyDescent="0.3">
      <c r="A36" t="s">
        <v>117</v>
      </c>
      <c r="B36" t="s">
        <v>118</v>
      </c>
      <c r="C36" t="s">
        <v>1077</v>
      </c>
      <c r="D36" t="s">
        <v>1078</v>
      </c>
      <c r="E36" t="s">
        <v>45</v>
      </c>
      <c r="F36" t="s">
        <v>21</v>
      </c>
      <c r="G36">
        <v>0.87</v>
      </c>
      <c r="H36">
        <v>90</v>
      </c>
      <c r="I36">
        <v>85</v>
      </c>
      <c r="J36">
        <v>75</v>
      </c>
      <c r="K36">
        <v>60</v>
      </c>
      <c r="L36">
        <v>80</v>
      </c>
      <c r="M36">
        <v>85</v>
      </c>
      <c r="N36">
        <v>79</v>
      </c>
      <c r="O36" t="s">
        <v>22</v>
      </c>
      <c r="P36" t="s">
        <v>23</v>
      </c>
    </row>
    <row r="37" spans="1:16" x14ac:dyDescent="0.3">
      <c r="A37" t="s">
        <v>117</v>
      </c>
      <c r="B37" t="s">
        <v>118</v>
      </c>
      <c r="C37" t="s">
        <v>1079</v>
      </c>
      <c r="D37" t="s">
        <v>1080</v>
      </c>
      <c r="E37" t="s">
        <v>45</v>
      </c>
      <c r="F37" t="s">
        <v>21</v>
      </c>
      <c r="G37">
        <v>0.85</v>
      </c>
      <c r="H37">
        <v>75</v>
      </c>
      <c r="I37">
        <v>75</v>
      </c>
      <c r="J37">
        <v>75</v>
      </c>
      <c r="K37">
        <v>70</v>
      </c>
      <c r="L37">
        <v>75</v>
      </c>
      <c r="M37">
        <v>75</v>
      </c>
      <c r="N37">
        <v>74</v>
      </c>
      <c r="O37" t="s">
        <v>28</v>
      </c>
      <c r="P37" t="s">
        <v>23</v>
      </c>
    </row>
    <row r="38" spans="1:16" x14ac:dyDescent="0.3">
      <c r="A38" t="s">
        <v>127</v>
      </c>
      <c r="B38" t="s">
        <v>128</v>
      </c>
      <c r="C38" t="s">
        <v>1081</v>
      </c>
      <c r="D38" t="s">
        <v>1082</v>
      </c>
      <c r="E38" t="s">
        <v>1083</v>
      </c>
      <c r="F38" t="s">
        <v>21</v>
      </c>
      <c r="G38">
        <v>0.85</v>
      </c>
      <c r="H38">
        <v>85</v>
      </c>
      <c r="I38">
        <v>70</v>
      </c>
      <c r="J38">
        <v>60</v>
      </c>
      <c r="K38">
        <v>40</v>
      </c>
      <c r="L38">
        <v>75</v>
      </c>
      <c r="M38">
        <v>90</v>
      </c>
      <c r="N38">
        <v>70</v>
      </c>
      <c r="O38" t="s">
        <v>28</v>
      </c>
      <c r="P38" t="s">
        <v>23</v>
      </c>
    </row>
    <row r="39" spans="1:16" x14ac:dyDescent="0.3">
      <c r="A39" t="s">
        <v>127</v>
      </c>
      <c r="B39" t="s">
        <v>128</v>
      </c>
      <c r="C39" t="s">
        <v>129</v>
      </c>
      <c r="D39" t="s">
        <v>1084</v>
      </c>
      <c r="E39" t="s">
        <v>1083</v>
      </c>
      <c r="F39" t="s">
        <v>21</v>
      </c>
      <c r="G39">
        <v>0.82</v>
      </c>
      <c r="H39">
        <v>65</v>
      </c>
      <c r="I39">
        <v>70</v>
      </c>
      <c r="J39">
        <v>60</v>
      </c>
      <c r="K39">
        <v>30</v>
      </c>
      <c r="L39">
        <v>80</v>
      </c>
      <c r="M39">
        <v>40</v>
      </c>
      <c r="N39">
        <v>57</v>
      </c>
      <c r="O39" t="s">
        <v>71</v>
      </c>
      <c r="P39" t="s">
        <v>23</v>
      </c>
    </row>
    <row r="40" spans="1:16" x14ac:dyDescent="0.3">
      <c r="A40" t="s">
        <v>127</v>
      </c>
      <c r="B40" t="s">
        <v>128</v>
      </c>
      <c r="C40" t="s">
        <v>1085</v>
      </c>
      <c r="D40" t="s">
        <v>1086</v>
      </c>
      <c r="E40" t="s">
        <v>1083</v>
      </c>
      <c r="F40" t="s">
        <v>21</v>
      </c>
      <c r="G40">
        <v>0.9</v>
      </c>
      <c r="H40">
        <v>75</v>
      </c>
      <c r="I40">
        <v>75</v>
      </c>
      <c r="J40">
        <v>75</v>
      </c>
      <c r="K40">
        <v>75</v>
      </c>
      <c r="L40">
        <v>75</v>
      </c>
      <c r="M40">
        <v>75</v>
      </c>
      <c r="N40">
        <v>75</v>
      </c>
      <c r="O40" t="s">
        <v>22</v>
      </c>
      <c r="P40" t="s">
        <v>23</v>
      </c>
    </row>
    <row r="41" spans="1:16" x14ac:dyDescent="0.3">
      <c r="A41" t="s">
        <v>127</v>
      </c>
      <c r="B41" t="s">
        <v>128</v>
      </c>
      <c r="C41" t="s">
        <v>1087</v>
      </c>
      <c r="D41" t="s">
        <v>1088</v>
      </c>
      <c r="E41" t="s">
        <v>1083</v>
      </c>
      <c r="F41" t="s">
        <v>21</v>
      </c>
      <c r="G41">
        <v>0.9</v>
      </c>
      <c r="H41">
        <v>75</v>
      </c>
      <c r="I41">
        <v>75</v>
      </c>
      <c r="J41">
        <v>75</v>
      </c>
      <c r="K41">
        <v>90</v>
      </c>
      <c r="L41">
        <v>75</v>
      </c>
      <c r="M41">
        <v>75</v>
      </c>
      <c r="N41">
        <v>77</v>
      </c>
      <c r="O41" t="s">
        <v>22</v>
      </c>
      <c r="P41" t="s">
        <v>23</v>
      </c>
    </row>
    <row r="42" spans="1:16" x14ac:dyDescent="0.3">
      <c r="A42" t="s">
        <v>138</v>
      </c>
      <c r="B42" t="s">
        <v>139</v>
      </c>
      <c r="C42" t="s">
        <v>1089</v>
      </c>
      <c r="D42" t="s">
        <v>1090</v>
      </c>
      <c r="E42" t="s">
        <v>39</v>
      </c>
      <c r="F42" t="s">
        <v>21</v>
      </c>
      <c r="G42">
        <v>0.88</v>
      </c>
      <c r="H42">
        <v>75</v>
      </c>
      <c r="I42">
        <v>80</v>
      </c>
      <c r="J42">
        <v>60</v>
      </c>
      <c r="K42">
        <v>90</v>
      </c>
      <c r="L42">
        <v>85</v>
      </c>
      <c r="M42">
        <v>70</v>
      </c>
      <c r="N42">
        <v>76</v>
      </c>
      <c r="O42" t="s">
        <v>22</v>
      </c>
      <c r="P42" t="s">
        <v>23</v>
      </c>
    </row>
    <row r="43" spans="1:16" x14ac:dyDescent="0.3">
      <c r="A43" t="s">
        <v>138</v>
      </c>
      <c r="B43" t="s">
        <v>139</v>
      </c>
      <c r="C43" t="s">
        <v>1091</v>
      </c>
      <c r="D43" t="s">
        <v>1092</v>
      </c>
      <c r="E43" t="s">
        <v>39</v>
      </c>
      <c r="F43" t="s">
        <v>21</v>
      </c>
      <c r="G43">
        <v>0.85</v>
      </c>
      <c r="H43">
        <v>75</v>
      </c>
      <c r="I43">
        <v>75</v>
      </c>
      <c r="J43">
        <v>75</v>
      </c>
      <c r="K43">
        <v>75</v>
      </c>
      <c r="L43">
        <v>75</v>
      </c>
      <c r="M43">
        <v>75</v>
      </c>
      <c r="N43">
        <v>75</v>
      </c>
      <c r="O43" t="s">
        <v>22</v>
      </c>
      <c r="P43" t="s">
        <v>23</v>
      </c>
    </row>
    <row r="44" spans="1:16" x14ac:dyDescent="0.3">
      <c r="A44" t="s">
        <v>138</v>
      </c>
      <c r="B44" t="s">
        <v>139</v>
      </c>
      <c r="C44" t="s">
        <v>1093</v>
      </c>
      <c r="D44" t="s">
        <v>1094</v>
      </c>
      <c r="E44" t="s">
        <v>39</v>
      </c>
      <c r="F44" t="s">
        <v>21</v>
      </c>
      <c r="G44">
        <v>0.92</v>
      </c>
      <c r="H44">
        <v>75</v>
      </c>
      <c r="I44">
        <v>80</v>
      </c>
      <c r="J44">
        <v>65</v>
      </c>
      <c r="K44">
        <v>40</v>
      </c>
      <c r="L44">
        <v>70</v>
      </c>
      <c r="M44">
        <v>60</v>
      </c>
      <c r="N44">
        <v>65</v>
      </c>
      <c r="O44" t="s">
        <v>28</v>
      </c>
      <c r="P44" t="s">
        <v>23</v>
      </c>
    </row>
    <row r="45" spans="1:16" x14ac:dyDescent="0.3">
      <c r="A45" t="s">
        <v>138</v>
      </c>
      <c r="B45" t="s">
        <v>139</v>
      </c>
      <c r="C45" t="s">
        <v>1095</v>
      </c>
      <c r="D45" t="s">
        <v>1096</v>
      </c>
      <c r="E45" t="s">
        <v>39</v>
      </c>
      <c r="F45" t="s">
        <v>21</v>
      </c>
      <c r="G45">
        <v>0.9</v>
      </c>
      <c r="H45">
        <v>75</v>
      </c>
      <c r="I45">
        <v>80</v>
      </c>
      <c r="J45">
        <v>60</v>
      </c>
      <c r="K45">
        <v>40</v>
      </c>
      <c r="L45">
        <v>70</v>
      </c>
      <c r="M45">
        <v>70</v>
      </c>
      <c r="N45">
        <v>65</v>
      </c>
      <c r="O45" t="s">
        <v>28</v>
      </c>
      <c r="P45" t="s">
        <v>23</v>
      </c>
    </row>
    <row r="46" spans="1:16" x14ac:dyDescent="0.3">
      <c r="A46" t="s">
        <v>150</v>
      </c>
      <c r="B46" t="s">
        <v>151</v>
      </c>
      <c r="C46" t="s">
        <v>152</v>
      </c>
      <c r="D46" t="s">
        <v>1097</v>
      </c>
      <c r="E46" t="s">
        <v>154</v>
      </c>
      <c r="F46" t="s">
        <v>21</v>
      </c>
      <c r="G46">
        <v>0.92</v>
      </c>
      <c r="H46">
        <v>90</v>
      </c>
      <c r="I46">
        <v>85</v>
      </c>
      <c r="J46">
        <v>75</v>
      </c>
      <c r="K46">
        <v>60</v>
      </c>
      <c r="L46">
        <v>80</v>
      </c>
      <c r="M46">
        <v>95</v>
      </c>
      <c r="N46">
        <v>80</v>
      </c>
      <c r="O46" t="s">
        <v>22</v>
      </c>
      <c r="P46" t="s">
        <v>23</v>
      </c>
    </row>
    <row r="47" spans="1:16" x14ac:dyDescent="0.3">
      <c r="A47" t="s">
        <v>150</v>
      </c>
      <c r="B47" t="s">
        <v>151</v>
      </c>
      <c r="C47" t="s">
        <v>155</v>
      </c>
      <c r="D47" t="s">
        <v>1098</v>
      </c>
      <c r="E47" t="s">
        <v>154</v>
      </c>
      <c r="F47" t="s">
        <v>21</v>
      </c>
      <c r="G47">
        <v>0.88</v>
      </c>
      <c r="H47">
        <v>85</v>
      </c>
      <c r="I47">
        <v>90</v>
      </c>
      <c r="J47">
        <v>75</v>
      </c>
      <c r="K47">
        <v>60</v>
      </c>
      <c r="L47">
        <v>80</v>
      </c>
      <c r="M47">
        <v>80</v>
      </c>
      <c r="N47">
        <v>78</v>
      </c>
      <c r="O47" t="s">
        <v>22</v>
      </c>
      <c r="P47" t="s">
        <v>23</v>
      </c>
    </row>
    <row r="48" spans="1:16" x14ac:dyDescent="0.3">
      <c r="A48" t="s">
        <v>150</v>
      </c>
      <c r="B48" t="s">
        <v>151</v>
      </c>
      <c r="C48" t="s">
        <v>157</v>
      </c>
      <c r="D48" t="s">
        <v>1099</v>
      </c>
      <c r="E48" t="s">
        <v>154</v>
      </c>
      <c r="F48" t="s">
        <v>21</v>
      </c>
      <c r="G48">
        <v>0.92</v>
      </c>
      <c r="H48">
        <v>85</v>
      </c>
      <c r="I48">
        <v>90</v>
      </c>
      <c r="J48">
        <v>75</v>
      </c>
      <c r="K48">
        <v>60</v>
      </c>
      <c r="L48">
        <v>80</v>
      </c>
      <c r="M48">
        <v>70</v>
      </c>
      <c r="N48">
        <v>76</v>
      </c>
      <c r="O48" t="s">
        <v>22</v>
      </c>
      <c r="P48" t="s">
        <v>23</v>
      </c>
    </row>
    <row r="49" spans="1:16" x14ac:dyDescent="0.3">
      <c r="A49" t="s">
        <v>150</v>
      </c>
      <c r="B49" t="s">
        <v>151</v>
      </c>
      <c r="C49" t="s">
        <v>695</v>
      </c>
      <c r="D49" t="s">
        <v>1100</v>
      </c>
      <c r="E49" t="s">
        <v>154</v>
      </c>
      <c r="F49" t="s">
        <v>21</v>
      </c>
      <c r="G49">
        <v>0.87</v>
      </c>
      <c r="H49">
        <v>75</v>
      </c>
      <c r="I49">
        <v>75</v>
      </c>
      <c r="J49">
        <v>75</v>
      </c>
      <c r="K49">
        <v>75</v>
      </c>
      <c r="L49">
        <v>75</v>
      </c>
      <c r="M49">
        <v>75</v>
      </c>
      <c r="N49">
        <v>75</v>
      </c>
      <c r="O49" t="s">
        <v>22</v>
      </c>
      <c r="P49" t="s">
        <v>23</v>
      </c>
    </row>
    <row r="50" spans="1:16" x14ac:dyDescent="0.3">
      <c r="A50" t="s">
        <v>161</v>
      </c>
      <c r="B50" t="s">
        <v>162</v>
      </c>
      <c r="C50" t="s">
        <v>1101</v>
      </c>
      <c r="D50" t="s">
        <v>1102</v>
      </c>
      <c r="E50" t="s">
        <v>1103</v>
      </c>
      <c r="F50" t="s">
        <v>21</v>
      </c>
      <c r="G50">
        <v>0.95</v>
      </c>
      <c r="H50">
        <v>85</v>
      </c>
      <c r="I50">
        <v>70</v>
      </c>
      <c r="J50">
        <v>65</v>
      </c>
      <c r="K50">
        <v>90</v>
      </c>
      <c r="L50">
        <v>80</v>
      </c>
      <c r="M50">
        <v>95</v>
      </c>
      <c r="N50">
        <v>80</v>
      </c>
      <c r="O50" t="s">
        <v>22</v>
      </c>
      <c r="P50" t="s">
        <v>23</v>
      </c>
    </row>
    <row r="51" spans="1:16" x14ac:dyDescent="0.3">
      <c r="A51" t="s">
        <v>161</v>
      </c>
      <c r="B51" t="s">
        <v>162</v>
      </c>
      <c r="C51" t="s">
        <v>1104</v>
      </c>
      <c r="D51" t="s">
        <v>1105</v>
      </c>
      <c r="E51" t="s">
        <v>1103</v>
      </c>
      <c r="F51" t="s">
        <v>21</v>
      </c>
      <c r="G51">
        <v>0.92</v>
      </c>
      <c r="H51">
        <v>75</v>
      </c>
      <c r="I51">
        <v>80</v>
      </c>
      <c r="J51">
        <v>65</v>
      </c>
      <c r="K51">
        <v>80</v>
      </c>
      <c r="L51">
        <v>70</v>
      </c>
      <c r="M51">
        <v>90</v>
      </c>
      <c r="N51">
        <v>76</v>
      </c>
      <c r="O51" t="s">
        <v>22</v>
      </c>
      <c r="P51" t="s">
        <v>23</v>
      </c>
    </row>
    <row r="52" spans="1:16" x14ac:dyDescent="0.3">
      <c r="A52" t="s">
        <v>161</v>
      </c>
      <c r="B52" t="s">
        <v>162</v>
      </c>
      <c r="C52" t="s">
        <v>1106</v>
      </c>
      <c r="D52" t="s">
        <v>1107</v>
      </c>
      <c r="E52" t="s">
        <v>838</v>
      </c>
      <c r="F52" t="s">
        <v>21</v>
      </c>
      <c r="G52">
        <v>0.93</v>
      </c>
      <c r="H52">
        <v>75</v>
      </c>
      <c r="I52">
        <v>80</v>
      </c>
      <c r="J52">
        <v>65</v>
      </c>
      <c r="K52">
        <v>60</v>
      </c>
      <c r="L52">
        <v>70</v>
      </c>
      <c r="M52">
        <v>80</v>
      </c>
      <c r="N52">
        <v>71</v>
      </c>
      <c r="O52" t="s">
        <v>28</v>
      </c>
      <c r="P52" t="s">
        <v>23</v>
      </c>
    </row>
    <row r="53" spans="1:16" x14ac:dyDescent="0.3">
      <c r="A53" t="s">
        <v>161</v>
      </c>
      <c r="B53" t="s">
        <v>162</v>
      </c>
      <c r="C53" t="s">
        <v>1108</v>
      </c>
      <c r="D53" t="s">
        <v>1109</v>
      </c>
      <c r="E53" t="s">
        <v>1110</v>
      </c>
      <c r="F53" t="s">
        <v>21</v>
      </c>
      <c r="G53">
        <v>0.92</v>
      </c>
      <c r="H53">
        <v>85</v>
      </c>
      <c r="I53">
        <v>80</v>
      </c>
      <c r="J53">
        <v>75</v>
      </c>
      <c r="K53">
        <v>65</v>
      </c>
      <c r="L53">
        <v>90</v>
      </c>
      <c r="M53">
        <v>80</v>
      </c>
      <c r="N53">
        <v>79</v>
      </c>
      <c r="O53" t="s">
        <v>22</v>
      </c>
      <c r="P53" t="s">
        <v>23</v>
      </c>
    </row>
    <row r="54" spans="1:16" x14ac:dyDescent="0.3">
      <c r="A54" t="s">
        <v>174</v>
      </c>
      <c r="B54" t="s">
        <v>175</v>
      </c>
      <c r="C54" t="s">
        <v>1002</v>
      </c>
      <c r="D54" t="s">
        <v>1111</v>
      </c>
      <c r="E54" t="s">
        <v>50</v>
      </c>
      <c r="F54" t="s">
        <v>21</v>
      </c>
      <c r="G54">
        <v>0.85</v>
      </c>
      <c r="H54">
        <v>85</v>
      </c>
      <c r="I54">
        <v>70</v>
      </c>
      <c r="J54">
        <v>65</v>
      </c>
      <c r="K54">
        <v>40</v>
      </c>
      <c r="L54">
        <v>90</v>
      </c>
      <c r="M54">
        <v>60</v>
      </c>
      <c r="N54">
        <v>68</v>
      </c>
      <c r="O54" t="s">
        <v>28</v>
      </c>
      <c r="P54" t="s">
        <v>23</v>
      </c>
    </row>
    <row r="55" spans="1:16" x14ac:dyDescent="0.3">
      <c r="A55" t="s">
        <v>174</v>
      </c>
      <c r="B55" t="s">
        <v>175</v>
      </c>
      <c r="C55" t="s">
        <v>1112</v>
      </c>
      <c r="D55" t="s">
        <v>1113</v>
      </c>
      <c r="E55" t="s">
        <v>39</v>
      </c>
      <c r="F55" t="s">
        <v>21</v>
      </c>
      <c r="G55">
        <v>0.9</v>
      </c>
      <c r="H55">
        <v>75</v>
      </c>
      <c r="I55">
        <v>80</v>
      </c>
      <c r="J55">
        <v>60</v>
      </c>
      <c r="K55">
        <v>45</v>
      </c>
      <c r="L55">
        <v>90</v>
      </c>
      <c r="M55">
        <v>55</v>
      </c>
      <c r="N55">
        <v>67</v>
      </c>
      <c r="O55" t="s">
        <v>28</v>
      </c>
      <c r="P55" t="s">
        <v>23</v>
      </c>
    </row>
    <row r="56" spans="1:16" x14ac:dyDescent="0.3">
      <c r="A56" t="s">
        <v>174</v>
      </c>
      <c r="B56" t="s">
        <v>175</v>
      </c>
      <c r="C56" t="s">
        <v>1053</v>
      </c>
      <c r="D56" t="s">
        <v>1114</v>
      </c>
      <c r="E56" t="s">
        <v>610</v>
      </c>
      <c r="F56" t="s">
        <v>21</v>
      </c>
      <c r="G56">
        <v>0.92</v>
      </c>
      <c r="H56">
        <v>75</v>
      </c>
      <c r="I56">
        <v>75</v>
      </c>
      <c r="J56">
        <v>75</v>
      </c>
      <c r="K56">
        <v>70</v>
      </c>
      <c r="L56">
        <v>75</v>
      </c>
      <c r="M56">
        <v>75</v>
      </c>
      <c r="N56">
        <v>74</v>
      </c>
      <c r="O56" t="s">
        <v>28</v>
      </c>
      <c r="P56" t="s">
        <v>23</v>
      </c>
    </row>
    <row r="57" spans="1:16" x14ac:dyDescent="0.3">
      <c r="A57" t="s">
        <v>174</v>
      </c>
      <c r="B57" t="s">
        <v>175</v>
      </c>
      <c r="C57" t="s">
        <v>1115</v>
      </c>
      <c r="D57" t="s">
        <v>1116</v>
      </c>
      <c r="E57" t="s">
        <v>1117</v>
      </c>
      <c r="F57" t="s">
        <v>21</v>
      </c>
      <c r="G57">
        <v>0.88</v>
      </c>
      <c r="H57">
        <v>85</v>
      </c>
      <c r="I57">
        <v>70</v>
      </c>
      <c r="J57">
        <v>65</v>
      </c>
      <c r="K57">
        <v>40</v>
      </c>
      <c r="L57">
        <v>80</v>
      </c>
      <c r="M57">
        <v>90</v>
      </c>
      <c r="N57">
        <v>71</v>
      </c>
      <c r="O57" t="s">
        <v>28</v>
      </c>
      <c r="P57" t="s">
        <v>23</v>
      </c>
    </row>
    <row r="58" spans="1:16" x14ac:dyDescent="0.3">
      <c r="A58" t="s">
        <v>185</v>
      </c>
      <c r="B58" t="s">
        <v>186</v>
      </c>
      <c r="C58" t="s">
        <v>1118</v>
      </c>
      <c r="D58" t="s">
        <v>1119</v>
      </c>
      <c r="E58" t="s">
        <v>1120</v>
      </c>
      <c r="F58" t="s">
        <v>21</v>
      </c>
      <c r="G58">
        <v>0.88</v>
      </c>
      <c r="H58">
        <v>75</v>
      </c>
      <c r="I58">
        <v>80</v>
      </c>
      <c r="J58">
        <v>80</v>
      </c>
      <c r="K58">
        <v>40</v>
      </c>
      <c r="L58">
        <v>60</v>
      </c>
      <c r="M58">
        <v>70</v>
      </c>
      <c r="N58">
        <v>67</v>
      </c>
      <c r="O58" t="s">
        <v>28</v>
      </c>
      <c r="P58" t="s">
        <v>23</v>
      </c>
    </row>
    <row r="59" spans="1:16" x14ac:dyDescent="0.3">
      <c r="A59" t="s">
        <v>185</v>
      </c>
      <c r="B59" t="s">
        <v>186</v>
      </c>
      <c r="C59" t="s">
        <v>1121</v>
      </c>
      <c r="D59" t="s">
        <v>1122</v>
      </c>
      <c r="E59" t="s">
        <v>1123</v>
      </c>
      <c r="F59" t="s">
        <v>21</v>
      </c>
      <c r="G59">
        <v>0.93</v>
      </c>
      <c r="H59">
        <v>75</v>
      </c>
      <c r="I59">
        <v>80</v>
      </c>
      <c r="J59">
        <v>60</v>
      </c>
      <c r="K59">
        <v>40</v>
      </c>
      <c r="L59">
        <v>65</v>
      </c>
      <c r="M59">
        <v>60</v>
      </c>
      <c r="N59">
        <v>63</v>
      </c>
      <c r="O59" t="s">
        <v>28</v>
      </c>
      <c r="P59" t="s">
        <v>23</v>
      </c>
    </row>
    <row r="60" spans="1:16" x14ac:dyDescent="0.3">
      <c r="A60" t="s">
        <v>185</v>
      </c>
      <c r="B60" t="s">
        <v>186</v>
      </c>
      <c r="C60" t="s">
        <v>1124</v>
      </c>
      <c r="D60" t="s">
        <v>1125</v>
      </c>
      <c r="E60" t="s">
        <v>1126</v>
      </c>
      <c r="F60" t="s">
        <v>21</v>
      </c>
      <c r="G60">
        <v>0.92</v>
      </c>
      <c r="H60">
        <v>85</v>
      </c>
      <c r="I60">
        <v>75</v>
      </c>
      <c r="J60">
        <v>70</v>
      </c>
      <c r="K60">
        <v>60</v>
      </c>
      <c r="L60">
        <v>90</v>
      </c>
      <c r="M60">
        <v>80</v>
      </c>
      <c r="N60">
        <v>76</v>
      </c>
      <c r="O60" t="s">
        <v>22</v>
      </c>
      <c r="P60" t="s">
        <v>23</v>
      </c>
    </row>
    <row r="61" spans="1:16" x14ac:dyDescent="0.3">
      <c r="A61" t="s">
        <v>185</v>
      </c>
      <c r="B61" t="s">
        <v>186</v>
      </c>
      <c r="C61" t="s">
        <v>1127</v>
      </c>
      <c r="D61" t="s">
        <v>1128</v>
      </c>
      <c r="E61" t="s">
        <v>1126</v>
      </c>
      <c r="F61" t="s">
        <v>21</v>
      </c>
      <c r="G61">
        <v>0.95</v>
      </c>
      <c r="H61">
        <v>65</v>
      </c>
      <c r="I61">
        <v>70</v>
      </c>
      <c r="J61">
        <v>80</v>
      </c>
      <c r="K61">
        <v>40</v>
      </c>
      <c r="L61">
        <v>60</v>
      </c>
      <c r="M61">
        <v>85</v>
      </c>
      <c r="N61">
        <v>66</v>
      </c>
      <c r="O61" t="s">
        <v>28</v>
      </c>
      <c r="P61" t="s">
        <v>23</v>
      </c>
    </row>
    <row r="62" spans="1:16" x14ac:dyDescent="0.3">
      <c r="A62" t="s">
        <v>198</v>
      </c>
      <c r="B62" t="s">
        <v>199</v>
      </c>
      <c r="C62" t="s">
        <v>1129</v>
      </c>
      <c r="D62" t="s">
        <v>1130</v>
      </c>
      <c r="E62" t="s">
        <v>39</v>
      </c>
      <c r="F62" t="s">
        <v>21</v>
      </c>
      <c r="G62">
        <v>0.82</v>
      </c>
      <c r="H62">
        <v>75</v>
      </c>
      <c r="I62">
        <v>75</v>
      </c>
      <c r="J62">
        <v>75</v>
      </c>
      <c r="K62">
        <v>60</v>
      </c>
      <c r="L62">
        <v>75</v>
      </c>
      <c r="M62">
        <v>75</v>
      </c>
      <c r="N62">
        <v>72</v>
      </c>
      <c r="O62" t="s">
        <v>28</v>
      </c>
      <c r="P62" t="s">
        <v>23</v>
      </c>
    </row>
    <row r="63" spans="1:16" x14ac:dyDescent="0.3">
      <c r="A63" t="s">
        <v>198</v>
      </c>
      <c r="B63" t="s">
        <v>199</v>
      </c>
      <c r="C63" t="s">
        <v>203</v>
      </c>
      <c r="D63" t="s">
        <v>1131</v>
      </c>
      <c r="E63" t="s">
        <v>39</v>
      </c>
      <c r="F63" t="s">
        <v>51</v>
      </c>
      <c r="G63">
        <v>0.85</v>
      </c>
      <c r="H63">
        <v>35</v>
      </c>
      <c r="I63">
        <v>60</v>
      </c>
      <c r="J63">
        <v>70</v>
      </c>
      <c r="K63">
        <v>40</v>
      </c>
      <c r="L63">
        <v>50</v>
      </c>
      <c r="M63">
        <v>80</v>
      </c>
      <c r="N63">
        <v>55</v>
      </c>
      <c r="O63" t="s">
        <v>71</v>
      </c>
      <c r="P63" t="s">
        <v>23</v>
      </c>
    </row>
    <row r="64" spans="1:16" x14ac:dyDescent="0.3">
      <c r="A64" t="s">
        <v>198</v>
      </c>
      <c r="B64" t="s">
        <v>199</v>
      </c>
      <c r="C64" t="s">
        <v>727</v>
      </c>
      <c r="D64" t="s">
        <v>1132</v>
      </c>
      <c r="E64" t="s">
        <v>39</v>
      </c>
      <c r="F64" t="s">
        <v>21</v>
      </c>
      <c r="G64">
        <v>0.82</v>
      </c>
      <c r="H64">
        <v>85</v>
      </c>
      <c r="I64">
        <v>90</v>
      </c>
      <c r="J64">
        <v>80</v>
      </c>
      <c r="K64">
        <v>60</v>
      </c>
      <c r="L64">
        <v>75</v>
      </c>
      <c r="M64">
        <v>95</v>
      </c>
      <c r="N64">
        <v>80</v>
      </c>
      <c r="O64" t="s">
        <v>22</v>
      </c>
      <c r="P64" t="s">
        <v>23</v>
      </c>
    </row>
    <row r="65" spans="1:16" x14ac:dyDescent="0.3">
      <c r="A65" t="s">
        <v>198</v>
      </c>
      <c r="B65" t="s">
        <v>199</v>
      </c>
      <c r="C65" t="s">
        <v>205</v>
      </c>
      <c r="D65" t="s">
        <v>1133</v>
      </c>
      <c r="E65" t="s">
        <v>39</v>
      </c>
      <c r="F65" t="s">
        <v>21</v>
      </c>
      <c r="G65">
        <v>0.75</v>
      </c>
      <c r="H65">
        <v>85</v>
      </c>
      <c r="I65">
        <v>75</v>
      </c>
      <c r="J65">
        <v>60</v>
      </c>
      <c r="K65">
        <v>90</v>
      </c>
      <c r="L65">
        <v>80</v>
      </c>
      <c r="M65">
        <v>70</v>
      </c>
      <c r="N65">
        <v>76</v>
      </c>
      <c r="O65" t="s">
        <v>22</v>
      </c>
      <c r="P65" t="s">
        <v>23</v>
      </c>
    </row>
    <row r="66" spans="1:16" x14ac:dyDescent="0.3">
      <c r="A66" t="s">
        <v>209</v>
      </c>
      <c r="B66" t="s">
        <v>210</v>
      </c>
      <c r="C66" t="s">
        <v>1134</v>
      </c>
      <c r="D66" t="s">
        <v>1135</v>
      </c>
      <c r="E66" t="s">
        <v>1136</v>
      </c>
      <c r="F66" t="s">
        <v>21</v>
      </c>
      <c r="G66">
        <v>0.9</v>
      </c>
      <c r="H66">
        <v>95</v>
      </c>
      <c r="I66">
        <v>80</v>
      </c>
      <c r="J66">
        <v>70</v>
      </c>
      <c r="K66">
        <v>60</v>
      </c>
      <c r="L66">
        <v>75</v>
      </c>
      <c r="M66">
        <v>90</v>
      </c>
      <c r="N66">
        <v>78</v>
      </c>
      <c r="O66" t="s">
        <v>22</v>
      </c>
      <c r="P66" t="s">
        <v>23</v>
      </c>
    </row>
    <row r="67" spans="1:16" x14ac:dyDescent="0.3">
      <c r="A67" t="s">
        <v>209</v>
      </c>
      <c r="B67" t="s">
        <v>210</v>
      </c>
      <c r="C67" t="s">
        <v>217</v>
      </c>
      <c r="D67" t="s">
        <v>1137</v>
      </c>
      <c r="E67" t="s">
        <v>258</v>
      </c>
      <c r="F67" t="s">
        <v>21</v>
      </c>
      <c r="G67">
        <v>0.9</v>
      </c>
      <c r="H67">
        <v>75</v>
      </c>
      <c r="I67">
        <v>80</v>
      </c>
      <c r="J67">
        <v>70</v>
      </c>
      <c r="K67">
        <v>60</v>
      </c>
      <c r="L67">
        <v>70</v>
      </c>
      <c r="M67">
        <v>85</v>
      </c>
      <c r="N67">
        <v>73</v>
      </c>
      <c r="O67" t="s">
        <v>28</v>
      </c>
      <c r="P67" t="s">
        <v>23</v>
      </c>
    </row>
    <row r="68" spans="1:16" x14ac:dyDescent="0.3">
      <c r="A68" t="s">
        <v>209</v>
      </c>
      <c r="B68" t="s">
        <v>210</v>
      </c>
      <c r="C68" t="s">
        <v>1138</v>
      </c>
      <c r="D68" t="s">
        <v>1139</v>
      </c>
      <c r="E68" t="s">
        <v>1136</v>
      </c>
      <c r="F68" t="s">
        <v>21</v>
      </c>
      <c r="G68">
        <v>0.88</v>
      </c>
      <c r="H68">
        <v>85</v>
      </c>
      <c r="I68">
        <v>75</v>
      </c>
      <c r="J68">
        <v>60</v>
      </c>
      <c r="K68">
        <v>90</v>
      </c>
      <c r="L68">
        <v>80</v>
      </c>
      <c r="M68">
        <v>70</v>
      </c>
      <c r="N68">
        <v>76</v>
      </c>
      <c r="O68" t="s">
        <v>22</v>
      </c>
      <c r="P68" t="s">
        <v>23</v>
      </c>
    </row>
    <row r="69" spans="1:16" x14ac:dyDescent="0.3">
      <c r="A69" t="s">
        <v>209</v>
      </c>
      <c r="B69" t="s">
        <v>210</v>
      </c>
      <c r="C69" t="s">
        <v>1140</v>
      </c>
      <c r="D69" t="s">
        <v>1141</v>
      </c>
      <c r="E69" t="s">
        <v>253</v>
      </c>
      <c r="F69" t="s">
        <v>21</v>
      </c>
      <c r="G69">
        <v>0.9</v>
      </c>
      <c r="H69">
        <v>85</v>
      </c>
      <c r="I69">
        <v>75</v>
      </c>
      <c r="J69">
        <v>90</v>
      </c>
      <c r="K69">
        <v>60</v>
      </c>
      <c r="L69">
        <v>80</v>
      </c>
      <c r="M69">
        <v>80</v>
      </c>
      <c r="N69">
        <v>78</v>
      </c>
      <c r="O69" t="s">
        <v>22</v>
      </c>
      <c r="P69" t="s">
        <v>23</v>
      </c>
    </row>
    <row r="70" spans="1:16" x14ac:dyDescent="0.3">
      <c r="A70" t="s">
        <v>223</v>
      </c>
      <c r="B70" t="s">
        <v>224</v>
      </c>
      <c r="C70" t="s">
        <v>68</v>
      </c>
      <c r="D70" t="s">
        <v>1142</v>
      </c>
      <c r="E70" t="s">
        <v>1143</v>
      </c>
      <c r="F70" t="s">
        <v>21</v>
      </c>
      <c r="G70">
        <v>0.92</v>
      </c>
      <c r="H70">
        <v>30</v>
      </c>
      <c r="I70">
        <v>50</v>
      </c>
      <c r="J70">
        <v>60</v>
      </c>
      <c r="K70">
        <v>20</v>
      </c>
      <c r="L70">
        <v>80</v>
      </c>
      <c r="M70">
        <v>70</v>
      </c>
      <c r="N70">
        <v>51</v>
      </c>
      <c r="O70" t="s">
        <v>71</v>
      </c>
      <c r="P70" t="s">
        <v>23</v>
      </c>
    </row>
    <row r="71" spans="1:16" x14ac:dyDescent="0.3">
      <c r="A71" t="s">
        <v>223</v>
      </c>
      <c r="B71" t="s">
        <v>224</v>
      </c>
      <c r="C71" t="s">
        <v>711</v>
      </c>
      <c r="D71" t="s">
        <v>1144</v>
      </c>
      <c r="E71" t="s">
        <v>1145</v>
      </c>
      <c r="F71" t="s">
        <v>21</v>
      </c>
      <c r="G71">
        <v>0.92</v>
      </c>
      <c r="H71">
        <v>45</v>
      </c>
      <c r="I71">
        <v>60</v>
      </c>
      <c r="J71">
        <v>70</v>
      </c>
      <c r="K71">
        <v>20</v>
      </c>
      <c r="L71">
        <v>30</v>
      </c>
      <c r="M71">
        <v>80</v>
      </c>
      <c r="N71">
        <v>50</v>
      </c>
      <c r="O71" t="s">
        <v>71</v>
      </c>
      <c r="P71" t="s">
        <v>23</v>
      </c>
    </row>
    <row r="72" spans="1:16" x14ac:dyDescent="0.3">
      <c r="A72" t="s">
        <v>223</v>
      </c>
      <c r="B72" t="s">
        <v>224</v>
      </c>
      <c r="C72" t="s">
        <v>1146</v>
      </c>
      <c r="D72" t="s">
        <v>1147</v>
      </c>
      <c r="E72" t="s">
        <v>1148</v>
      </c>
      <c r="F72" t="s">
        <v>21</v>
      </c>
      <c r="G72">
        <v>0.93</v>
      </c>
      <c r="H72">
        <v>65</v>
      </c>
      <c r="I72">
        <v>70</v>
      </c>
      <c r="J72">
        <v>70</v>
      </c>
      <c r="K72">
        <v>30</v>
      </c>
      <c r="L72">
        <v>80</v>
      </c>
      <c r="M72">
        <v>40</v>
      </c>
      <c r="N72">
        <v>59</v>
      </c>
      <c r="O72" t="s">
        <v>71</v>
      </c>
      <c r="P72" t="s">
        <v>23</v>
      </c>
    </row>
    <row r="73" spans="1:16" x14ac:dyDescent="0.3">
      <c r="A73" t="s">
        <v>223</v>
      </c>
      <c r="B73" t="s">
        <v>224</v>
      </c>
      <c r="C73" t="s">
        <v>225</v>
      </c>
      <c r="D73" t="s">
        <v>1149</v>
      </c>
      <c r="E73" t="s">
        <v>1150</v>
      </c>
      <c r="F73" t="s">
        <v>21</v>
      </c>
      <c r="G73">
        <v>0.9</v>
      </c>
      <c r="H73">
        <v>30</v>
      </c>
      <c r="I73">
        <v>60</v>
      </c>
      <c r="J73">
        <v>75</v>
      </c>
      <c r="K73">
        <v>20</v>
      </c>
      <c r="L73">
        <v>80</v>
      </c>
      <c r="M73">
        <v>40</v>
      </c>
      <c r="N73">
        <v>50</v>
      </c>
      <c r="O73" t="s">
        <v>71</v>
      </c>
      <c r="P73" t="s">
        <v>23</v>
      </c>
    </row>
    <row r="74" spans="1:16" x14ac:dyDescent="0.3">
      <c r="A74" t="s">
        <v>235</v>
      </c>
      <c r="B74" t="s">
        <v>236</v>
      </c>
      <c r="C74" t="s">
        <v>1151</v>
      </c>
      <c r="D74" t="s">
        <v>1152</v>
      </c>
      <c r="E74" t="s">
        <v>1153</v>
      </c>
      <c r="F74" t="s">
        <v>21</v>
      </c>
      <c r="G74">
        <v>0.93</v>
      </c>
      <c r="H74">
        <v>75</v>
      </c>
      <c r="I74">
        <v>75</v>
      </c>
      <c r="J74">
        <v>75</v>
      </c>
      <c r="K74">
        <v>75</v>
      </c>
      <c r="L74">
        <v>75</v>
      </c>
      <c r="M74">
        <v>75</v>
      </c>
      <c r="N74">
        <v>75</v>
      </c>
      <c r="O74" t="s">
        <v>22</v>
      </c>
      <c r="P74" t="s">
        <v>23</v>
      </c>
    </row>
    <row r="75" spans="1:16" x14ac:dyDescent="0.3">
      <c r="A75" t="s">
        <v>235</v>
      </c>
      <c r="B75" t="s">
        <v>236</v>
      </c>
      <c r="C75" t="s">
        <v>1154</v>
      </c>
      <c r="D75" t="s">
        <v>1155</v>
      </c>
      <c r="E75" t="s">
        <v>1156</v>
      </c>
      <c r="F75" t="s">
        <v>21</v>
      </c>
      <c r="G75">
        <v>0.9</v>
      </c>
      <c r="H75">
        <v>75</v>
      </c>
      <c r="I75">
        <v>75</v>
      </c>
      <c r="J75">
        <v>75</v>
      </c>
      <c r="K75">
        <v>75</v>
      </c>
      <c r="L75">
        <v>75</v>
      </c>
      <c r="M75">
        <v>75</v>
      </c>
      <c r="N75">
        <v>75</v>
      </c>
      <c r="O75" t="s">
        <v>22</v>
      </c>
      <c r="P75" t="s">
        <v>23</v>
      </c>
    </row>
    <row r="76" spans="1:16" x14ac:dyDescent="0.3">
      <c r="A76" t="s">
        <v>235</v>
      </c>
      <c r="B76" t="s">
        <v>236</v>
      </c>
      <c r="C76" t="s">
        <v>1157</v>
      </c>
      <c r="D76" t="s">
        <v>1158</v>
      </c>
      <c r="E76" t="s">
        <v>1159</v>
      </c>
      <c r="F76" t="s">
        <v>21</v>
      </c>
      <c r="G76">
        <v>0.92</v>
      </c>
      <c r="H76">
        <v>85</v>
      </c>
      <c r="I76">
        <v>80</v>
      </c>
      <c r="J76">
        <v>75</v>
      </c>
      <c r="K76">
        <v>90</v>
      </c>
      <c r="L76">
        <v>70</v>
      </c>
      <c r="M76">
        <v>80</v>
      </c>
      <c r="N76">
        <v>80</v>
      </c>
      <c r="O76" t="s">
        <v>22</v>
      </c>
      <c r="P76" t="s">
        <v>23</v>
      </c>
    </row>
    <row r="77" spans="1:16" x14ac:dyDescent="0.3">
      <c r="A77" t="s">
        <v>235</v>
      </c>
      <c r="B77" t="s">
        <v>236</v>
      </c>
      <c r="C77" t="s">
        <v>1160</v>
      </c>
      <c r="D77" t="s">
        <v>1161</v>
      </c>
      <c r="E77" t="s">
        <v>1162</v>
      </c>
      <c r="F77" t="s">
        <v>21</v>
      </c>
      <c r="G77">
        <v>0.92</v>
      </c>
      <c r="H77">
        <v>75</v>
      </c>
      <c r="I77">
        <v>75</v>
      </c>
      <c r="J77">
        <v>75</v>
      </c>
      <c r="K77">
        <v>75</v>
      </c>
      <c r="L77">
        <v>75</v>
      </c>
      <c r="M77">
        <v>75</v>
      </c>
      <c r="N77">
        <v>75</v>
      </c>
      <c r="O77" t="s">
        <v>22</v>
      </c>
      <c r="P77" t="s">
        <v>23</v>
      </c>
    </row>
    <row r="78" spans="1:16" x14ac:dyDescent="0.3">
      <c r="A78" t="s">
        <v>249</v>
      </c>
      <c r="B78" t="s">
        <v>250</v>
      </c>
      <c r="C78" t="s">
        <v>1163</v>
      </c>
      <c r="D78" t="s">
        <v>1164</v>
      </c>
      <c r="E78" t="s">
        <v>838</v>
      </c>
      <c r="F78" t="s">
        <v>21</v>
      </c>
      <c r="G78">
        <v>0.9</v>
      </c>
      <c r="H78">
        <v>85</v>
      </c>
      <c r="I78">
        <v>75</v>
      </c>
      <c r="J78">
        <v>90</v>
      </c>
      <c r="K78">
        <v>60</v>
      </c>
      <c r="L78">
        <v>80</v>
      </c>
      <c r="M78">
        <v>70</v>
      </c>
      <c r="N78">
        <v>76</v>
      </c>
      <c r="O78" t="s">
        <v>22</v>
      </c>
      <c r="P78" t="s">
        <v>23</v>
      </c>
    </row>
    <row r="79" spans="1:16" x14ac:dyDescent="0.3">
      <c r="A79" t="s">
        <v>249</v>
      </c>
      <c r="B79" t="s">
        <v>250</v>
      </c>
      <c r="C79" t="s">
        <v>1165</v>
      </c>
      <c r="D79" t="s">
        <v>1166</v>
      </c>
      <c r="E79" t="s">
        <v>1167</v>
      </c>
      <c r="F79" t="s">
        <v>21</v>
      </c>
      <c r="G79">
        <v>0.9</v>
      </c>
      <c r="H79">
        <v>75</v>
      </c>
      <c r="I79">
        <v>75</v>
      </c>
      <c r="J79">
        <v>75</v>
      </c>
      <c r="K79">
        <v>75</v>
      </c>
      <c r="L79">
        <v>75</v>
      </c>
      <c r="M79">
        <v>75</v>
      </c>
      <c r="N79">
        <v>75</v>
      </c>
      <c r="O79" t="s">
        <v>22</v>
      </c>
      <c r="P79" t="s">
        <v>23</v>
      </c>
    </row>
    <row r="80" spans="1:16" x14ac:dyDescent="0.3">
      <c r="A80" t="s">
        <v>249</v>
      </c>
      <c r="B80" t="s">
        <v>250</v>
      </c>
      <c r="C80" t="s">
        <v>1168</v>
      </c>
      <c r="D80" t="s">
        <v>1169</v>
      </c>
      <c r="E80" t="s">
        <v>1170</v>
      </c>
      <c r="F80" t="s">
        <v>21</v>
      </c>
      <c r="G80">
        <v>0.95</v>
      </c>
      <c r="H80">
        <v>85</v>
      </c>
      <c r="I80">
        <v>75</v>
      </c>
      <c r="J80">
        <v>80</v>
      </c>
      <c r="K80">
        <v>60</v>
      </c>
      <c r="L80">
        <v>70</v>
      </c>
      <c r="M80">
        <v>90</v>
      </c>
      <c r="N80">
        <v>76</v>
      </c>
      <c r="O80" t="s">
        <v>22</v>
      </c>
      <c r="P80" t="s">
        <v>23</v>
      </c>
    </row>
    <row r="81" spans="1:16" x14ac:dyDescent="0.3">
      <c r="A81" t="s">
        <v>249</v>
      </c>
      <c r="B81" t="s">
        <v>250</v>
      </c>
      <c r="C81" t="s">
        <v>1171</v>
      </c>
      <c r="D81" t="s">
        <v>1172</v>
      </c>
      <c r="E81" t="s">
        <v>1173</v>
      </c>
      <c r="F81" t="s">
        <v>21</v>
      </c>
      <c r="G81">
        <v>0.93</v>
      </c>
      <c r="H81">
        <v>85</v>
      </c>
      <c r="I81">
        <v>90</v>
      </c>
      <c r="J81">
        <v>75</v>
      </c>
      <c r="K81">
        <v>80</v>
      </c>
      <c r="L81">
        <v>90</v>
      </c>
      <c r="M81">
        <v>80</v>
      </c>
      <c r="N81">
        <v>83</v>
      </c>
      <c r="O81" t="s">
        <v>22</v>
      </c>
      <c r="P81" t="s">
        <v>23</v>
      </c>
    </row>
    <row r="82" spans="1:16" x14ac:dyDescent="0.3">
      <c r="A82" t="s">
        <v>261</v>
      </c>
      <c r="B82" t="s">
        <v>262</v>
      </c>
      <c r="C82" t="s">
        <v>1174</v>
      </c>
      <c r="D82" t="s">
        <v>1175</v>
      </c>
      <c r="E82" t="s">
        <v>1176</v>
      </c>
      <c r="F82" t="s">
        <v>21</v>
      </c>
      <c r="G82">
        <v>0.85</v>
      </c>
      <c r="H82">
        <v>60</v>
      </c>
      <c r="I82">
        <v>70</v>
      </c>
      <c r="J82">
        <v>85</v>
      </c>
      <c r="K82">
        <v>30</v>
      </c>
      <c r="L82">
        <v>45</v>
      </c>
      <c r="M82">
        <v>80</v>
      </c>
      <c r="N82">
        <v>61</v>
      </c>
      <c r="O82" t="s">
        <v>28</v>
      </c>
      <c r="P82" t="s">
        <v>23</v>
      </c>
    </row>
    <row r="83" spans="1:16" x14ac:dyDescent="0.3">
      <c r="A83" t="s">
        <v>261</v>
      </c>
      <c r="B83" t="s">
        <v>262</v>
      </c>
      <c r="C83" t="s">
        <v>1177</v>
      </c>
      <c r="D83" t="s">
        <v>1178</v>
      </c>
      <c r="E83" t="s">
        <v>1176</v>
      </c>
      <c r="F83" t="s">
        <v>21</v>
      </c>
      <c r="G83">
        <v>0.85</v>
      </c>
      <c r="H83">
        <v>75</v>
      </c>
      <c r="I83">
        <v>75</v>
      </c>
      <c r="J83">
        <v>75</v>
      </c>
      <c r="K83">
        <v>95</v>
      </c>
      <c r="L83">
        <v>75</v>
      </c>
      <c r="M83">
        <v>75</v>
      </c>
      <c r="N83">
        <v>78</v>
      </c>
      <c r="O83" t="s">
        <v>22</v>
      </c>
      <c r="P83" t="s">
        <v>23</v>
      </c>
    </row>
    <row r="84" spans="1:16" x14ac:dyDescent="0.3">
      <c r="A84" t="s">
        <v>261</v>
      </c>
      <c r="B84" t="s">
        <v>262</v>
      </c>
      <c r="C84" t="s">
        <v>1179</v>
      </c>
      <c r="D84" t="s">
        <v>1180</v>
      </c>
      <c r="E84" t="s">
        <v>1176</v>
      </c>
      <c r="F84" t="s">
        <v>21</v>
      </c>
      <c r="G84">
        <v>0.86</v>
      </c>
      <c r="H84">
        <v>75</v>
      </c>
      <c r="I84">
        <v>75</v>
      </c>
      <c r="J84">
        <v>75</v>
      </c>
      <c r="K84">
        <v>75</v>
      </c>
      <c r="L84">
        <v>75</v>
      </c>
      <c r="M84">
        <v>75</v>
      </c>
      <c r="N84">
        <v>75</v>
      </c>
      <c r="O84" t="s">
        <v>22</v>
      </c>
      <c r="P84" t="s">
        <v>23</v>
      </c>
    </row>
    <row r="85" spans="1:16" x14ac:dyDescent="0.3">
      <c r="A85" t="s">
        <v>261</v>
      </c>
      <c r="B85" t="s">
        <v>262</v>
      </c>
      <c r="C85" t="s">
        <v>1181</v>
      </c>
      <c r="D85" t="s">
        <v>1182</v>
      </c>
      <c r="E85" t="s">
        <v>1176</v>
      </c>
      <c r="F85" t="s">
        <v>21</v>
      </c>
      <c r="G85">
        <v>0.9</v>
      </c>
      <c r="H85">
        <v>75</v>
      </c>
      <c r="I85">
        <v>75</v>
      </c>
      <c r="J85">
        <v>75</v>
      </c>
      <c r="K85">
        <v>20</v>
      </c>
      <c r="L85">
        <v>75</v>
      </c>
      <c r="M85">
        <v>75</v>
      </c>
      <c r="N85">
        <v>65</v>
      </c>
      <c r="O85" t="s">
        <v>28</v>
      </c>
      <c r="P85" t="s">
        <v>23</v>
      </c>
    </row>
    <row r="86" spans="1:16" x14ac:dyDescent="0.3">
      <c r="A86" t="s">
        <v>272</v>
      </c>
      <c r="B86" t="s">
        <v>273</v>
      </c>
      <c r="C86" t="s">
        <v>1183</v>
      </c>
      <c r="D86" t="s">
        <v>1184</v>
      </c>
      <c r="E86" t="s">
        <v>1185</v>
      </c>
      <c r="F86" t="s">
        <v>21</v>
      </c>
      <c r="G86">
        <v>0.85</v>
      </c>
      <c r="H86">
        <v>75</v>
      </c>
      <c r="I86">
        <v>80</v>
      </c>
      <c r="J86">
        <v>60</v>
      </c>
      <c r="K86">
        <v>40</v>
      </c>
      <c r="L86">
        <v>65</v>
      </c>
      <c r="M86">
        <v>60</v>
      </c>
      <c r="N86">
        <v>63</v>
      </c>
      <c r="O86" t="s">
        <v>28</v>
      </c>
      <c r="P86" t="s">
        <v>23</v>
      </c>
    </row>
    <row r="87" spans="1:16" x14ac:dyDescent="0.3">
      <c r="A87" t="s">
        <v>272</v>
      </c>
      <c r="B87" t="s">
        <v>273</v>
      </c>
      <c r="C87" t="s">
        <v>1186</v>
      </c>
      <c r="D87" t="s">
        <v>1187</v>
      </c>
      <c r="E87" t="s">
        <v>1185</v>
      </c>
      <c r="F87" t="s">
        <v>21</v>
      </c>
      <c r="G87">
        <v>0.78</v>
      </c>
      <c r="H87">
        <v>75</v>
      </c>
      <c r="I87">
        <v>80</v>
      </c>
      <c r="J87">
        <v>82</v>
      </c>
      <c r="K87">
        <v>60</v>
      </c>
      <c r="L87">
        <v>90</v>
      </c>
      <c r="M87">
        <v>70</v>
      </c>
      <c r="N87">
        <v>76</v>
      </c>
      <c r="O87" t="s">
        <v>22</v>
      </c>
      <c r="P87" t="s">
        <v>23</v>
      </c>
    </row>
    <row r="88" spans="1:16" x14ac:dyDescent="0.3">
      <c r="A88" t="s">
        <v>272</v>
      </c>
      <c r="B88" t="s">
        <v>273</v>
      </c>
      <c r="C88" t="s">
        <v>279</v>
      </c>
      <c r="D88" t="s">
        <v>1188</v>
      </c>
      <c r="E88" t="s">
        <v>1185</v>
      </c>
      <c r="F88" t="s">
        <v>21</v>
      </c>
      <c r="G88">
        <v>0.9</v>
      </c>
      <c r="H88">
        <v>85</v>
      </c>
      <c r="I88">
        <v>90</v>
      </c>
      <c r="J88">
        <v>75</v>
      </c>
      <c r="K88">
        <v>60</v>
      </c>
      <c r="L88">
        <v>80</v>
      </c>
      <c r="M88">
        <v>65</v>
      </c>
      <c r="N88">
        <v>75</v>
      </c>
      <c r="O88" t="s">
        <v>22</v>
      </c>
      <c r="P88" t="s">
        <v>23</v>
      </c>
    </row>
    <row r="89" spans="1:16" x14ac:dyDescent="0.3">
      <c r="A89" t="s">
        <v>272</v>
      </c>
      <c r="B89" t="s">
        <v>273</v>
      </c>
      <c r="C89" t="s">
        <v>1189</v>
      </c>
      <c r="D89" t="s">
        <v>1190</v>
      </c>
      <c r="E89" t="s">
        <v>1185</v>
      </c>
      <c r="F89" t="s">
        <v>21</v>
      </c>
      <c r="G89">
        <v>0.88</v>
      </c>
      <c r="H89">
        <v>85</v>
      </c>
      <c r="I89">
        <v>90</v>
      </c>
      <c r="J89">
        <v>80</v>
      </c>
      <c r="K89">
        <v>65</v>
      </c>
      <c r="L89">
        <v>70</v>
      </c>
      <c r="M89">
        <v>95</v>
      </c>
      <c r="N89">
        <v>80</v>
      </c>
      <c r="O89" t="s">
        <v>22</v>
      </c>
      <c r="P89" t="s">
        <v>23</v>
      </c>
    </row>
    <row r="90" spans="1:16" x14ac:dyDescent="0.3">
      <c r="A90" t="s">
        <v>283</v>
      </c>
      <c r="B90" t="s">
        <v>284</v>
      </c>
      <c r="C90" t="s">
        <v>1191</v>
      </c>
      <c r="D90" t="s">
        <v>1192</v>
      </c>
      <c r="E90" t="s">
        <v>1193</v>
      </c>
      <c r="F90" t="s">
        <v>21</v>
      </c>
      <c r="G90">
        <v>0.85</v>
      </c>
      <c r="H90">
        <v>85</v>
      </c>
      <c r="I90">
        <v>75</v>
      </c>
      <c r="J90">
        <v>80</v>
      </c>
      <c r="K90">
        <v>60</v>
      </c>
      <c r="L90">
        <v>80</v>
      </c>
      <c r="M90">
        <v>90</v>
      </c>
      <c r="N90">
        <v>78</v>
      </c>
      <c r="O90" t="s">
        <v>22</v>
      </c>
      <c r="P90" t="s">
        <v>23</v>
      </c>
    </row>
    <row r="91" spans="1:16" x14ac:dyDescent="0.3">
      <c r="A91" t="s">
        <v>283</v>
      </c>
      <c r="B91" t="s">
        <v>284</v>
      </c>
      <c r="C91" t="s">
        <v>1194</v>
      </c>
      <c r="D91" t="s">
        <v>1195</v>
      </c>
      <c r="E91" t="s">
        <v>1193</v>
      </c>
      <c r="F91" t="s">
        <v>21</v>
      </c>
      <c r="G91">
        <v>0.92</v>
      </c>
      <c r="H91">
        <v>85</v>
      </c>
      <c r="I91">
        <v>90</v>
      </c>
      <c r="J91">
        <v>70</v>
      </c>
      <c r="K91">
        <v>30</v>
      </c>
      <c r="L91">
        <v>80</v>
      </c>
      <c r="M91">
        <v>60</v>
      </c>
      <c r="N91">
        <v>69</v>
      </c>
      <c r="O91" t="s">
        <v>28</v>
      </c>
      <c r="P91" t="s">
        <v>23</v>
      </c>
    </row>
    <row r="92" spans="1:16" x14ac:dyDescent="0.3">
      <c r="A92" t="s">
        <v>283</v>
      </c>
      <c r="B92" t="s">
        <v>284</v>
      </c>
      <c r="C92" t="s">
        <v>290</v>
      </c>
      <c r="D92" t="s">
        <v>1196</v>
      </c>
      <c r="E92" t="s">
        <v>1193</v>
      </c>
      <c r="F92" t="s">
        <v>21</v>
      </c>
      <c r="G92">
        <v>0.7</v>
      </c>
      <c r="H92">
        <v>50</v>
      </c>
      <c r="I92">
        <v>60</v>
      </c>
      <c r="J92">
        <v>70</v>
      </c>
      <c r="K92">
        <v>20</v>
      </c>
      <c r="L92">
        <v>40</v>
      </c>
      <c r="M92">
        <v>80</v>
      </c>
      <c r="N92">
        <v>53</v>
      </c>
      <c r="O92" t="s">
        <v>71</v>
      </c>
      <c r="P92" t="s">
        <v>23</v>
      </c>
    </row>
    <row r="93" spans="1:16" x14ac:dyDescent="0.3">
      <c r="A93" t="s">
        <v>283</v>
      </c>
      <c r="B93" t="s">
        <v>284</v>
      </c>
      <c r="C93" t="s">
        <v>1197</v>
      </c>
      <c r="D93" t="s">
        <v>1198</v>
      </c>
      <c r="E93" t="s">
        <v>1193</v>
      </c>
      <c r="F93" t="s">
        <v>51</v>
      </c>
      <c r="G93">
        <v>0.88</v>
      </c>
      <c r="H93">
        <v>75</v>
      </c>
      <c r="I93">
        <v>75</v>
      </c>
      <c r="J93">
        <v>75</v>
      </c>
      <c r="K93">
        <v>75</v>
      </c>
      <c r="L93">
        <v>75</v>
      </c>
      <c r="M93">
        <v>75</v>
      </c>
      <c r="N93">
        <v>75</v>
      </c>
      <c r="O93" t="s">
        <v>22</v>
      </c>
      <c r="P93" t="s">
        <v>23</v>
      </c>
    </row>
    <row r="94" spans="1:16" x14ac:dyDescent="0.3">
      <c r="A94" t="s">
        <v>294</v>
      </c>
      <c r="B94" t="s">
        <v>295</v>
      </c>
      <c r="C94" t="s">
        <v>1199</v>
      </c>
      <c r="D94" t="s">
        <v>1200</v>
      </c>
      <c r="E94" t="s">
        <v>1036</v>
      </c>
      <c r="F94" t="s">
        <v>21</v>
      </c>
      <c r="G94">
        <v>0.78</v>
      </c>
      <c r="H94">
        <v>85</v>
      </c>
      <c r="I94">
        <v>90</v>
      </c>
      <c r="J94">
        <v>75</v>
      </c>
      <c r="K94">
        <v>60</v>
      </c>
      <c r="L94">
        <v>80</v>
      </c>
      <c r="M94">
        <v>80</v>
      </c>
      <c r="N94">
        <v>78</v>
      </c>
      <c r="O94" t="s">
        <v>22</v>
      </c>
      <c r="P94" t="s">
        <v>23</v>
      </c>
    </row>
    <row r="95" spans="1:16" x14ac:dyDescent="0.3">
      <c r="A95" t="s">
        <v>294</v>
      </c>
      <c r="B95" t="s">
        <v>295</v>
      </c>
      <c r="C95" t="s">
        <v>1201</v>
      </c>
      <c r="D95" t="s">
        <v>1202</v>
      </c>
      <c r="E95" t="s">
        <v>1036</v>
      </c>
      <c r="F95" t="s">
        <v>21</v>
      </c>
      <c r="G95">
        <v>0.93</v>
      </c>
      <c r="H95">
        <v>45</v>
      </c>
      <c r="I95">
        <v>60</v>
      </c>
      <c r="J95">
        <v>70</v>
      </c>
      <c r="K95">
        <v>25</v>
      </c>
      <c r="L95">
        <v>30</v>
      </c>
      <c r="M95">
        <v>80</v>
      </c>
      <c r="N95">
        <v>51</v>
      </c>
      <c r="O95" t="s">
        <v>71</v>
      </c>
      <c r="P95" t="s">
        <v>23</v>
      </c>
    </row>
    <row r="96" spans="1:16" x14ac:dyDescent="0.3">
      <c r="A96" t="s">
        <v>294</v>
      </c>
      <c r="B96" t="s">
        <v>295</v>
      </c>
      <c r="C96" t="s">
        <v>1203</v>
      </c>
      <c r="D96" t="s">
        <v>1204</v>
      </c>
      <c r="E96" t="s">
        <v>1036</v>
      </c>
      <c r="F96" t="s">
        <v>21</v>
      </c>
      <c r="G96">
        <v>0.88</v>
      </c>
      <c r="H96">
        <v>75</v>
      </c>
      <c r="I96">
        <v>75</v>
      </c>
      <c r="J96">
        <v>75</v>
      </c>
      <c r="K96">
        <v>80</v>
      </c>
      <c r="L96">
        <v>75</v>
      </c>
      <c r="M96">
        <v>75</v>
      </c>
      <c r="N96">
        <v>75</v>
      </c>
      <c r="O96" t="s">
        <v>22</v>
      </c>
      <c r="P96" t="s">
        <v>23</v>
      </c>
    </row>
    <row r="97" spans="1:16" x14ac:dyDescent="0.3">
      <c r="A97" t="s">
        <v>294</v>
      </c>
      <c r="B97" t="s">
        <v>295</v>
      </c>
      <c r="C97" t="s">
        <v>1205</v>
      </c>
      <c r="D97" t="s">
        <v>1206</v>
      </c>
      <c r="E97" t="s">
        <v>1036</v>
      </c>
      <c r="F97" t="s">
        <v>21</v>
      </c>
      <c r="G97">
        <v>0.87</v>
      </c>
      <c r="H97">
        <v>75</v>
      </c>
      <c r="I97">
        <v>75</v>
      </c>
      <c r="J97">
        <v>75</v>
      </c>
      <c r="K97">
        <v>65</v>
      </c>
      <c r="L97">
        <v>75</v>
      </c>
      <c r="M97">
        <v>75</v>
      </c>
      <c r="N97">
        <v>73</v>
      </c>
      <c r="O97" t="s">
        <v>28</v>
      </c>
      <c r="P97" t="s">
        <v>23</v>
      </c>
    </row>
    <row r="98" spans="1:16" x14ac:dyDescent="0.3">
      <c r="A98" t="s">
        <v>305</v>
      </c>
      <c r="B98" t="s">
        <v>306</v>
      </c>
      <c r="C98" t="s">
        <v>803</v>
      </c>
      <c r="D98" t="s">
        <v>1207</v>
      </c>
      <c r="E98" t="s">
        <v>1208</v>
      </c>
      <c r="F98" t="s">
        <v>21</v>
      </c>
      <c r="G98">
        <v>0.95</v>
      </c>
      <c r="H98">
        <v>70</v>
      </c>
      <c r="I98">
        <v>80</v>
      </c>
      <c r="J98">
        <v>60</v>
      </c>
      <c r="K98">
        <v>50</v>
      </c>
      <c r="L98">
        <v>65</v>
      </c>
      <c r="M98">
        <v>40</v>
      </c>
      <c r="N98">
        <v>60</v>
      </c>
      <c r="O98" t="s">
        <v>28</v>
      </c>
      <c r="P98" t="s">
        <v>23</v>
      </c>
    </row>
    <row r="99" spans="1:16" x14ac:dyDescent="0.3">
      <c r="A99" t="s">
        <v>305</v>
      </c>
      <c r="B99" t="s">
        <v>306</v>
      </c>
      <c r="C99" t="s">
        <v>1209</v>
      </c>
      <c r="D99" t="s">
        <v>1210</v>
      </c>
      <c r="E99" t="s">
        <v>1208</v>
      </c>
      <c r="F99" t="s">
        <v>21</v>
      </c>
      <c r="G99">
        <v>0.9</v>
      </c>
      <c r="H99">
        <v>85</v>
      </c>
      <c r="I99">
        <v>90</v>
      </c>
      <c r="J99">
        <v>75</v>
      </c>
      <c r="K99">
        <v>60</v>
      </c>
      <c r="L99">
        <v>80</v>
      </c>
      <c r="M99">
        <v>70</v>
      </c>
      <c r="N99">
        <v>76</v>
      </c>
      <c r="O99" t="s">
        <v>22</v>
      </c>
      <c r="P99" t="s">
        <v>23</v>
      </c>
    </row>
    <row r="100" spans="1:16" x14ac:dyDescent="0.3">
      <c r="A100" t="s">
        <v>305</v>
      </c>
      <c r="B100" t="s">
        <v>306</v>
      </c>
      <c r="C100" t="s">
        <v>1211</v>
      </c>
      <c r="D100" t="s">
        <v>1212</v>
      </c>
      <c r="E100" t="s">
        <v>1208</v>
      </c>
      <c r="F100" t="s">
        <v>21</v>
      </c>
      <c r="G100">
        <v>0.85</v>
      </c>
      <c r="H100">
        <v>85</v>
      </c>
      <c r="I100">
        <v>75</v>
      </c>
      <c r="J100">
        <v>70</v>
      </c>
      <c r="K100">
        <v>60</v>
      </c>
      <c r="L100">
        <v>90</v>
      </c>
      <c r="M100">
        <v>65</v>
      </c>
      <c r="N100">
        <v>74</v>
      </c>
      <c r="O100" t="s">
        <v>28</v>
      </c>
      <c r="P100" t="s">
        <v>23</v>
      </c>
    </row>
    <row r="101" spans="1:16" x14ac:dyDescent="0.3">
      <c r="A101" t="s">
        <v>305</v>
      </c>
      <c r="B101" t="s">
        <v>306</v>
      </c>
      <c r="C101" t="s">
        <v>1213</v>
      </c>
      <c r="D101" t="s">
        <v>1214</v>
      </c>
      <c r="E101" t="s">
        <v>1208</v>
      </c>
      <c r="F101" t="s">
        <v>21</v>
      </c>
      <c r="G101">
        <v>0.9</v>
      </c>
      <c r="H101">
        <v>75</v>
      </c>
      <c r="I101">
        <v>80</v>
      </c>
      <c r="J101">
        <v>70</v>
      </c>
      <c r="K101">
        <v>95</v>
      </c>
      <c r="L101">
        <v>80</v>
      </c>
      <c r="M101">
        <v>90</v>
      </c>
      <c r="N101">
        <v>81</v>
      </c>
      <c r="O101" t="s">
        <v>22</v>
      </c>
      <c r="P101" t="s">
        <v>23</v>
      </c>
    </row>
    <row r="102" spans="1:16" x14ac:dyDescent="0.3">
      <c r="A102" t="s">
        <v>316</v>
      </c>
      <c r="B102" t="s">
        <v>317</v>
      </c>
      <c r="C102" t="s">
        <v>318</v>
      </c>
      <c r="D102" t="s">
        <v>1215</v>
      </c>
      <c r="E102" t="s">
        <v>817</v>
      </c>
      <c r="F102" t="s">
        <v>21</v>
      </c>
      <c r="G102">
        <v>0.87</v>
      </c>
      <c r="H102">
        <v>70</v>
      </c>
      <c r="I102">
        <v>60</v>
      </c>
      <c r="J102">
        <v>80</v>
      </c>
      <c r="K102">
        <v>50</v>
      </c>
      <c r="L102">
        <v>75</v>
      </c>
      <c r="M102">
        <v>85</v>
      </c>
      <c r="N102">
        <v>70</v>
      </c>
      <c r="O102" t="s">
        <v>28</v>
      </c>
      <c r="P102" t="s">
        <v>23</v>
      </c>
    </row>
    <row r="103" spans="1:16" x14ac:dyDescent="0.3">
      <c r="A103" t="s">
        <v>316</v>
      </c>
      <c r="B103" t="s">
        <v>317</v>
      </c>
      <c r="C103" t="s">
        <v>1216</v>
      </c>
      <c r="D103" t="s">
        <v>1217</v>
      </c>
      <c r="E103" t="s">
        <v>817</v>
      </c>
      <c r="F103" t="s">
        <v>21</v>
      </c>
      <c r="G103">
        <v>0.88</v>
      </c>
      <c r="H103">
        <v>90</v>
      </c>
      <c r="I103">
        <v>85</v>
      </c>
      <c r="J103">
        <v>75</v>
      </c>
      <c r="K103">
        <v>65</v>
      </c>
      <c r="L103">
        <v>80</v>
      </c>
      <c r="M103">
        <v>95</v>
      </c>
      <c r="N103">
        <v>81</v>
      </c>
      <c r="O103" t="s">
        <v>22</v>
      </c>
      <c r="P103" t="s">
        <v>23</v>
      </c>
    </row>
    <row r="104" spans="1:16" x14ac:dyDescent="0.3">
      <c r="A104" t="s">
        <v>316</v>
      </c>
      <c r="B104" t="s">
        <v>317</v>
      </c>
      <c r="C104" t="s">
        <v>1218</v>
      </c>
      <c r="D104" t="s">
        <v>1219</v>
      </c>
      <c r="E104" t="s">
        <v>540</v>
      </c>
      <c r="F104" t="s">
        <v>21</v>
      </c>
      <c r="G104">
        <v>0.85</v>
      </c>
      <c r="H104">
        <v>95</v>
      </c>
      <c r="I104">
        <v>80</v>
      </c>
      <c r="J104">
        <v>75</v>
      </c>
      <c r="K104">
        <v>65</v>
      </c>
      <c r="L104">
        <v>80</v>
      </c>
      <c r="M104">
        <v>90</v>
      </c>
      <c r="N104">
        <v>80</v>
      </c>
      <c r="O104" t="s">
        <v>22</v>
      </c>
      <c r="P104" t="s">
        <v>23</v>
      </c>
    </row>
    <row r="105" spans="1:16" x14ac:dyDescent="0.3">
      <c r="A105" t="s">
        <v>316</v>
      </c>
      <c r="B105" t="s">
        <v>317</v>
      </c>
      <c r="C105" t="s">
        <v>1220</v>
      </c>
      <c r="D105" t="s">
        <v>1221</v>
      </c>
      <c r="E105" t="s">
        <v>817</v>
      </c>
      <c r="F105" t="s">
        <v>21</v>
      </c>
      <c r="G105">
        <v>0.9</v>
      </c>
      <c r="H105">
        <v>75</v>
      </c>
      <c r="I105">
        <v>75</v>
      </c>
      <c r="J105">
        <v>75</v>
      </c>
      <c r="K105">
        <v>75</v>
      </c>
      <c r="L105">
        <v>75</v>
      </c>
      <c r="M105">
        <v>75</v>
      </c>
      <c r="N105">
        <v>75</v>
      </c>
      <c r="O105" t="s">
        <v>22</v>
      </c>
      <c r="P105" t="s">
        <v>23</v>
      </c>
    </row>
    <row r="106" spans="1:16" x14ac:dyDescent="0.3">
      <c r="A106" t="s">
        <v>330</v>
      </c>
      <c r="B106" t="s">
        <v>331</v>
      </c>
      <c r="C106" t="s">
        <v>1222</v>
      </c>
      <c r="D106" t="s">
        <v>1223</v>
      </c>
      <c r="E106" t="s">
        <v>824</v>
      </c>
      <c r="F106" t="s">
        <v>21</v>
      </c>
      <c r="G106">
        <v>0.88</v>
      </c>
      <c r="H106">
        <v>75</v>
      </c>
      <c r="I106">
        <v>80</v>
      </c>
      <c r="J106">
        <v>65</v>
      </c>
      <c r="K106">
        <v>60</v>
      </c>
      <c r="L106">
        <v>80</v>
      </c>
      <c r="M106">
        <v>85</v>
      </c>
      <c r="N106">
        <v>74</v>
      </c>
      <c r="O106" t="s">
        <v>28</v>
      </c>
      <c r="P106" t="s">
        <v>23</v>
      </c>
    </row>
    <row r="107" spans="1:16" x14ac:dyDescent="0.3">
      <c r="A107" t="s">
        <v>330</v>
      </c>
      <c r="B107" t="s">
        <v>331</v>
      </c>
      <c r="C107" t="s">
        <v>1224</v>
      </c>
      <c r="D107" t="s">
        <v>1225</v>
      </c>
      <c r="E107" t="s">
        <v>1226</v>
      </c>
      <c r="F107" t="s">
        <v>21</v>
      </c>
      <c r="G107">
        <v>0.88</v>
      </c>
      <c r="H107">
        <v>75</v>
      </c>
      <c r="I107">
        <v>80</v>
      </c>
      <c r="J107">
        <v>65</v>
      </c>
      <c r="K107">
        <v>40</v>
      </c>
      <c r="L107">
        <v>60</v>
      </c>
      <c r="M107">
        <v>90</v>
      </c>
      <c r="N107">
        <v>68</v>
      </c>
      <c r="O107" t="s">
        <v>28</v>
      </c>
      <c r="P107" t="s">
        <v>23</v>
      </c>
    </row>
    <row r="108" spans="1:16" x14ac:dyDescent="0.3">
      <c r="A108" t="s">
        <v>330</v>
      </c>
      <c r="B108" t="s">
        <v>331</v>
      </c>
      <c r="C108" t="s">
        <v>1227</v>
      </c>
      <c r="D108" t="s">
        <v>1228</v>
      </c>
      <c r="E108" t="s">
        <v>824</v>
      </c>
      <c r="F108" t="s">
        <v>21</v>
      </c>
      <c r="G108">
        <v>0.9</v>
      </c>
      <c r="H108">
        <v>80</v>
      </c>
      <c r="I108">
        <v>75</v>
      </c>
      <c r="J108">
        <v>65</v>
      </c>
      <c r="K108">
        <v>90</v>
      </c>
      <c r="L108">
        <v>70</v>
      </c>
      <c r="M108">
        <v>85</v>
      </c>
      <c r="N108">
        <v>77</v>
      </c>
      <c r="O108" t="s">
        <v>22</v>
      </c>
      <c r="P108" t="s">
        <v>23</v>
      </c>
    </row>
    <row r="109" spans="1:16" x14ac:dyDescent="0.3">
      <c r="A109" t="s">
        <v>330</v>
      </c>
      <c r="B109" t="s">
        <v>331</v>
      </c>
      <c r="C109" t="s">
        <v>825</v>
      </c>
      <c r="D109" t="s">
        <v>1229</v>
      </c>
      <c r="E109" t="s">
        <v>824</v>
      </c>
      <c r="F109" t="s">
        <v>21</v>
      </c>
      <c r="G109">
        <v>0.85</v>
      </c>
      <c r="H109">
        <v>95</v>
      </c>
      <c r="I109">
        <v>80</v>
      </c>
      <c r="J109">
        <v>75</v>
      </c>
      <c r="K109">
        <v>60</v>
      </c>
      <c r="L109">
        <v>70</v>
      </c>
      <c r="M109">
        <v>80</v>
      </c>
      <c r="N109">
        <v>76</v>
      </c>
      <c r="O109" t="s">
        <v>22</v>
      </c>
      <c r="P109" t="s">
        <v>23</v>
      </c>
    </row>
    <row r="110" spans="1:16" x14ac:dyDescent="0.3">
      <c r="A110" t="s">
        <v>343</v>
      </c>
      <c r="B110" t="s">
        <v>344</v>
      </c>
      <c r="C110" t="s">
        <v>345</v>
      </c>
      <c r="D110" t="s">
        <v>1230</v>
      </c>
      <c r="E110" t="s">
        <v>50</v>
      </c>
      <c r="F110" t="s">
        <v>21</v>
      </c>
      <c r="G110">
        <v>0.88</v>
      </c>
      <c r="H110">
        <v>85</v>
      </c>
      <c r="I110">
        <v>75</v>
      </c>
      <c r="J110">
        <v>80</v>
      </c>
      <c r="K110">
        <v>60</v>
      </c>
      <c r="L110">
        <v>90</v>
      </c>
      <c r="M110">
        <v>70</v>
      </c>
      <c r="N110">
        <v>76</v>
      </c>
      <c r="O110" t="s">
        <v>22</v>
      </c>
      <c r="P110" t="s">
        <v>23</v>
      </c>
    </row>
    <row r="111" spans="1:16" x14ac:dyDescent="0.3">
      <c r="A111" t="s">
        <v>343</v>
      </c>
      <c r="B111" t="s">
        <v>344</v>
      </c>
      <c r="C111" t="s">
        <v>1231</v>
      </c>
      <c r="D111" t="s">
        <v>1232</v>
      </c>
      <c r="E111" t="s">
        <v>191</v>
      </c>
      <c r="F111" t="s">
        <v>21</v>
      </c>
      <c r="G111">
        <v>0.85</v>
      </c>
      <c r="H111">
        <v>85</v>
      </c>
      <c r="I111">
        <v>90</v>
      </c>
      <c r="J111">
        <v>75</v>
      </c>
      <c r="K111">
        <v>60</v>
      </c>
      <c r="L111">
        <v>80</v>
      </c>
      <c r="M111">
        <v>90</v>
      </c>
      <c r="N111">
        <v>80</v>
      </c>
      <c r="O111" t="s">
        <v>22</v>
      </c>
      <c r="P111" t="s">
        <v>23</v>
      </c>
    </row>
    <row r="112" spans="1:16" x14ac:dyDescent="0.3">
      <c r="A112" t="s">
        <v>343</v>
      </c>
      <c r="B112" t="s">
        <v>344</v>
      </c>
      <c r="C112" t="s">
        <v>347</v>
      </c>
      <c r="D112" t="s">
        <v>1233</v>
      </c>
      <c r="E112" t="s">
        <v>253</v>
      </c>
      <c r="F112" t="s">
        <v>21</v>
      </c>
      <c r="G112">
        <v>0.9</v>
      </c>
      <c r="H112">
        <v>95</v>
      </c>
      <c r="I112">
        <v>80</v>
      </c>
      <c r="J112">
        <v>85</v>
      </c>
      <c r="K112">
        <v>70</v>
      </c>
      <c r="L112">
        <v>90</v>
      </c>
      <c r="M112">
        <v>95</v>
      </c>
      <c r="N112">
        <v>85</v>
      </c>
      <c r="O112" t="s">
        <v>22</v>
      </c>
      <c r="P112" t="s">
        <v>23</v>
      </c>
    </row>
    <row r="113" spans="1:16" x14ac:dyDescent="0.3">
      <c r="A113" t="s">
        <v>343</v>
      </c>
      <c r="B113" t="s">
        <v>344</v>
      </c>
      <c r="C113" t="s">
        <v>1234</v>
      </c>
      <c r="D113" t="s">
        <v>1235</v>
      </c>
      <c r="E113" t="s">
        <v>56</v>
      </c>
      <c r="F113" t="s">
        <v>21</v>
      </c>
      <c r="G113">
        <v>0.9</v>
      </c>
      <c r="H113">
        <v>95</v>
      </c>
      <c r="I113">
        <v>80</v>
      </c>
      <c r="J113">
        <v>75</v>
      </c>
      <c r="K113">
        <v>70</v>
      </c>
      <c r="L113">
        <v>85</v>
      </c>
      <c r="M113">
        <v>90</v>
      </c>
      <c r="N113">
        <v>82</v>
      </c>
      <c r="O113" t="s">
        <v>22</v>
      </c>
      <c r="P113" t="s">
        <v>23</v>
      </c>
    </row>
    <row r="114" spans="1:16" x14ac:dyDescent="0.3">
      <c r="A114" t="s">
        <v>354</v>
      </c>
      <c r="B114" t="s">
        <v>355</v>
      </c>
      <c r="C114" t="s">
        <v>1236</v>
      </c>
      <c r="D114" t="s">
        <v>1237</v>
      </c>
      <c r="E114" t="s">
        <v>1238</v>
      </c>
      <c r="F114" t="s">
        <v>21</v>
      </c>
      <c r="G114">
        <v>0.92</v>
      </c>
      <c r="H114">
        <v>60</v>
      </c>
      <c r="I114">
        <v>70</v>
      </c>
      <c r="J114">
        <v>85</v>
      </c>
      <c r="K114">
        <v>50</v>
      </c>
      <c r="L114">
        <v>60</v>
      </c>
      <c r="M114">
        <v>40</v>
      </c>
      <c r="N114">
        <v>60</v>
      </c>
      <c r="O114" t="s">
        <v>28</v>
      </c>
      <c r="P114" t="s">
        <v>23</v>
      </c>
    </row>
    <row r="115" spans="1:16" x14ac:dyDescent="0.3">
      <c r="A115" t="s">
        <v>354</v>
      </c>
      <c r="B115" t="s">
        <v>355</v>
      </c>
      <c r="C115" t="s">
        <v>1239</v>
      </c>
      <c r="D115" t="s">
        <v>1240</v>
      </c>
      <c r="E115" t="s">
        <v>1238</v>
      </c>
      <c r="F115" t="s">
        <v>21</v>
      </c>
      <c r="G115">
        <v>0.88</v>
      </c>
      <c r="H115">
        <v>85</v>
      </c>
      <c r="I115">
        <v>90</v>
      </c>
      <c r="J115">
        <v>75</v>
      </c>
      <c r="K115">
        <v>60</v>
      </c>
      <c r="L115">
        <v>80</v>
      </c>
      <c r="M115">
        <v>95</v>
      </c>
      <c r="N115">
        <v>80</v>
      </c>
      <c r="O115" t="s">
        <v>22</v>
      </c>
      <c r="P115" t="s">
        <v>23</v>
      </c>
    </row>
    <row r="116" spans="1:16" x14ac:dyDescent="0.3">
      <c r="A116" t="s">
        <v>354</v>
      </c>
      <c r="B116" t="s">
        <v>355</v>
      </c>
      <c r="C116" t="s">
        <v>1241</v>
      </c>
      <c r="D116" t="s">
        <v>1242</v>
      </c>
      <c r="E116" t="s">
        <v>1238</v>
      </c>
      <c r="F116" t="s">
        <v>21</v>
      </c>
      <c r="G116">
        <v>0.92</v>
      </c>
      <c r="H116">
        <v>75</v>
      </c>
      <c r="I116">
        <v>75</v>
      </c>
      <c r="J116">
        <v>75</v>
      </c>
      <c r="K116">
        <v>75</v>
      </c>
      <c r="L116">
        <v>75</v>
      </c>
      <c r="M116">
        <v>75</v>
      </c>
      <c r="N116">
        <v>75</v>
      </c>
      <c r="O116" t="s">
        <v>22</v>
      </c>
      <c r="P116" t="s">
        <v>23</v>
      </c>
    </row>
    <row r="117" spans="1:16" x14ac:dyDescent="0.3">
      <c r="A117" t="s">
        <v>354</v>
      </c>
      <c r="B117" t="s">
        <v>355</v>
      </c>
      <c r="C117" t="s">
        <v>1243</v>
      </c>
      <c r="D117" t="s">
        <v>1244</v>
      </c>
      <c r="E117" t="s">
        <v>1238</v>
      </c>
      <c r="F117" t="s">
        <v>21</v>
      </c>
      <c r="G117">
        <v>0.93</v>
      </c>
      <c r="H117">
        <v>85</v>
      </c>
      <c r="I117">
        <v>75</v>
      </c>
      <c r="J117">
        <v>90</v>
      </c>
      <c r="K117">
        <v>60</v>
      </c>
      <c r="L117">
        <v>80</v>
      </c>
      <c r="M117">
        <v>90</v>
      </c>
      <c r="N117">
        <v>80</v>
      </c>
      <c r="O117" t="s">
        <v>22</v>
      </c>
      <c r="P117" t="s">
        <v>23</v>
      </c>
    </row>
    <row r="118" spans="1:16" x14ac:dyDescent="0.3">
      <c r="A118" t="s">
        <v>365</v>
      </c>
      <c r="B118" t="s">
        <v>366</v>
      </c>
      <c r="C118" t="s">
        <v>1245</v>
      </c>
      <c r="D118" t="s">
        <v>1246</v>
      </c>
      <c r="E118" t="s">
        <v>369</v>
      </c>
      <c r="F118" t="s">
        <v>21</v>
      </c>
      <c r="G118">
        <v>0.85</v>
      </c>
      <c r="H118">
        <v>75</v>
      </c>
      <c r="I118">
        <v>75</v>
      </c>
      <c r="J118">
        <v>75</v>
      </c>
      <c r="K118">
        <v>75</v>
      </c>
      <c r="L118">
        <v>75</v>
      </c>
      <c r="M118">
        <v>75</v>
      </c>
      <c r="N118">
        <v>75</v>
      </c>
      <c r="O118" t="s">
        <v>22</v>
      </c>
      <c r="P118" t="s">
        <v>23</v>
      </c>
    </row>
    <row r="119" spans="1:16" x14ac:dyDescent="0.3">
      <c r="A119" t="s">
        <v>365</v>
      </c>
      <c r="B119" t="s">
        <v>366</v>
      </c>
      <c r="C119" t="s">
        <v>850</v>
      </c>
      <c r="D119" t="s">
        <v>1247</v>
      </c>
      <c r="E119" t="s">
        <v>369</v>
      </c>
      <c r="F119" t="s">
        <v>21</v>
      </c>
      <c r="G119">
        <v>0.9</v>
      </c>
      <c r="H119">
        <v>85</v>
      </c>
      <c r="I119">
        <v>75</v>
      </c>
      <c r="J119">
        <v>65</v>
      </c>
      <c r="K119">
        <v>50</v>
      </c>
      <c r="L119">
        <v>90</v>
      </c>
      <c r="M119">
        <v>60</v>
      </c>
      <c r="N119">
        <v>70</v>
      </c>
      <c r="O119" t="s">
        <v>28</v>
      </c>
      <c r="P119" t="s">
        <v>23</v>
      </c>
    </row>
    <row r="120" spans="1:16" x14ac:dyDescent="0.3">
      <c r="A120" t="s">
        <v>365</v>
      </c>
      <c r="B120" t="s">
        <v>366</v>
      </c>
      <c r="C120" t="s">
        <v>1248</v>
      </c>
      <c r="D120" t="s">
        <v>1249</v>
      </c>
      <c r="E120" t="s">
        <v>369</v>
      </c>
      <c r="F120" t="s">
        <v>21</v>
      </c>
      <c r="G120">
        <v>0.75</v>
      </c>
      <c r="H120">
        <v>75</v>
      </c>
      <c r="I120">
        <v>75</v>
      </c>
      <c r="J120">
        <v>75</v>
      </c>
      <c r="K120">
        <v>75</v>
      </c>
      <c r="L120">
        <v>75</v>
      </c>
      <c r="M120">
        <v>75</v>
      </c>
      <c r="N120">
        <v>75</v>
      </c>
      <c r="O120" t="s">
        <v>22</v>
      </c>
      <c r="P120" t="s">
        <v>23</v>
      </c>
    </row>
    <row r="121" spans="1:16" x14ac:dyDescent="0.3">
      <c r="A121" t="s">
        <v>365</v>
      </c>
      <c r="B121" t="s">
        <v>366</v>
      </c>
      <c r="C121" t="s">
        <v>1250</v>
      </c>
      <c r="D121" t="s">
        <v>1251</v>
      </c>
      <c r="E121" t="s">
        <v>369</v>
      </c>
      <c r="F121" t="s">
        <v>21</v>
      </c>
      <c r="G121">
        <v>0.9</v>
      </c>
      <c r="H121">
        <v>85</v>
      </c>
      <c r="I121">
        <v>90</v>
      </c>
      <c r="J121">
        <v>75</v>
      </c>
      <c r="K121">
        <v>90</v>
      </c>
      <c r="L121">
        <v>80</v>
      </c>
      <c r="M121">
        <v>80</v>
      </c>
      <c r="N121">
        <v>83</v>
      </c>
      <c r="O121" t="s">
        <v>22</v>
      </c>
      <c r="P121" t="s">
        <v>23</v>
      </c>
    </row>
    <row r="122" spans="1:16" x14ac:dyDescent="0.3">
      <c r="A122" t="s">
        <v>376</v>
      </c>
      <c r="B122" t="s">
        <v>377</v>
      </c>
      <c r="C122" t="s">
        <v>1252</v>
      </c>
      <c r="D122" t="s">
        <v>1253</v>
      </c>
      <c r="E122" t="s">
        <v>1254</v>
      </c>
      <c r="F122" t="s">
        <v>21</v>
      </c>
      <c r="G122">
        <v>0.85</v>
      </c>
      <c r="H122">
        <v>90</v>
      </c>
      <c r="I122">
        <v>85</v>
      </c>
      <c r="J122">
        <v>90</v>
      </c>
      <c r="K122">
        <v>85</v>
      </c>
      <c r="L122">
        <v>70</v>
      </c>
      <c r="M122">
        <v>85</v>
      </c>
      <c r="N122">
        <v>84</v>
      </c>
      <c r="O122" t="s">
        <v>22</v>
      </c>
      <c r="P122" t="s">
        <v>23</v>
      </c>
    </row>
    <row r="123" spans="1:16" x14ac:dyDescent="0.3">
      <c r="A123" t="s">
        <v>376</v>
      </c>
      <c r="B123" t="s">
        <v>377</v>
      </c>
      <c r="C123" t="s">
        <v>1255</v>
      </c>
      <c r="D123" t="s">
        <v>1256</v>
      </c>
      <c r="E123" t="s">
        <v>1254</v>
      </c>
      <c r="F123" t="s">
        <v>21</v>
      </c>
      <c r="G123">
        <v>0.85</v>
      </c>
      <c r="H123">
        <v>75</v>
      </c>
      <c r="I123">
        <v>75</v>
      </c>
      <c r="J123">
        <v>75</v>
      </c>
      <c r="K123">
        <v>80</v>
      </c>
      <c r="L123">
        <v>75</v>
      </c>
      <c r="M123">
        <v>75</v>
      </c>
      <c r="N123">
        <v>75</v>
      </c>
      <c r="O123" t="s">
        <v>22</v>
      </c>
      <c r="P123" t="s">
        <v>23</v>
      </c>
    </row>
    <row r="124" spans="1:16" x14ac:dyDescent="0.3">
      <c r="A124" t="s">
        <v>376</v>
      </c>
      <c r="B124" t="s">
        <v>377</v>
      </c>
      <c r="C124" t="s">
        <v>1257</v>
      </c>
      <c r="D124" t="s">
        <v>1258</v>
      </c>
      <c r="E124" t="s">
        <v>1254</v>
      </c>
      <c r="F124" t="s">
        <v>21</v>
      </c>
      <c r="G124">
        <v>0.87</v>
      </c>
      <c r="H124">
        <v>75</v>
      </c>
      <c r="I124">
        <v>75</v>
      </c>
      <c r="J124">
        <v>75</v>
      </c>
      <c r="K124">
        <v>75</v>
      </c>
      <c r="L124">
        <v>75</v>
      </c>
      <c r="M124">
        <v>75</v>
      </c>
      <c r="N124">
        <v>75</v>
      </c>
      <c r="O124" t="s">
        <v>22</v>
      </c>
      <c r="P124" t="s">
        <v>23</v>
      </c>
    </row>
    <row r="125" spans="1:16" x14ac:dyDescent="0.3">
      <c r="A125" t="s">
        <v>376</v>
      </c>
      <c r="B125" t="s">
        <v>377</v>
      </c>
      <c r="C125" t="s">
        <v>1259</v>
      </c>
      <c r="D125" t="s">
        <v>1260</v>
      </c>
      <c r="E125" t="s">
        <v>1254</v>
      </c>
      <c r="F125" t="s">
        <v>21</v>
      </c>
      <c r="G125">
        <v>0.9</v>
      </c>
      <c r="H125">
        <v>75</v>
      </c>
      <c r="I125">
        <v>85</v>
      </c>
      <c r="J125">
        <v>80</v>
      </c>
      <c r="K125">
        <v>60</v>
      </c>
      <c r="L125">
        <v>70</v>
      </c>
      <c r="M125">
        <v>90</v>
      </c>
      <c r="N125">
        <v>76</v>
      </c>
      <c r="O125" t="s">
        <v>22</v>
      </c>
      <c r="P125" t="s">
        <v>23</v>
      </c>
    </row>
    <row r="126" spans="1:16" x14ac:dyDescent="0.3">
      <c r="A126" t="s">
        <v>388</v>
      </c>
      <c r="B126" t="s">
        <v>389</v>
      </c>
      <c r="C126" t="s">
        <v>1261</v>
      </c>
      <c r="D126" t="s">
        <v>1262</v>
      </c>
      <c r="E126" t="s">
        <v>392</v>
      </c>
      <c r="F126" t="s">
        <v>21</v>
      </c>
      <c r="G126">
        <v>0.86</v>
      </c>
      <c r="H126">
        <v>75</v>
      </c>
      <c r="I126">
        <v>80</v>
      </c>
      <c r="J126">
        <v>70</v>
      </c>
      <c r="K126">
        <v>60</v>
      </c>
      <c r="L126">
        <v>85</v>
      </c>
      <c r="M126">
        <v>65</v>
      </c>
      <c r="N126">
        <v>72</v>
      </c>
      <c r="O126" t="s">
        <v>28</v>
      </c>
      <c r="P126" t="s">
        <v>23</v>
      </c>
    </row>
    <row r="127" spans="1:16" x14ac:dyDescent="0.3">
      <c r="A127" t="s">
        <v>388</v>
      </c>
      <c r="B127" t="s">
        <v>389</v>
      </c>
      <c r="C127" t="s">
        <v>1263</v>
      </c>
      <c r="D127" t="s">
        <v>1264</v>
      </c>
      <c r="E127" t="s">
        <v>392</v>
      </c>
      <c r="F127" t="s">
        <v>21</v>
      </c>
      <c r="G127">
        <v>0.88</v>
      </c>
      <c r="H127">
        <v>75</v>
      </c>
      <c r="I127">
        <v>75</v>
      </c>
      <c r="J127">
        <v>75</v>
      </c>
      <c r="K127">
        <v>90</v>
      </c>
      <c r="L127">
        <v>75</v>
      </c>
      <c r="M127">
        <v>75</v>
      </c>
      <c r="N127">
        <v>77</v>
      </c>
      <c r="O127" t="s">
        <v>22</v>
      </c>
      <c r="P127" t="s">
        <v>23</v>
      </c>
    </row>
    <row r="128" spans="1:16" x14ac:dyDescent="0.3">
      <c r="A128" t="s">
        <v>388</v>
      </c>
      <c r="B128" t="s">
        <v>389</v>
      </c>
      <c r="C128" t="s">
        <v>1265</v>
      </c>
      <c r="D128" t="s">
        <v>1266</v>
      </c>
      <c r="E128" t="s">
        <v>392</v>
      </c>
      <c r="F128" t="s">
        <v>51</v>
      </c>
      <c r="G128">
        <v>0.9</v>
      </c>
      <c r="H128">
        <v>75</v>
      </c>
      <c r="I128">
        <v>80</v>
      </c>
      <c r="J128">
        <v>80</v>
      </c>
      <c r="K128">
        <v>60</v>
      </c>
      <c r="L128">
        <v>70</v>
      </c>
      <c r="M128">
        <v>60</v>
      </c>
      <c r="N128">
        <v>70</v>
      </c>
      <c r="O128" t="s">
        <v>28</v>
      </c>
      <c r="P128" t="s">
        <v>23</v>
      </c>
    </row>
    <row r="129" spans="1:16" x14ac:dyDescent="0.3">
      <c r="A129" t="s">
        <v>388</v>
      </c>
      <c r="B129" t="s">
        <v>389</v>
      </c>
      <c r="C129" t="s">
        <v>1267</v>
      </c>
      <c r="D129" t="s">
        <v>1268</v>
      </c>
      <c r="E129" t="s">
        <v>392</v>
      </c>
      <c r="F129" t="s">
        <v>21</v>
      </c>
      <c r="G129">
        <v>0.65</v>
      </c>
      <c r="H129">
        <v>75</v>
      </c>
      <c r="I129">
        <v>75</v>
      </c>
      <c r="J129">
        <v>75</v>
      </c>
      <c r="K129">
        <v>75</v>
      </c>
      <c r="L129">
        <v>75</v>
      </c>
      <c r="M129">
        <v>75</v>
      </c>
      <c r="N129">
        <v>75</v>
      </c>
      <c r="O129" t="s">
        <v>22</v>
      </c>
      <c r="P129" t="s">
        <v>23</v>
      </c>
    </row>
    <row r="130" spans="1:16" x14ac:dyDescent="0.3">
      <c r="A130" t="s">
        <v>399</v>
      </c>
      <c r="B130" t="s">
        <v>400</v>
      </c>
      <c r="C130" t="s">
        <v>401</v>
      </c>
      <c r="D130" t="s">
        <v>1269</v>
      </c>
      <c r="E130" t="s">
        <v>387</v>
      </c>
      <c r="F130" t="s">
        <v>51</v>
      </c>
      <c r="G130">
        <v>0.95</v>
      </c>
      <c r="H130">
        <v>30</v>
      </c>
      <c r="I130">
        <v>40</v>
      </c>
      <c r="J130">
        <v>60</v>
      </c>
      <c r="K130">
        <v>20</v>
      </c>
      <c r="L130">
        <v>50</v>
      </c>
      <c r="M130">
        <v>10</v>
      </c>
      <c r="N130">
        <v>35</v>
      </c>
      <c r="O130" t="s">
        <v>99</v>
      </c>
      <c r="P130" t="s">
        <v>23</v>
      </c>
    </row>
    <row r="131" spans="1:16" x14ac:dyDescent="0.3">
      <c r="A131" t="s">
        <v>399</v>
      </c>
      <c r="B131" t="s">
        <v>400</v>
      </c>
      <c r="C131" t="s">
        <v>404</v>
      </c>
      <c r="D131" t="s">
        <v>1270</v>
      </c>
      <c r="E131" t="s">
        <v>387</v>
      </c>
      <c r="F131" t="s">
        <v>51</v>
      </c>
      <c r="G131">
        <v>0.95</v>
      </c>
      <c r="H131">
        <v>45</v>
      </c>
      <c r="I131">
        <v>60</v>
      </c>
      <c r="J131">
        <v>70</v>
      </c>
      <c r="K131">
        <v>25</v>
      </c>
      <c r="L131">
        <v>30</v>
      </c>
      <c r="M131">
        <v>50</v>
      </c>
      <c r="N131">
        <v>46</v>
      </c>
      <c r="O131" t="s">
        <v>71</v>
      </c>
      <c r="P131" t="s">
        <v>23</v>
      </c>
    </row>
    <row r="132" spans="1:16" x14ac:dyDescent="0.3">
      <c r="A132" t="s">
        <v>399</v>
      </c>
      <c r="B132" t="s">
        <v>400</v>
      </c>
      <c r="C132" t="s">
        <v>406</v>
      </c>
      <c r="D132" t="s">
        <v>1271</v>
      </c>
      <c r="E132" t="s">
        <v>387</v>
      </c>
      <c r="F132" t="s">
        <v>51</v>
      </c>
      <c r="G132">
        <v>0.9</v>
      </c>
      <c r="H132">
        <v>5</v>
      </c>
      <c r="I132">
        <v>20</v>
      </c>
      <c r="J132">
        <v>40</v>
      </c>
      <c r="K132">
        <v>10</v>
      </c>
      <c r="L132">
        <v>30</v>
      </c>
      <c r="M132">
        <v>60</v>
      </c>
      <c r="N132">
        <v>27</v>
      </c>
      <c r="O132" t="s">
        <v>99</v>
      </c>
      <c r="P132" t="s">
        <v>23</v>
      </c>
    </row>
    <row r="133" spans="1:16" x14ac:dyDescent="0.3">
      <c r="A133" t="s">
        <v>399</v>
      </c>
      <c r="B133" t="s">
        <v>400</v>
      </c>
      <c r="C133" t="s">
        <v>408</v>
      </c>
      <c r="D133" t="s">
        <v>1272</v>
      </c>
      <c r="E133" t="s">
        <v>392</v>
      </c>
      <c r="F133" t="s">
        <v>51</v>
      </c>
      <c r="G133">
        <v>0.9</v>
      </c>
      <c r="H133">
        <v>20</v>
      </c>
      <c r="I133">
        <v>35</v>
      </c>
      <c r="J133">
        <v>40</v>
      </c>
      <c r="K133">
        <v>5</v>
      </c>
      <c r="L133">
        <v>70</v>
      </c>
      <c r="M133">
        <v>5</v>
      </c>
      <c r="N133">
        <v>29</v>
      </c>
      <c r="O133" t="s">
        <v>99</v>
      </c>
      <c r="P133" t="s">
        <v>23</v>
      </c>
    </row>
    <row r="134" spans="1:16" x14ac:dyDescent="0.3">
      <c r="A134" t="s">
        <v>410</v>
      </c>
      <c r="B134" t="s">
        <v>411</v>
      </c>
      <c r="C134" t="s">
        <v>401</v>
      </c>
      <c r="D134" t="s">
        <v>1273</v>
      </c>
      <c r="E134" t="s">
        <v>387</v>
      </c>
      <c r="F134" t="s">
        <v>51</v>
      </c>
      <c r="G134">
        <v>0.95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100</v>
      </c>
      <c r="N134">
        <v>0</v>
      </c>
      <c r="O134" t="s">
        <v>403</v>
      </c>
      <c r="P134" t="s">
        <v>23</v>
      </c>
    </row>
    <row r="135" spans="1:16" x14ac:dyDescent="0.3">
      <c r="A135" t="s">
        <v>410</v>
      </c>
      <c r="B135" t="s">
        <v>411</v>
      </c>
      <c r="C135" t="s">
        <v>404</v>
      </c>
      <c r="D135" t="s">
        <v>1274</v>
      </c>
      <c r="E135" t="s">
        <v>387</v>
      </c>
      <c r="F135" t="s">
        <v>51</v>
      </c>
      <c r="G135">
        <v>0.95</v>
      </c>
      <c r="H135">
        <v>70</v>
      </c>
      <c r="I135">
        <v>65</v>
      </c>
      <c r="J135">
        <v>80</v>
      </c>
      <c r="K135">
        <v>35</v>
      </c>
      <c r="L135">
        <v>60</v>
      </c>
      <c r="M135">
        <v>70</v>
      </c>
      <c r="N135">
        <v>63</v>
      </c>
      <c r="O135" t="s">
        <v>28</v>
      </c>
      <c r="P135" t="s">
        <v>23</v>
      </c>
    </row>
    <row r="136" spans="1:16" x14ac:dyDescent="0.3">
      <c r="A136" t="s">
        <v>410</v>
      </c>
      <c r="B136" t="s">
        <v>411</v>
      </c>
      <c r="C136" t="s">
        <v>406</v>
      </c>
      <c r="D136" t="s">
        <v>1275</v>
      </c>
      <c r="E136" t="s">
        <v>392</v>
      </c>
      <c r="F136" t="s">
        <v>51</v>
      </c>
      <c r="G136">
        <v>0.92</v>
      </c>
      <c r="H136">
        <v>25</v>
      </c>
      <c r="I136">
        <v>30</v>
      </c>
      <c r="J136">
        <v>40</v>
      </c>
      <c r="K136">
        <v>10</v>
      </c>
      <c r="L136">
        <v>60</v>
      </c>
      <c r="M136">
        <v>5</v>
      </c>
      <c r="N136">
        <v>28</v>
      </c>
      <c r="O136" t="s">
        <v>99</v>
      </c>
      <c r="P136" t="s">
        <v>23</v>
      </c>
    </row>
    <row r="137" spans="1:16" x14ac:dyDescent="0.3">
      <c r="A137" t="s">
        <v>410</v>
      </c>
      <c r="B137" t="s">
        <v>411</v>
      </c>
      <c r="C137" t="s">
        <v>408</v>
      </c>
      <c r="D137" t="s">
        <v>1276</v>
      </c>
      <c r="E137" t="s">
        <v>392</v>
      </c>
      <c r="F137" t="s">
        <v>51</v>
      </c>
      <c r="G137">
        <v>0.9</v>
      </c>
      <c r="H137">
        <v>35</v>
      </c>
      <c r="I137">
        <v>40</v>
      </c>
      <c r="J137">
        <v>60</v>
      </c>
      <c r="K137">
        <v>20</v>
      </c>
      <c r="L137">
        <v>50</v>
      </c>
      <c r="M137">
        <v>10</v>
      </c>
      <c r="N137">
        <v>35</v>
      </c>
      <c r="O137" t="s">
        <v>99</v>
      </c>
      <c r="P137" t="s">
        <v>23</v>
      </c>
    </row>
    <row r="138" spans="1:16" x14ac:dyDescent="0.3">
      <c r="A138" t="s">
        <v>418</v>
      </c>
      <c r="B138" t="s">
        <v>419</v>
      </c>
      <c r="C138" t="s">
        <v>408</v>
      </c>
      <c r="D138" t="s">
        <v>1277</v>
      </c>
      <c r="E138" t="s">
        <v>392</v>
      </c>
      <c r="F138" t="s">
        <v>51</v>
      </c>
      <c r="G138">
        <v>0.88</v>
      </c>
      <c r="H138">
        <v>75</v>
      </c>
      <c r="I138">
        <v>75</v>
      </c>
      <c r="J138">
        <v>75</v>
      </c>
      <c r="K138">
        <v>0</v>
      </c>
      <c r="L138">
        <v>75</v>
      </c>
      <c r="M138">
        <v>75</v>
      </c>
      <c r="N138">
        <v>0</v>
      </c>
      <c r="O138" t="s">
        <v>403</v>
      </c>
      <c r="P138" t="s">
        <v>23</v>
      </c>
    </row>
    <row r="139" spans="1:16" x14ac:dyDescent="0.3">
      <c r="A139" t="s">
        <v>418</v>
      </c>
      <c r="B139" t="s">
        <v>419</v>
      </c>
      <c r="C139" t="s">
        <v>401</v>
      </c>
      <c r="D139" t="s">
        <v>1278</v>
      </c>
      <c r="E139" t="s">
        <v>387</v>
      </c>
      <c r="F139" t="s">
        <v>51</v>
      </c>
      <c r="G139">
        <v>0.95</v>
      </c>
      <c r="H139">
        <v>0</v>
      </c>
      <c r="I139">
        <v>30</v>
      </c>
      <c r="J139">
        <v>20</v>
      </c>
      <c r="K139">
        <v>0</v>
      </c>
      <c r="L139">
        <v>0</v>
      </c>
      <c r="M139">
        <v>0</v>
      </c>
      <c r="N139">
        <v>0</v>
      </c>
      <c r="O139" t="s">
        <v>403</v>
      </c>
      <c r="P139" t="s">
        <v>23</v>
      </c>
    </row>
    <row r="140" spans="1:16" x14ac:dyDescent="0.3">
      <c r="A140" t="s">
        <v>418</v>
      </c>
      <c r="B140" t="s">
        <v>419</v>
      </c>
      <c r="C140" t="s">
        <v>404</v>
      </c>
      <c r="D140" t="s">
        <v>1279</v>
      </c>
      <c r="E140" t="s">
        <v>387</v>
      </c>
      <c r="F140" t="s">
        <v>51</v>
      </c>
      <c r="G140">
        <v>0.92</v>
      </c>
      <c r="H140">
        <v>50</v>
      </c>
      <c r="I140">
        <v>60</v>
      </c>
      <c r="J140">
        <v>70</v>
      </c>
      <c r="K140">
        <v>65</v>
      </c>
      <c r="L140">
        <v>70</v>
      </c>
      <c r="M140">
        <v>80</v>
      </c>
      <c r="N140">
        <v>65</v>
      </c>
      <c r="O140" t="s">
        <v>28</v>
      </c>
      <c r="P140" t="s">
        <v>23</v>
      </c>
    </row>
    <row r="141" spans="1:16" x14ac:dyDescent="0.3">
      <c r="A141" t="s">
        <v>418</v>
      </c>
      <c r="B141" t="s">
        <v>419</v>
      </c>
      <c r="C141" t="s">
        <v>406</v>
      </c>
      <c r="D141" t="s">
        <v>1280</v>
      </c>
      <c r="E141" t="s">
        <v>392</v>
      </c>
      <c r="F141" t="s">
        <v>51</v>
      </c>
      <c r="G141">
        <v>0.93</v>
      </c>
      <c r="H141">
        <v>20</v>
      </c>
      <c r="I141">
        <v>35</v>
      </c>
      <c r="J141">
        <v>40</v>
      </c>
      <c r="K141">
        <v>10</v>
      </c>
      <c r="L141">
        <v>50</v>
      </c>
      <c r="M141">
        <v>70</v>
      </c>
      <c r="N141">
        <v>37</v>
      </c>
      <c r="O141" t="s">
        <v>99</v>
      </c>
      <c r="P141" t="s">
        <v>23</v>
      </c>
    </row>
    <row r="142" spans="1:16" x14ac:dyDescent="0.3">
      <c r="A142" t="s">
        <v>424</v>
      </c>
      <c r="B142" t="s">
        <v>425</v>
      </c>
      <c r="C142" t="s">
        <v>1281</v>
      </c>
      <c r="D142" t="s">
        <v>1282</v>
      </c>
      <c r="E142" t="s">
        <v>387</v>
      </c>
      <c r="F142" t="s">
        <v>21</v>
      </c>
      <c r="G142">
        <v>0.7</v>
      </c>
      <c r="H142">
        <v>85</v>
      </c>
      <c r="I142">
        <v>75</v>
      </c>
      <c r="J142">
        <v>60</v>
      </c>
      <c r="K142">
        <v>50</v>
      </c>
      <c r="L142">
        <v>90</v>
      </c>
      <c r="M142">
        <v>80</v>
      </c>
      <c r="N142">
        <v>73</v>
      </c>
      <c r="O142" t="s">
        <v>28</v>
      </c>
      <c r="P142" t="s">
        <v>23</v>
      </c>
    </row>
    <row r="143" spans="1:16" x14ac:dyDescent="0.3">
      <c r="A143" t="s">
        <v>424</v>
      </c>
      <c r="B143" t="s">
        <v>425</v>
      </c>
      <c r="C143" t="s">
        <v>1283</v>
      </c>
      <c r="D143" t="s">
        <v>1284</v>
      </c>
      <c r="E143" t="s">
        <v>387</v>
      </c>
      <c r="F143" t="s">
        <v>21</v>
      </c>
      <c r="G143">
        <v>0.9</v>
      </c>
      <c r="H143">
        <v>85</v>
      </c>
      <c r="I143">
        <v>75</v>
      </c>
      <c r="J143">
        <v>80</v>
      </c>
      <c r="K143">
        <v>60</v>
      </c>
      <c r="L143">
        <v>90</v>
      </c>
      <c r="M143">
        <v>70</v>
      </c>
      <c r="N143">
        <v>76</v>
      </c>
      <c r="O143" t="s">
        <v>22</v>
      </c>
      <c r="P143" t="s">
        <v>23</v>
      </c>
    </row>
    <row r="144" spans="1:16" x14ac:dyDescent="0.3">
      <c r="A144" t="s">
        <v>424</v>
      </c>
      <c r="B144" t="s">
        <v>425</v>
      </c>
      <c r="C144" t="s">
        <v>1285</v>
      </c>
      <c r="D144" t="s">
        <v>1286</v>
      </c>
      <c r="E144" t="s">
        <v>387</v>
      </c>
      <c r="F144" t="s">
        <v>21</v>
      </c>
      <c r="G144">
        <v>0.88</v>
      </c>
      <c r="H144">
        <v>75</v>
      </c>
      <c r="I144">
        <v>75</v>
      </c>
      <c r="J144">
        <v>75</v>
      </c>
      <c r="K144">
        <v>75</v>
      </c>
      <c r="L144">
        <v>75</v>
      </c>
      <c r="M144">
        <v>75</v>
      </c>
      <c r="N144">
        <v>75</v>
      </c>
      <c r="O144" t="s">
        <v>22</v>
      </c>
      <c r="P144" t="s">
        <v>23</v>
      </c>
    </row>
    <row r="145" spans="1:16" x14ac:dyDescent="0.3">
      <c r="A145" t="s">
        <v>424</v>
      </c>
      <c r="B145" t="s">
        <v>425</v>
      </c>
      <c r="C145" t="s">
        <v>1287</v>
      </c>
      <c r="D145" t="s">
        <v>1288</v>
      </c>
      <c r="E145" t="s">
        <v>387</v>
      </c>
      <c r="F145" t="s">
        <v>51</v>
      </c>
      <c r="G145">
        <v>0.95</v>
      </c>
      <c r="H145">
        <v>0</v>
      </c>
      <c r="I145">
        <v>30</v>
      </c>
      <c r="J145">
        <v>20</v>
      </c>
      <c r="K145">
        <v>0</v>
      </c>
      <c r="L145">
        <v>5</v>
      </c>
      <c r="M145">
        <v>80</v>
      </c>
      <c r="N145">
        <v>0</v>
      </c>
      <c r="O145" t="s">
        <v>403</v>
      </c>
      <c r="P145" t="s">
        <v>23</v>
      </c>
    </row>
    <row r="146" spans="1:16" x14ac:dyDescent="0.3">
      <c r="A146" t="s">
        <v>432</v>
      </c>
      <c r="B146" t="s">
        <v>433</v>
      </c>
      <c r="C146" t="s">
        <v>408</v>
      </c>
      <c r="D146" t="s">
        <v>1289</v>
      </c>
      <c r="E146" t="s">
        <v>392</v>
      </c>
      <c r="F146" t="s">
        <v>51</v>
      </c>
      <c r="G146">
        <v>0.9</v>
      </c>
      <c r="H146">
        <v>20</v>
      </c>
      <c r="I146">
        <v>35</v>
      </c>
      <c r="J146">
        <v>40</v>
      </c>
      <c r="K146">
        <v>10</v>
      </c>
      <c r="L146">
        <v>60</v>
      </c>
      <c r="M146">
        <v>0</v>
      </c>
      <c r="N146">
        <v>0</v>
      </c>
      <c r="O146" t="s">
        <v>403</v>
      </c>
      <c r="P146" t="s">
        <v>23</v>
      </c>
    </row>
    <row r="147" spans="1:16" x14ac:dyDescent="0.3">
      <c r="A147" t="s">
        <v>432</v>
      </c>
      <c r="B147" t="s">
        <v>433</v>
      </c>
      <c r="C147" t="s">
        <v>1290</v>
      </c>
      <c r="D147" t="s">
        <v>1291</v>
      </c>
      <c r="E147" t="s">
        <v>392</v>
      </c>
      <c r="F147" t="s">
        <v>51</v>
      </c>
      <c r="G147">
        <v>0.9</v>
      </c>
      <c r="H147">
        <v>85</v>
      </c>
      <c r="I147">
        <v>90</v>
      </c>
      <c r="J147">
        <v>80</v>
      </c>
      <c r="K147">
        <v>65</v>
      </c>
      <c r="L147">
        <v>70</v>
      </c>
      <c r="M147">
        <v>80</v>
      </c>
      <c r="N147">
        <v>78</v>
      </c>
      <c r="O147" t="s">
        <v>22</v>
      </c>
      <c r="P147" t="s">
        <v>23</v>
      </c>
    </row>
    <row r="148" spans="1:16" x14ac:dyDescent="0.3">
      <c r="A148" t="s">
        <v>432</v>
      </c>
      <c r="B148" t="s">
        <v>433</v>
      </c>
      <c r="C148" t="s">
        <v>404</v>
      </c>
      <c r="D148" t="s">
        <v>1292</v>
      </c>
      <c r="E148" t="s">
        <v>387</v>
      </c>
      <c r="F148" t="s">
        <v>51</v>
      </c>
      <c r="G148">
        <v>0.93</v>
      </c>
      <c r="H148">
        <v>70</v>
      </c>
      <c r="I148">
        <v>60</v>
      </c>
      <c r="J148">
        <v>75</v>
      </c>
      <c r="K148">
        <v>30</v>
      </c>
      <c r="L148">
        <v>40</v>
      </c>
      <c r="M148">
        <v>30</v>
      </c>
      <c r="N148">
        <v>50</v>
      </c>
      <c r="O148" t="s">
        <v>71</v>
      </c>
      <c r="P148" t="s">
        <v>23</v>
      </c>
    </row>
    <row r="149" spans="1:16" x14ac:dyDescent="0.3">
      <c r="A149" t="s">
        <v>432</v>
      </c>
      <c r="B149" t="s">
        <v>433</v>
      </c>
      <c r="C149" t="s">
        <v>1293</v>
      </c>
      <c r="D149" t="s">
        <v>1294</v>
      </c>
      <c r="E149" t="s">
        <v>439</v>
      </c>
      <c r="F149" t="s">
        <v>51</v>
      </c>
      <c r="G149">
        <v>0.85</v>
      </c>
      <c r="H149">
        <v>75</v>
      </c>
      <c r="I149">
        <v>80</v>
      </c>
      <c r="J149">
        <v>60</v>
      </c>
      <c r="K149">
        <v>40</v>
      </c>
      <c r="L149">
        <v>65</v>
      </c>
      <c r="M149">
        <v>70</v>
      </c>
      <c r="N149">
        <v>65</v>
      </c>
      <c r="O149" t="s">
        <v>28</v>
      </c>
      <c r="P149" t="s">
        <v>23</v>
      </c>
    </row>
    <row r="150" spans="1:16" x14ac:dyDescent="0.3">
      <c r="A150" t="s">
        <v>442</v>
      </c>
      <c r="B150" t="s">
        <v>443</v>
      </c>
      <c r="C150" t="s">
        <v>404</v>
      </c>
      <c r="D150" t="s">
        <v>1295</v>
      </c>
      <c r="E150" t="s">
        <v>387</v>
      </c>
      <c r="F150" t="s">
        <v>51</v>
      </c>
      <c r="G150">
        <v>0.94</v>
      </c>
      <c r="H150">
        <v>75</v>
      </c>
      <c r="I150">
        <v>75</v>
      </c>
      <c r="J150">
        <v>75</v>
      </c>
      <c r="K150">
        <v>15</v>
      </c>
      <c r="L150">
        <v>75</v>
      </c>
      <c r="M150">
        <v>75</v>
      </c>
      <c r="N150">
        <v>65</v>
      </c>
      <c r="O150" t="s">
        <v>28</v>
      </c>
      <c r="P150" t="s">
        <v>23</v>
      </c>
    </row>
    <row r="151" spans="1:16" x14ac:dyDescent="0.3">
      <c r="A151" t="s">
        <v>442</v>
      </c>
      <c r="B151" t="s">
        <v>443</v>
      </c>
      <c r="C151" t="s">
        <v>446</v>
      </c>
      <c r="D151" t="s">
        <v>1296</v>
      </c>
      <c r="E151" t="s">
        <v>387</v>
      </c>
      <c r="F151" t="s">
        <v>51</v>
      </c>
      <c r="G151">
        <v>0.9</v>
      </c>
      <c r="H151">
        <v>20</v>
      </c>
      <c r="I151">
        <v>30</v>
      </c>
      <c r="J151">
        <v>45</v>
      </c>
      <c r="K151">
        <v>15</v>
      </c>
      <c r="L151">
        <v>60</v>
      </c>
      <c r="M151">
        <v>5</v>
      </c>
      <c r="N151">
        <v>29</v>
      </c>
      <c r="O151" t="s">
        <v>99</v>
      </c>
      <c r="P151" t="s">
        <v>23</v>
      </c>
    </row>
    <row r="152" spans="1:16" x14ac:dyDescent="0.3">
      <c r="A152" t="s">
        <v>442</v>
      </c>
      <c r="B152" t="s">
        <v>443</v>
      </c>
      <c r="C152" t="s">
        <v>448</v>
      </c>
      <c r="D152" t="s">
        <v>1297</v>
      </c>
      <c r="E152" t="s">
        <v>387</v>
      </c>
      <c r="F152" t="s">
        <v>51</v>
      </c>
      <c r="G152">
        <v>0.95</v>
      </c>
      <c r="H152">
        <v>65</v>
      </c>
      <c r="I152">
        <v>80</v>
      </c>
      <c r="J152">
        <v>75</v>
      </c>
      <c r="K152">
        <v>60</v>
      </c>
      <c r="L152">
        <v>70</v>
      </c>
      <c r="M152">
        <v>80</v>
      </c>
      <c r="N152">
        <v>71</v>
      </c>
      <c r="O152" t="s">
        <v>28</v>
      </c>
      <c r="P152" t="s">
        <v>23</v>
      </c>
    </row>
    <row r="153" spans="1:16" x14ac:dyDescent="0.3">
      <c r="A153" t="s">
        <v>442</v>
      </c>
      <c r="B153" t="s">
        <v>443</v>
      </c>
      <c r="C153" t="s">
        <v>1298</v>
      </c>
      <c r="D153" t="s">
        <v>1299</v>
      </c>
      <c r="E153" t="s">
        <v>387</v>
      </c>
      <c r="F153" t="s">
        <v>51</v>
      </c>
      <c r="G153">
        <v>0.95</v>
      </c>
      <c r="H153">
        <v>85</v>
      </c>
      <c r="I153">
        <v>75</v>
      </c>
      <c r="J153">
        <v>60</v>
      </c>
      <c r="K153">
        <v>90</v>
      </c>
      <c r="L153">
        <v>80</v>
      </c>
      <c r="M153">
        <v>70</v>
      </c>
      <c r="N153">
        <v>76</v>
      </c>
      <c r="O153" t="s">
        <v>22</v>
      </c>
      <c r="P153" t="s">
        <v>23</v>
      </c>
    </row>
    <row r="154" spans="1:16" x14ac:dyDescent="0.3">
      <c r="A154" t="s">
        <v>452</v>
      </c>
      <c r="B154" t="s">
        <v>453</v>
      </c>
      <c r="C154" t="s">
        <v>949</v>
      </c>
      <c r="D154" t="s">
        <v>1300</v>
      </c>
      <c r="E154" t="s">
        <v>50</v>
      </c>
      <c r="F154" t="s">
        <v>51</v>
      </c>
      <c r="G154">
        <v>0.9</v>
      </c>
      <c r="H154">
        <v>60</v>
      </c>
      <c r="I154">
        <v>85</v>
      </c>
      <c r="J154">
        <v>75</v>
      </c>
      <c r="K154">
        <v>30</v>
      </c>
      <c r="L154">
        <v>50</v>
      </c>
      <c r="M154">
        <v>40</v>
      </c>
      <c r="N154">
        <v>56</v>
      </c>
      <c r="O154" t="s">
        <v>71</v>
      </c>
      <c r="P154" t="s">
        <v>23</v>
      </c>
    </row>
    <row r="155" spans="1:16" x14ac:dyDescent="0.3">
      <c r="A155" t="s">
        <v>452</v>
      </c>
      <c r="B155" t="s">
        <v>453</v>
      </c>
      <c r="C155" t="s">
        <v>461</v>
      </c>
      <c r="D155" t="s">
        <v>1301</v>
      </c>
      <c r="E155" t="s">
        <v>50</v>
      </c>
      <c r="F155" t="s">
        <v>51</v>
      </c>
      <c r="G155">
        <v>0.95</v>
      </c>
      <c r="H155">
        <v>75</v>
      </c>
      <c r="I155">
        <v>75</v>
      </c>
      <c r="J155">
        <v>75</v>
      </c>
      <c r="K155">
        <v>30</v>
      </c>
      <c r="L155">
        <v>75</v>
      </c>
      <c r="M155">
        <v>75</v>
      </c>
      <c r="N155">
        <v>67</v>
      </c>
      <c r="O155" t="s">
        <v>28</v>
      </c>
      <c r="P155" t="s">
        <v>23</v>
      </c>
    </row>
    <row r="156" spans="1:16" x14ac:dyDescent="0.3">
      <c r="A156" t="s">
        <v>452</v>
      </c>
      <c r="B156" t="s">
        <v>453</v>
      </c>
      <c r="C156" t="s">
        <v>457</v>
      </c>
      <c r="D156" t="s">
        <v>1302</v>
      </c>
      <c r="E156" t="s">
        <v>50</v>
      </c>
      <c r="F156" t="s">
        <v>51</v>
      </c>
      <c r="G156">
        <v>0.92</v>
      </c>
      <c r="H156">
        <v>75</v>
      </c>
      <c r="I156">
        <v>75</v>
      </c>
      <c r="J156">
        <v>75</v>
      </c>
      <c r="K156">
        <v>80</v>
      </c>
      <c r="L156">
        <v>75</v>
      </c>
      <c r="M156">
        <v>75</v>
      </c>
      <c r="N156">
        <v>75</v>
      </c>
      <c r="O156" t="s">
        <v>22</v>
      </c>
      <c r="P156" t="s">
        <v>23</v>
      </c>
    </row>
    <row r="157" spans="1:16" x14ac:dyDescent="0.3">
      <c r="A157" t="s">
        <v>452</v>
      </c>
      <c r="B157" t="s">
        <v>453</v>
      </c>
      <c r="C157" t="s">
        <v>470</v>
      </c>
      <c r="D157" t="s">
        <v>1303</v>
      </c>
      <c r="E157" t="s">
        <v>50</v>
      </c>
      <c r="F157" t="s">
        <v>51</v>
      </c>
      <c r="G157">
        <v>0.92</v>
      </c>
      <c r="H157">
        <v>25</v>
      </c>
      <c r="I157">
        <v>30</v>
      </c>
      <c r="J157">
        <v>40</v>
      </c>
      <c r="K157">
        <v>10</v>
      </c>
      <c r="L157">
        <v>50</v>
      </c>
      <c r="M157">
        <v>5</v>
      </c>
      <c r="N157">
        <v>26</v>
      </c>
      <c r="O157" t="s">
        <v>99</v>
      </c>
      <c r="P157" t="s">
        <v>23</v>
      </c>
    </row>
    <row r="158" spans="1:16" x14ac:dyDescent="0.3">
      <c r="A158" t="s">
        <v>463</v>
      </c>
      <c r="B158" t="s">
        <v>464</v>
      </c>
      <c r="C158" t="s">
        <v>513</v>
      </c>
      <c r="D158" t="s">
        <v>1304</v>
      </c>
      <c r="E158" t="s">
        <v>1305</v>
      </c>
      <c r="F158" t="s">
        <v>51</v>
      </c>
      <c r="G158">
        <v>0.95</v>
      </c>
      <c r="H158">
        <v>75</v>
      </c>
      <c r="I158">
        <v>85</v>
      </c>
      <c r="J158">
        <v>90</v>
      </c>
      <c r="K158">
        <v>40</v>
      </c>
      <c r="L158">
        <v>60</v>
      </c>
      <c r="M158">
        <v>60</v>
      </c>
      <c r="N158">
        <v>68</v>
      </c>
      <c r="O158" t="s">
        <v>28</v>
      </c>
      <c r="P158" t="s">
        <v>23</v>
      </c>
    </row>
    <row r="159" spans="1:16" x14ac:dyDescent="0.3">
      <c r="A159" t="s">
        <v>463</v>
      </c>
      <c r="B159" t="s">
        <v>464</v>
      </c>
      <c r="C159" t="s">
        <v>461</v>
      </c>
      <c r="D159" t="s">
        <v>1306</v>
      </c>
      <c r="E159" t="s">
        <v>1307</v>
      </c>
      <c r="F159" t="s">
        <v>51</v>
      </c>
      <c r="G159">
        <v>0.92</v>
      </c>
      <c r="H159">
        <v>50</v>
      </c>
      <c r="I159">
        <v>60</v>
      </c>
      <c r="J159">
        <v>70</v>
      </c>
      <c r="K159">
        <v>30</v>
      </c>
      <c r="L159">
        <v>40</v>
      </c>
      <c r="M159">
        <v>75</v>
      </c>
      <c r="N159">
        <v>54</v>
      </c>
      <c r="O159" t="s">
        <v>71</v>
      </c>
      <c r="P159" t="s">
        <v>23</v>
      </c>
    </row>
    <row r="160" spans="1:16" x14ac:dyDescent="0.3">
      <c r="A160" t="s">
        <v>463</v>
      </c>
      <c r="B160" t="s">
        <v>464</v>
      </c>
      <c r="C160" t="s">
        <v>457</v>
      </c>
      <c r="D160" t="s">
        <v>1308</v>
      </c>
      <c r="E160" t="s">
        <v>1309</v>
      </c>
      <c r="F160" t="s">
        <v>51</v>
      </c>
      <c r="G160">
        <v>0.95</v>
      </c>
      <c r="H160">
        <v>50</v>
      </c>
      <c r="I160">
        <v>70</v>
      </c>
      <c r="J160">
        <v>65</v>
      </c>
      <c r="K160">
        <v>60</v>
      </c>
      <c r="L160">
        <v>75</v>
      </c>
      <c r="M160">
        <v>40</v>
      </c>
      <c r="N160">
        <v>60</v>
      </c>
      <c r="O160" t="s">
        <v>28</v>
      </c>
      <c r="P160" t="s">
        <v>23</v>
      </c>
    </row>
    <row r="161" spans="1:16" x14ac:dyDescent="0.3">
      <c r="A161" t="s">
        <v>463</v>
      </c>
      <c r="B161" t="s">
        <v>464</v>
      </c>
      <c r="C161" t="s">
        <v>927</v>
      </c>
      <c r="D161" t="s">
        <v>1310</v>
      </c>
      <c r="E161" t="s">
        <v>1311</v>
      </c>
      <c r="F161" t="s">
        <v>51</v>
      </c>
      <c r="G161">
        <v>0.95</v>
      </c>
      <c r="H161">
        <v>30</v>
      </c>
      <c r="I161">
        <v>40</v>
      </c>
      <c r="J161">
        <v>50</v>
      </c>
      <c r="K161">
        <v>20</v>
      </c>
      <c r="L161">
        <v>60</v>
      </c>
      <c r="M161">
        <v>10</v>
      </c>
      <c r="N161">
        <v>35</v>
      </c>
      <c r="O161" t="s">
        <v>99</v>
      </c>
      <c r="P161" t="s">
        <v>23</v>
      </c>
    </row>
    <row r="162" spans="1:16" x14ac:dyDescent="0.3">
      <c r="A162" t="s">
        <v>472</v>
      </c>
      <c r="B162" t="s">
        <v>473</v>
      </c>
      <c r="C162" t="s">
        <v>474</v>
      </c>
      <c r="D162" t="s">
        <v>1312</v>
      </c>
      <c r="E162" t="s">
        <v>944</v>
      </c>
      <c r="F162" t="s">
        <v>51</v>
      </c>
      <c r="G162">
        <v>0.95</v>
      </c>
      <c r="H162">
        <v>35</v>
      </c>
      <c r="I162">
        <v>40</v>
      </c>
      <c r="J162">
        <v>60</v>
      </c>
      <c r="K162">
        <v>20</v>
      </c>
      <c r="L162">
        <v>70</v>
      </c>
      <c r="M162">
        <v>80</v>
      </c>
      <c r="N162">
        <v>50</v>
      </c>
      <c r="O162" t="s">
        <v>71</v>
      </c>
      <c r="P162" t="s">
        <v>23</v>
      </c>
    </row>
    <row r="163" spans="1:16" x14ac:dyDescent="0.3">
      <c r="A163" t="s">
        <v>472</v>
      </c>
      <c r="B163" t="s">
        <v>473</v>
      </c>
      <c r="C163" t="s">
        <v>461</v>
      </c>
      <c r="D163" t="s">
        <v>1313</v>
      </c>
      <c r="E163" t="s">
        <v>947</v>
      </c>
      <c r="F163" t="s">
        <v>51</v>
      </c>
      <c r="G163">
        <v>0.95</v>
      </c>
      <c r="H163">
        <v>65</v>
      </c>
      <c r="I163">
        <v>70</v>
      </c>
      <c r="J163">
        <v>80</v>
      </c>
      <c r="K163">
        <v>40</v>
      </c>
      <c r="L163">
        <v>60</v>
      </c>
      <c r="M163">
        <v>75</v>
      </c>
      <c r="N163">
        <v>65</v>
      </c>
      <c r="O163" t="s">
        <v>28</v>
      </c>
      <c r="P163" t="s">
        <v>23</v>
      </c>
    </row>
    <row r="164" spans="1:16" x14ac:dyDescent="0.3">
      <c r="A164" t="s">
        <v>472</v>
      </c>
      <c r="B164" t="s">
        <v>473</v>
      </c>
      <c r="C164" t="s">
        <v>457</v>
      </c>
      <c r="D164" t="s">
        <v>1314</v>
      </c>
      <c r="E164" t="s">
        <v>1315</v>
      </c>
      <c r="F164" t="s">
        <v>51</v>
      </c>
      <c r="G164">
        <v>0.95</v>
      </c>
      <c r="H164">
        <v>75</v>
      </c>
      <c r="I164">
        <v>75</v>
      </c>
      <c r="J164">
        <v>75</v>
      </c>
      <c r="K164">
        <v>15</v>
      </c>
      <c r="L164">
        <v>75</v>
      </c>
      <c r="M164">
        <v>75</v>
      </c>
      <c r="N164">
        <v>65</v>
      </c>
      <c r="O164" t="s">
        <v>28</v>
      </c>
      <c r="P164" t="s">
        <v>23</v>
      </c>
    </row>
    <row r="165" spans="1:16" x14ac:dyDescent="0.3">
      <c r="A165" t="s">
        <v>472</v>
      </c>
      <c r="B165" t="s">
        <v>473</v>
      </c>
      <c r="C165" t="s">
        <v>497</v>
      </c>
      <c r="D165" t="s">
        <v>1316</v>
      </c>
      <c r="E165" t="s">
        <v>510</v>
      </c>
      <c r="F165" t="s">
        <v>51</v>
      </c>
      <c r="G165">
        <v>0.9</v>
      </c>
      <c r="H165">
        <v>85</v>
      </c>
      <c r="I165">
        <v>80</v>
      </c>
      <c r="J165">
        <v>75</v>
      </c>
      <c r="K165">
        <v>90</v>
      </c>
      <c r="L165">
        <v>70</v>
      </c>
      <c r="M165">
        <v>80</v>
      </c>
      <c r="N165">
        <v>80</v>
      </c>
      <c r="O165" t="s">
        <v>22</v>
      </c>
      <c r="P165" t="s">
        <v>23</v>
      </c>
    </row>
    <row r="166" spans="1:16" x14ac:dyDescent="0.3">
      <c r="A166" t="s">
        <v>481</v>
      </c>
      <c r="B166" t="s">
        <v>482</v>
      </c>
      <c r="C166" t="s">
        <v>474</v>
      </c>
      <c r="D166" t="s">
        <v>1317</v>
      </c>
      <c r="E166" t="s">
        <v>1318</v>
      </c>
      <c r="F166" t="s">
        <v>51</v>
      </c>
      <c r="G166">
        <v>0.92</v>
      </c>
      <c r="H166">
        <v>35</v>
      </c>
      <c r="I166">
        <v>40</v>
      </c>
      <c r="J166">
        <v>60</v>
      </c>
      <c r="K166">
        <v>10</v>
      </c>
      <c r="L166">
        <v>25</v>
      </c>
      <c r="M166">
        <v>75</v>
      </c>
      <c r="N166">
        <v>40</v>
      </c>
      <c r="O166" t="s">
        <v>71</v>
      </c>
      <c r="P166" t="s">
        <v>23</v>
      </c>
    </row>
    <row r="167" spans="1:16" x14ac:dyDescent="0.3">
      <c r="A167" t="s">
        <v>481</v>
      </c>
      <c r="B167" t="s">
        <v>482</v>
      </c>
      <c r="C167" t="s">
        <v>461</v>
      </c>
      <c r="D167" t="s">
        <v>1319</v>
      </c>
      <c r="E167" t="s">
        <v>506</v>
      </c>
      <c r="F167" t="s">
        <v>51</v>
      </c>
      <c r="G167">
        <v>0.95</v>
      </c>
      <c r="H167">
        <v>75</v>
      </c>
      <c r="I167">
        <v>75</v>
      </c>
      <c r="J167">
        <v>75</v>
      </c>
      <c r="K167">
        <v>20</v>
      </c>
      <c r="L167">
        <v>75</v>
      </c>
      <c r="M167">
        <v>75</v>
      </c>
      <c r="N167">
        <v>65</v>
      </c>
      <c r="O167" t="s">
        <v>28</v>
      </c>
      <c r="P167" t="s">
        <v>23</v>
      </c>
    </row>
    <row r="168" spans="1:16" x14ac:dyDescent="0.3">
      <c r="A168" t="s">
        <v>481</v>
      </c>
      <c r="B168" t="s">
        <v>482</v>
      </c>
      <c r="C168" t="s">
        <v>457</v>
      </c>
      <c r="D168" t="s">
        <v>1320</v>
      </c>
      <c r="E168" t="s">
        <v>1321</v>
      </c>
      <c r="F168" t="s">
        <v>51</v>
      </c>
      <c r="G168">
        <v>0.92</v>
      </c>
      <c r="H168">
        <v>75</v>
      </c>
      <c r="I168">
        <v>75</v>
      </c>
      <c r="J168">
        <v>75</v>
      </c>
      <c r="K168">
        <v>75</v>
      </c>
      <c r="L168">
        <v>75</v>
      </c>
      <c r="M168">
        <v>75</v>
      </c>
      <c r="N168">
        <v>75</v>
      </c>
      <c r="O168" t="s">
        <v>22</v>
      </c>
      <c r="P168" t="s">
        <v>23</v>
      </c>
    </row>
    <row r="169" spans="1:16" x14ac:dyDescent="0.3">
      <c r="A169" t="s">
        <v>481</v>
      </c>
      <c r="B169" t="s">
        <v>482</v>
      </c>
      <c r="C169" t="s">
        <v>909</v>
      </c>
      <c r="D169" t="s">
        <v>1322</v>
      </c>
      <c r="E169" t="s">
        <v>510</v>
      </c>
      <c r="F169" t="s">
        <v>51</v>
      </c>
      <c r="G169">
        <v>0.88</v>
      </c>
      <c r="H169">
        <v>10</v>
      </c>
      <c r="I169">
        <v>20</v>
      </c>
      <c r="J169">
        <v>30</v>
      </c>
      <c r="K169">
        <v>5</v>
      </c>
      <c r="L169">
        <v>0</v>
      </c>
      <c r="M169">
        <v>95</v>
      </c>
      <c r="N169">
        <v>0</v>
      </c>
      <c r="O169" t="s">
        <v>403</v>
      </c>
      <c r="P169" t="s">
        <v>23</v>
      </c>
    </row>
    <row r="170" spans="1:16" x14ac:dyDescent="0.3">
      <c r="A170" t="s">
        <v>489</v>
      </c>
      <c r="B170" t="s">
        <v>490</v>
      </c>
      <c r="C170" t="s">
        <v>513</v>
      </c>
      <c r="D170" t="s">
        <v>1323</v>
      </c>
      <c r="E170" t="s">
        <v>907</v>
      </c>
      <c r="F170" t="s">
        <v>51</v>
      </c>
      <c r="G170">
        <v>0.95</v>
      </c>
      <c r="H170">
        <v>30</v>
      </c>
      <c r="I170">
        <v>40</v>
      </c>
      <c r="J170">
        <v>60</v>
      </c>
      <c r="K170">
        <v>20</v>
      </c>
      <c r="L170">
        <v>50</v>
      </c>
      <c r="M170">
        <v>70</v>
      </c>
      <c r="N170">
        <v>45</v>
      </c>
      <c r="O170" t="s">
        <v>71</v>
      </c>
      <c r="P170" t="s">
        <v>23</v>
      </c>
    </row>
    <row r="171" spans="1:16" x14ac:dyDescent="0.3">
      <c r="A171" t="s">
        <v>489</v>
      </c>
      <c r="B171" t="s">
        <v>490</v>
      </c>
      <c r="C171" t="s">
        <v>461</v>
      </c>
      <c r="D171" t="s">
        <v>1324</v>
      </c>
      <c r="E171" t="s">
        <v>907</v>
      </c>
      <c r="F171" t="s">
        <v>51</v>
      </c>
      <c r="G171">
        <v>0.95</v>
      </c>
      <c r="H171">
        <v>65</v>
      </c>
      <c r="I171">
        <v>70</v>
      </c>
      <c r="J171">
        <v>80</v>
      </c>
      <c r="K171">
        <v>40</v>
      </c>
      <c r="L171">
        <v>60</v>
      </c>
      <c r="M171">
        <v>75</v>
      </c>
      <c r="N171">
        <v>65</v>
      </c>
      <c r="O171" t="s">
        <v>28</v>
      </c>
      <c r="P171" t="s">
        <v>23</v>
      </c>
    </row>
    <row r="172" spans="1:16" x14ac:dyDescent="0.3">
      <c r="A172" t="s">
        <v>489</v>
      </c>
      <c r="B172" t="s">
        <v>490</v>
      </c>
      <c r="C172" t="s">
        <v>457</v>
      </c>
      <c r="D172" t="s">
        <v>1325</v>
      </c>
      <c r="E172" t="s">
        <v>907</v>
      </c>
      <c r="F172" t="s">
        <v>51</v>
      </c>
      <c r="G172">
        <v>0.95</v>
      </c>
      <c r="H172">
        <v>65</v>
      </c>
      <c r="I172">
        <v>70</v>
      </c>
      <c r="J172">
        <v>60</v>
      </c>
      <c r="K172">
        <v>45</v>
      </c>
      <c r="L172">
        <v>80</v>
      </c>
      <c r="M172">
        <v>55</v>
      </c>
      <c r="N172">
        <v>62</v>
      </c>
      <c r="O172" t="s">
        <v>28</v>
      </c>
      <c r="P172" t="s">
        <v>23</v>
      </c>
    </row>
    <row r="173" spans="1:16" x14ac:dyDescent="0.3">
      <c r="A173" t="s">
        <v>489</v>
      </c>
      <c r="B173" t="s">
        <v>490</v>
      </c>
      <c r="C173" t="s">
        <v>497</v>
      </c>
      <c r="D173" t="s">
        <v>1326</v>
      </c>
      <c r="E173" t="s">
        <v>907</v>
      </c>
      <c r="F173" t="s">
        <v>51</v>
      </c>
      <c r="G173">
        <v>0.92</v>
      </c>
      <c r="H173">
        <v>85</v>
      </c>
      <c r="I173">
        <v>75</v>
      </c>
      <c r="J173">
        <v>70</v>
      </c>
      <c r="K173">
        <v>90</v>
      </c>
      <c r="L173">
        <v>65</v>
      </c>
      <c r="M173">
        <v>80</v>
      </c>
      <c r="N173">
        <v>77</v>
      </c>
      <c r="O173" t="s">
        <v>22</v>
      </c>
      <c r="P173" t="s">
        <v>23</v>
      </c>
    </row>
    <row r="174" spans="1:16" x14ac:dyDescent="0.3">
      <c r="A174" t="s">
        <v>500</v>
      </c>
      <c r="B174" t="s">
        <v>501</v>
      </c>
      <c r="C174" t="s">
        <v>483</v>
      </c>
      <c r="D174" t="s">
        <v>1327</v>
      </c>
      <c r="E174" t="s">
        <v>1328</v>
      </c>
      <c r="F174" t="s">
        <v>51</v>
      </c>
      <c r="G174">
        <v>0.9</v>
      </c>
      <c r="H174">
        <v>85</v>
      </c>
      <c r="I174">
        <v>90</v>
      </c>
      <c r="J174">
        <v>75</v>
      </c>
      <c r="K174">
        <v>65</v>
      </c>
      <c r="L174">
        <v>70</v>
      </c>
      <c r="M174">
        <v>80</v>
      </c>
      <c r="N174">
        <v>77</v>
      </c>
      <c r="O174" t="s">
        <v>22</v>
      </c>
      <c r="P174" t="s">
        <v>23</v>
      </c>
    </row>
    <row r="175" spans="1:16" x14ac:dyDescent="0.3">
      <c r="A175" t="s">
        <v>500</v>
      </c>
      <c r="B175" t="s">
        <v>501</v>
      </c>
      <c r="C175" t="s">
        <v>457</v>
      </c>
      <c r="D175" t="s">
        <v>1329</v>
      </c>
      <c r="E175" t="s">
        <v>1328</v>
      </c>
      <c r="F175" t="s">
        <v>51</v>
      </c>
      <c r="G175">
        <v>0.95</v>
      </c>
      <c r="H175">
        <v>30</v>
      </c>
      <c r="I175">
        <v>50</v>
      </c>
      <c r="J175">
        <v>60</v>
      </c>
      <c r="K175">
        <v>20</v>
      </c>
      <c r="L175">
        <v>40</v>
      </c>
      <c r="M175">
        <v>70</v>
      </c>
      <c r="N175">
        <v>45</v>
      </c>
      <c r="O175" t="s">
        <v>71</v>
      </c>
      <c r="P175" t="s">
        <v>23</v>
      </c>
    </row>
    <row r="176" spans="1:16" x14ac:dyDescent="0.3">
      <c r="A176" t="s">
        <v>500</v>
      </c>
      <c r="B176" t="s">
        <v>501</v>
      </c>
      <c r="C176" t="s">
        <v>461</v>
      </c>
      <c r="D176" t="s">
        <v>1330</v>
      </c>
      <c r="E176" t="s">
        <v>1328</v>
      </c>
      <c r="F176" t="s">
        <v>51</v>
      </c>
      <c r="G176">
        <v>0.95</v>
      </c>
      <c r="H176">
        <v>65</v>
      </c>
      <c r="I176">
        <v>70</v>
      </c>
      <c r="J176">
        <v>80</v>
      </c>
      <c r="K176">
        <v>20</v>
      </c>
      <c r="L176">
        <v>40</v>
      </c>
      <c r="M176">
        <v>35</v>
      </c>
      <c r="N176">
        <v>51</v>
      </c>
      <c r="O176" t="s">
        <v>71</v>
      </c>
      <c r="P176" t="s">
        <v>23</v>
      </c>
    </row>
    <row r="177" spans="1:16" x14ac:dyDescent="0.3">
      <c r="A177" t="s">
        <v>500</v>
      </c>
      <c r="B177" t="s">
        <v>501</v>
      </c>
      <c r="C177" t="s">
        <v>497</v>
      </c>
      <c r="D177" t="s">
        <v>1331</v>
      </c>
      <c r="E177" t="s">
        <v>1328</v>
      </c>
      <c r="F177" t="s">
        <v>51</v>
      </c>
      <c r="G177">
        <v>0.95</v>
      </c>
      <c r="H177">
        <v>85</v>
      </c>
      <c r="I177">
        <v>75</v>
      </c>
      <c r="J177">
        <v>60</v>
      </c>
      <c r="K177">
        <v>90</v>
      </c>
      <c r="L177">
        <v>80</v>
      </c>
      <c r="M177">
        <v>70</v>
      </c>
      <c r="N177">
        <v>76</v>
      </c>
      <c r="O177" t="s">
        <v>22</v>
      </c>
      <c r="P177" t="s">
        <v>23</v>
      </c>
    </row>
    <row r="178" spans="1:16" x14ac:dyDescent="0.3">
      <c r="A178" t="s">
        <v>511</v>
      </c>
      <c r="B178" t="s">
        <v>512</v>
      </c>
      <c r="C178" t="s">
        <v>483</v>
      </c>
      <c r="D178" t="s">
        <v>1332</v>
      </c>
      <c r="E178" t="s">
        <v>50</v>
      </c>
      <c r="F178" t="s">
        <v>51</v>
      </c>
      <c r="G178">
        <v>0.92</v>
      </c>
      <c r="H178">
        <v>20</v>
      </c>
      <c r="I178">
        <v>70</v>
      </c>
      <c r="J178">
        <v>80</v>
      </c>
      <c r="K178">
        <v>50</v>
      </c>
      <c r="L178">
        <v>40</v>
      </c>
      <c r="M178">
        <v>70</v>
      </c>
      <c r="N178">
        <v>55</v>
      </c>
      <c r="O178" t="s">
        <v>71</v>
      </c>
      <c r="P178" t="s">
        <v>23</v>
      </c>
    </row>
    <row r="179" spans="1:16" x14ac:dyDescent="0.3">
      <c r="A179" t="s">
        <v>511</v>
      </c>
      <c r="B179" t="s">
        <v>512</v>
      </c>
      <c r="C179" t="s">
        <v>461</v>
      </c>
      <c r="D179" t="s">
        <v>1333</v>
      </c>
      <c r="E179" t="s">
        <v>50</v>
      </c>
      <c r="F179" t="s">
        <v>51</v>
      </c>
      <c r="G179">
        <v>0.95</v>
      </c>
      <c r="H179">
        <v>50</v>
      </c>
      <c r="I179">
        <v>60</v>
      </c>
      <c r="J179">
        <v>70</v>
      </c>
      <c r="K179">
        <v>20</v>
      </c>
      <c r="L179">
        <v>30</v>
      </c>
      <c r="M179">
        <v>40</v>
      </c>
      <c r="N179">
        <v>45</v>
      </c>
      <c r="O179" t="s">
        <v>71</v>
      </c>
      <c r="P179" t="s">
        <v>23</v>
      </c>
    </row>
    <row r="180" spans="1:16" x14ac:dyDescent="0.3">
      <c r="A180" t="s">
        <v>511</v>
      </c>
      <c r="B180" t="s">
        <v>512</v>
      </c>
      <c r="C180" t="s">
        <v>457</v>
      </c>
      <c r="D180" t="s">
        <v>1334</v>
      </c>
      <c r="E180" t="s">
        <v>50</v>
      </c>
      <c r="F180" t="s">
        <v>51</v>
      </c>
      <c r="G180">
        <v>0.87</v>
      </c>
      <c r="H180">
        <v>65</v>
      </c>
      <c r="I180">
        <v>70</v>
      </c>
      <c r="J180">
        <v>70</v>
      </c>
      <c r="K180">
        <v>30</v>
      </c>
      <c r="L180">
        <v>40</v>
      </c>
      <c r="M180">
        <v>60</v>
      </c>
      <c r="N180">
        <v>55</v>
      </c>
      <c r="O180" t="s">
        <v>71</v>
      </c>
      <c r="P180" t="s">
        <v>23</v>
      </c>
    </row>
    <row r="181" spans="1:16" x14ac:dyDescent="0.3">
      <c r="A181" t="s">
        <v>511</v>
      </c>
      <c r="B181" t="s">
        <v>512</v>
      </c>
      <c r="C181" t="s">
        <v>927</v>
      </c>
      <c r="D181" t="s">
        <v>1335</v>
      </c>
      <c r="E181" t="s">
        <v>50</v>
      </c>
      <c r="F181" t="s">
        <v>51</v>
      </c>
      <c r="G181">
        <v>0.95</v>
      </c>
      <c r="H181">
        <v>20</v>
      </c>
      <c r="I181">
        <v>40</v>
      </c>
      <c r="J181">
        <v>60</v>
      </c>
      <c r="K181">
        <v>10</v>
      </c>
      <c r="L181">
        <v>30</v>
      </c>
      <c r="M181">
        <v>50</v>
      </c>
      <c r="N181">
        <v>35</v>
      </c>
      <c r="O181" t="s">
        <v>99</v>
      </c>
      <c r="P181" t="s">
        <v>23</v>
      </c>
    </row>
    <row r="182" spans="1:16" x14ac:dyDescent="0.3">
      <c r="A182" t="s">
        <v>524</v>
      </c>
      <c r="B182" t="s">
        <v>525</v>
      </c>
      <c r="C182" t="s">
        <v>1336</v>
      </c>
      <c r="D182" t="s">
        <v>1337</v>
      </c>
      <c r="E182" t="s">
        <v>1338</v>
      </c>
      <c r="F182" t="s">
        <v>529</v>
      </c>
      <c r="G182">
        <v>0.88</v>
      </c>
      <c r="H182">
        <v>75</v>
      </c>
      <c r="I182">
        <v>75</v>
      </c>
      <c r="J182">
        <v>75</v>
      </c>
      <c r="K182">
        <v>75</v>
      </c>
      <c r="L182">
        <v>75</v>
      </c>
      <c r="M182">
        <v>75</v>
      </c>
      <c r="N182">
        <v>75</v>
      </c>
      <c r="O182" t="s">
        <v>22</v>
      </c>
      <c r="P182" t="s">
        <v>23</v>
      </c>
    </row>
    <row r="183" spans="1:16" x14ac:dyDescent="0.3">
      <c r="A183" t="s">
        <v>524</v>
      </c>
      <c r="B183" t="s">
        <v>525</v>
      </c>
      <c r="C183" t="s">
        <v>961</v>
      </c>
      <c r="D183" t="s">
        <v>1339</v>
      </c>
      <c r="E183" t="s">
        <v>1338</v>
      </c>
      <c r="F183" t="s">
        <v>21</v>
      </c>
      <c r="G183">
        <v>0.7</v>
      </c>
      <c r="H183">
        <v>85</v>
      </c>
      <c r="I183">
        <v>75</v>
      </c>
      <c r="J183">
        <v>80</v>
      </c>
      <c r="K183">
        <v>60</v>
      </c>
      <c r="L183">
        <v>90</v>
      </c>
      <c r="M183">
        <v>70</v>
      </c>
      <c r="N183">
        <v>76</v>
      </c>
      <c r="O183" t="s">
        <v>22</v>
      </c>
      <c r="P183" t="s">
        <v>23</v>
      </c>
    </row>
    <row r="184" spans="1:16" x14ac:dyDescent="0.3">
      <c r="A184" t="s">
        <v>524</v>
      </c>
      <c r="B184" t="s">
        <v>525</v>
      </c>
      <c r="C184" t="s">
        <v>1340</v>
      </c>
      <c r="D184" t="s">
        <v>1341</v>
      </c>
      <c r="E184" t="s">
        <v>1338</v>
      </c>
      <c r="F184" t="s">
        <v>21</v>
      </c>
      <c r="G184">
        <v>0.65</v>
      </c>
      <c r="H184">
        <v>85</v>
      </c>
      <c r="I184">
        <v>90</v>
      </c>
      <c r="J184">
        <v>70</v>
      </c>
      <c r="K184">
        <v>60</v>
      </c>
      <c r="L184">
        <v>80</v>
      </c>
      <c r="M184">
        <v>80</v>
      </c>
      <c r="N184">
        <v>77</v>
      </c>
      <c r="O184" t="s">
        <v>22</v>
      </c>
      <c r="P184" t="s">
        <v>23</v>
      </c>
    </row>
    <row r="185" spans="1:16" x14ac:dyDescent="0.3">
      <c r="A185" t="s">
        <v>524</v>
      </c>
      <c r="B185" t="s">
        <v>525</v>
      </c>
      <c r="C185" t="s">
        <v>1342</v>
      </c>
      <c r="D185" t="s">
        <v>1343</v>
      </c>
      <c r="E185" t="s">
        <v>1338</v>
      </c>
      <c r="F185" t="s">
        <v>21</v>
      </c>
      <c r="G185">
        <v>0.9</v>
      </c>
      <c r="H185">
        <v>75</v>
      </c>
      <c r="I185">
        <v>75</v>
      </c>
      <c r="J185">
        <v>75</v>
      </c>
      <c r="K185">
        <v>90</v>
      </c>
      <c r="L185">
        <v>75</v>
      </c>
      <c r="M185">
        <v>75</v>
      </c>
      <c r="N185">
        <v>77</v>
      </c>
      <c r="O185" t="s">
        <v>22</v>
      </c>
      <c r="P185" t="s">
        <v>23</v>
      </c>
    </row>
    <row r="186" spans="1:16" x14ac:dyDescent="0.3">
      <c r="A186" t="s">
        <v>536</v>
      </c>
      <c r="B186" t="s">
        <v>537</v>
      </c>
      <c r="C186" t="s">
        <v>1344</v>
      </c>
      <c r="D186" t="s">
        <v>1345</v>
      </c>
      <c r="E186" t="s">
        <v>573</v>
      </c>
      <c r="F186" t="s">
        <v>529</v>
      </c>
      <c r="G186">
        <v>0.88</v>
      </c>
      <c r="H186">
        <v>85</v>
      </c>
      <c r="I186">
        <v>70</v>
      </c>
      <c r="J186">
        <v>65</v>
      </c>
      <c r="K186">
        <v>80</v>
      </c>
      <c r="L186">
        <v>70</v>
      </c>
      <c r="M186">
        <v>90</v>
      </c>
      <c r="N186">
        <v>76</v>
      </c>
      <c r="O186" t="s">
        <v>22</v>
      </c>
      <c r="P186" t="s">
        <v>23</v>
      </c>
    </row>
    <row r="187" spans="1:16" x14ac:dyDescent="0.3">
      <c r="A187" t="s">
        <v>536</v>
      </c>
      <c r="B187" t="s">
        <v>537</v>
      </c>
      <c r="C187" t="s">
        <v>1346</v>
      </c>
      <c r="D187" t="s">
        <v>1347</v>
      </c>
      <c r="E187" t="s">
        <v>573</v>
      </c>
      <c r="F187" t="s">
        <v>21</v>
      </c>
      <c r="G187">
        <v>0.7</v>
      </c>
      <c r="H187">
        <v>40</v>
      </c>
      <c r="I187">
        <v>50</v>
      </c>
      <c r="J187">
        <v>40</v>
      </c>
      <c r="K187">
        <v>10</v>
      </c>
      <c r="L187">
        <v>20</v>
      </c>
      <c r="M187">
        <v>10</v>
      </c>
      <c r="N187">
        <v>28</v>
      </c>
      <c r="O187" t="s">
        <v>99</v>
      </c>
      <c r="P187" t="s">
        <v>23</v>
      </c>
    </row>
    <row r="188" spans="1:16" x14ac:dyDescent="0.3">
      <c r="A188" t="s">
        <v>536</v>
      </c>
      <c r="B188" t="s">
        <v>537</v>
      </c>
      <c r="C188" t="s">
        <v>1348</v>
      </c>
      <c r="D188" t="s">
        <v>1349</v>
      </c>
      <c r="E188" t="s">
        <v>573</v>
      </c>
      <c r="F188" t="s">
        <v>21</v>
      </c>
      <c r="G188">
        <v>0.85</v>
      </c>
      <c r="H188">
        <v>75</v>
      </c>
      <c r="I188">
        <v>80</v>
      </c>
      <c r="J188">
        <v>80</v>
      </c>
      <c r="K188">
        <v>95</v>
      </c>
      <c r="L188">
        <v>70</v>
      </c>
      <c r="M188">
        <v>70</v>
      </c>
      <c r="N188">
        <v>78</v>
      </c>
      <c r="O188" t="s">
        <v>22</v>
      </c>
      <c r="P188" t="s">
        <v>23</v>
      </c>
    </row>
    <row r="189" spans="1:16" x14ac:dyDescent="0.3">
      <c r="A189" t="s">
        <v>536</v>
      </c>
      <c r="B189" t="s">
        <v>537</v>
      </c>
      <c r="C189" t="s">
        <v>1350</v>
      </c>
      <c r="D189" t="s">
        <v>1351</v>
      </c>
      <c r="E189" t="s">
        <v>573</v>
      </c>
      <c r="F189" t="s">
        <v>21</v>
      </c>
      <c r="G189">
        <v>0.92</v>
      </c>
      <c r="H189">
        <v>85</v>
      </c>
      <c r="I189">
        <v>90</v>
      </c>
      <c r="J189">
        <v>75</v>
      </c>
      <c r="K189">
        <v>60</v>
      </c>
      <c r="L189">
        <v>80</v>
      </c>
      <c r="M189">
        <v>70</v>
      </c>
      <c r="N189">
        <v>76</v>
      </c>
      <c r="O189" t="s">
        <v>22</v>
      </c>
      <c r="P189" t="s">
        <v>23</v>
      </c>
    </row>
    <row r="190" spans="1:16" x14ac:dyDescent="0.3">
      <c r="A190" t="s">
        <v>547</v>
      </c>
      <c r="B190" t="s">
        <v>548</v>
      </c>
      <c r="C190" t="s">
        <v>1352</v>
      </c>
      <c r="D190" t="s">
        <v>1353</v>
      </c>
      <c r="E190" t="s">
        <v>1354</v>
      </c>
      <c r="F190" t="s">
        <v>529</v>
      </c>
      <c r="G190">
        <v>0.95</v>
      </c>
      <c r="H190">
        <v>85</v>
      </c>
      <c r="I190">
        <v>75</v>
      </c>
      <c r="J190">
        <v>65</v>
      </c>
      <c r="K190">
        <v>90</v>
      </c>
      <c r="L190">
        <v>80</v>
      </c>
      <c r="M190">
        <v>70</v>
      </c>
      <c r="N190">
        <v>77</v>
      </c>
      <c r="O190" t="s">
        <v>22</v>
      </c>
      <c r="P190" t="s">
        <v>23</v>
      </c>
    </row>
    <row r="191" spans="1:16" x14ac:dyDescent="0.3">
      <c r="A191" t="s">
        <v>547</v>
      </c>
      <c r="B191" t="s">
        <v>548</v>
      </c>
      <c r="C191" t="s">
        <v>1355</v>
      </c>
      <c r="D191" t="s">
        <v>1356</v>
      </c>
      <c r="E191" t="s">
        <v>1354</v>
      </c>
      <c r="F191" t="s">
        <v>529</v>
      </c>
      <c r="G191">
        <v>0.87</v>
      </c>
      <c r="H191">
        <v>85</v>
      </c>
      <c r="I191">
        <v>70</v>
      </c>
      <c r="J191">
        <v>65</v>
      </c>
      <c r="K191">
        <v>40</v>
      </c>
      <c r="L191">
        <v>80</v>
      </c>
      <c r="M191">
        <v>60</v>
      </c>
      <c r="N191">
        <v>66</v>
      </c>
      <c r="O191" t="s">
        <v>28</v>
      </c>
      <c r="P191" t="s">
        <v>23</v>
      </c>
    </row>
    <row r="192" spans="1:16" x14ac:dyDescent="0.3">
      <c r="A192" t="s">
        <v>547</v>
      </c>
      <c r="B192" t="s">
        <v>548</v>
      </c>
      <c r="C192" t="s">
        <v>1357</v>
      </c>
      <c r="D192" t="s">
        <v>1358</v>
      </c>
      <c r="E192" t="s">
        <v>1354</v>
      </c>
      <c r="F192" t="s">
        <v>21</v>
      </c>
      <c r="G192">
        <v>0.9</v>
      </c>
      <c r="H192">
        <v>75</v>
      </c>
      <c r="I192">
        <v>75</v>
      </c>
      <c r="J192">
        <v>75</v>
      </c>
      <c r="K192">
        <v>80</v>
      </c>
      <c r="L192">
        <v>75</v>
      </c>
      <c r="M192">
        <v>75</v>
      </c>
      <c r="N192">
        <v>75</v>
      </c>
      <c r="O192" t="s">
        <v>22</v>
      </c>
      <c r="P192" t="s">
        <v>23</v>
      </c>
    </row>
    <row r="193" spans="1:16" x14ac:dyDescent="0.3">
      <c r="A193" t="s">
        <v>547</v>
      </c>
      <c r="B193" t="s">
        <v>548</v>
      </c>
      <c r="C193" t="s">
        <v>1359</v>
      </c>
      <c r="D193" t="s">
        <v>1360</v>
      </c>
      <c r="E193" t="s">
        <v>1354</v>
      </c>
      <c r="F193" t="s">
        <v>21</v>
      </c>
      <c r="G193">
        <v>0.9</v>
      </c>
      <c r="H193">
        <v>85</v>
      </c>
      <c r="I193">
        <v>75</v>
      </c>
      <c r="J193">
        <v>80</v>
      </c>
      <c r="K193">
        <v>90</v>
      </c>
      <c r="L193">
        <v>80</v>
      </c>
      <c r="M193">
        <v>65</v>
      </c>
      <c r="N193">
        <v>79</v>
      </c>
      <c r="O193" t="s">
        <v>22</v>
      </c>
      <c r="P193" t="s">
        <v>23</v>
      </c>
    </row>
    <row r="194" spans="1:16" x14ac:dyDescent="0.3">
      <c r="A194" t="s">
        <v>558</v>
      </c>
      <c r="B194" t="s">
        <v>559</v>
      </c>
      <c r="C194" t="s">
        <v>1361</v>
      </c>
      <c r="D194" t="s">
        <v>1362</v>
      </c>
      <c r="E194" t="s">
        <v>562</v>
      </c>
      <c r="F194" t="s">
        <v>21</v>
      </c>
      <c r="G194">
        <v>0.85</v>
      </c>
      <c r="H194">
        <v>75</v>
      </c>
      <c r="I194">
        <v>75</v>
      </c>
      <c r="J194">
        <v>75</v>
      </c>
      <c r="K194">
        <v>15</v>
      </c>
      <c r="L194">
        <v>75</v>
      </c>
      <c r="M194">
        <v>75</v>
      </c>
      <c r="N194">
        <v>65</v>
      </c>
      <c r="O194" t="s">
        <v>28</v>
      </c>
      <c r="P194" t="s">
        <v>23</v>
      </c>
    </row>
    <row r="195" spans="1:16" x14ac:dyDescent="0.3">
      <c r="A195" t="s">
        <v>558</v>
      </c>
      <c r="B195" t="s">
        <v>559</v>
      </c>
      <c r="C195" t="s">
        <v>1363</v>
      </c>
      <c r="D195" t="s">
        <v>1364</v>
      </c>
      <c r="E195" t="s">
        <v>562</v>
      </c>
      <c r="F195" t="s">
        <v>21</v>
      </c>
      <c r="G195">
        <v>0.85</v>
      </c>
      <c r="H195">
        <v>30</v>
      </c>
      <c r="I195">
        <v>45</v>
      </c>
      <c r="J195">
        <v>60</v>
      </c>
      <c r="K195">
        <v>20</v>
      </c>
      <c r="L195">
        <v>50</v>
      </c>
      <c r="M195">
        <v>70</v>
      </c>
      <c r="N195">
        <v>45</v>
      </c>
      <c r="O195" t="s">
        <v>71</v>
      </c>
      <c r="P195" t="s">
        <v>23</v>
      </c>
    </row>
    <row r="196" spans="1:16" x14ac:dyDescent="0.3">
      <c r="A196" t="s">
        <v>558</v>
      </c>
      <c r="B196" t="s">
        <v>559</v>
      </c>
      <c r="C196" t="s">
        <v>1365</v>
      </c>
      <c r="D196" t="s">
        <v>1366</v>
      </c>
      <c r="E196" t="s">
        <v>562</v>
      </c>
      <c r="F196" t="s">
        <v>21</v>
      </c>
      <c r="G196">
        <v>0.88</v>
      </c>
      <c r="H196">
        <v>75</v>
      </c>
      <c r="I196">
        <v>80</v>
      </c>
      <c r="J196">
        <v>70</v>
      </c>
      <c r="K196">
        <v>85</v>
      </c>
      <c r="L196">
        <v>80</v>
      </c>
      <c r="M196">
        <v>80</v>
      </c>
      <c r="N196">
        <v>78</v>
      </c>
      <c r="O196" t="s">
        <v>22</v>
      </c>
      <c r="P196" t="s">
        <v>23</v>
      </c>
    </row>
    <row r="197" spans="1:16" x14ac:dyDescent="0.3">
      <c r="A197" t="s">
        <v>558</v>
      </c>
      <c r="B197" t="s">
        <v>559</v>
      </c>
      <c r="C197" t="s">
        <v>1367</v>
      </c>
      <c r="D197" t="s">
        <v>1368</v>
      </c>
      <c r="E197" t="s">
        <v>562</v>
      </c>
      <c r="F197" t="s">
        <v>21</v>
      </c>
      <c r="G197">
        <v>0.85</v>
      </c>
      <c r="H197">
        <v>75</v>
      </c>
      <c r="I197">
        <v>75</v>
      </c>
      <c r="J197">
        <v>75</v>
      </c>
      <c r="K197">
        <v>75</v>
      </c>
      <c r="L197">
        <v>75</v>
      </c>
      <c r="M197">
        <v>75</v>
      </c>
      <c r="N197">
        <v>75</v>
      </c>
      <c r="O197" t="s">
        <v>22</v>
      </c>
      <c r="P197" t="s">
        <v>23</v>
      </c>
    </row>
    <row r="198" spans="1:16" x14ac:dyDescent="0.3">
      <c r="A198" t="s">
        <v>569</v>
      </c>
      <c r="B198" t="s">
        <v>570</v>
      </c>
      <c r="C198" t="s">
        <v>1369</v>
      </c>
      <c r="D198" t="s">
        <v>1370</v>
      </c>
      <c r="E198" t="s">
        <v>573</v>
      </c>
      <c r="F198" t="s">
        <v>21</v>
      </c>
      <c r="G198">
        <v>0.92</v>
      </c>
      <c r="H198">
        <v>85</v>
      </c>
      <c r="I198">
        <v>70</v>
      </c>
      <c r="J198">
        <v>80</v>
      </c>
      <c r="K198">
        <v>65</v>
      </c>
      <c r="L198">
        <v>90</v>
      </c>
      <c r="M198">
        <v>70</v>
      </c>
      <c r="N198">
        <v>76</v>
      </c>
      <c r="O198" t="s">
        <v>22</v>
      </c>
      <c r="P198" t="s">
        <v>23</v>
      </c>
    </row>
    <row r="199" spans="1:16" x14ac:dyDescent="0.3">
      <c r="A199" t="s">
        <v>569</v>
      </c>
      <c r="B199" t="s">
        <v>570</v>
      </c>
      <c r="C199" t="s">
        <v>1371</v>
      </c>
      <c r="D199" t="s">
        <v>1372</v>
      </c>
      <c r="E199" t="s">
        <v>573</v>
      </c>
      <c r="F199" t="s">
        <v>21</v>
      </c>
      <c r="G199">
        <v>0.87</v>
      </c>
      <c r="H199">
        <v>75</v>
      </c>
      <c r="I199">
        <v>75</v>
      </c>
      <c r="J199">
        <v>75</v>
      </c>
      <c r="K199">
        <v>75</v>
      </c>
      <c r="L199">
        <v>75</v>
      </c>
      <c r="M199">
        <v>75</v>
      </c>
      <c r="N199">
        <v>75</v>
      </c>
      <c r="O199" t="s">
        <v>22</v>
      </c>
      <c r="P199" t="s">
        <v>23</v>
      </c>
    </row>
    <row r="200" spans="1:16" x14ac:dyDescent="0.3">
      <c r="A200" t="s">
        <v>569</v>
      </c>
      <c r="B200" t="s">
        <v>570</v>
      </c>
      <c r="C200" t="s">
        <v>1373</v>
      </c>
      <c r="D200" t="s">
        <v>1374</v>
      </c>
      <c r="E200" t="s">
        <v>573</v>
      </c>
      <c r="F200" t="s">
        <v>21</v>
      </c>
      <c r="G200">
        <v>0.82</v>
      </c>
      <c r="H200">
        <v>75</v>
      </c>
      <c r="I200">
        <v>75</v>
      </c>
      <c r="J200">
        <v>75</v>
      </c>
      <c r="K200">
        <v>75</v>
      </c>
      <c r="L200">
        <v>75</v>
      </c>
      <c r="M200">
        <v>75</v>
      </c>
      <c r="N200">
        <v>75</v>
      </c>
      <c r="O200" t="s">
        <v>22</v>
      </c>
      <c r="P200" t="s">
        <v>23</v>
      </c>
    </row>
    <row r="201" spans="1:16" x14ac:dyDescent="0.3">
      <c r="A201" t="s">
        <v>569</v>
      </c>
      <c r="B201" t="s">
        <v>570</v>
      </c>
      <c r="C201" t="s">
        <v>1375</v>
      </c>
      <c r="D201" t="s">
        <v>1376</v>
      </c>
      <c r="E201" t="s">
        <v>573</v>
      </c>
      <c r="F201" t="s">
        <v>21</v>
      </c>
      <c r="G201">
        <v>0.85</v>
      </c>
      <c r="H201">
        <v>85</v>
      </c>
      <c r="I201">
        <v>75</v>
      </c>
      <c r="J201">
        <v>90</v>
      </c>
      <c r="K201">
        <v>90</v>
      </c>
      <c r="L201">
        <v>80</v>
      </c>
      <c r="M201">
        <v>70</v>
      </c>
      <c r="N201">
        <v>81</v>
      </c>
      <c r="O201" t="s">
        <v>22</v>
      </c>
      <c r="P201" t="s">
        <v>23</v>
      </c>
    </row>
    <row r="202" spans="1:16" x14ac:dyDescent="0.3">
      <c r="A202" t="s">
        <v>580</v>
      </c>
      <c r="B202" t="s">
        <v>581</v>
      </c>
      <c r="C202" t="s">
        <v>1377</v>
      </c>
      <c r="D202" t="s">
        <v>1378</v>
      </c>
      <c r="E202" t="s">
        <v>1379</v>
      </c>
      <c r="F202" t="s">
        <v>21</v>
      </c>
      <c r="G202">
        <v>0.95</v>
      </c>
      <c r="H202">
        <v>75</v>
      </c>
      <c r="I202">
        <v>80</v>
      </c>
      <c r="J202">
        <v>70</v>
      </c>
      <c r="K202">
        <v>60</v>
      </c>
      <c r="L202">
        <v>85</v>
      </c>
      <c r="M202">
        <v>60</v>
      </c>
      <c r="N202">
        <v>71</v>
      </c>
      <c r="O202" t="s">
        <v>28</v>
      </c>
      <c r="P202" t="s">
        <v>23</v>
      </c>
    </row>
    <row r="203" spans="1:16" x14ac:dyDescent="0.3">
      <c r="A203" t="s">
        <v>580</v>
      </c>
      <c r="B203" t="s">
        <v>581</v>
      </c>
      <c r="C203" t="s">
        <v>1380</v>
      </c>
      <c r="D203" t="s">
        <v>1381</v>
      </c>
      <c r="E203" t="s">
        <v>39</v>
      </c>
      <c r="F203" t="s">
        <v>21</v>
      </c>
      <c r="G203">
        <v>0.85</v>
      </c>
      <c r="H203">
        <v>85</v>
      </c>
      <c r="I203">
        <v>90</v>
      </c>
      <c r="J203">
        <v>80</v>
      </c>
      <c r="K203">
        <v>75</v>
      </c>
      <c r="L203">
        <v>90</v>
      </c>
      <c r="M203">
        <v>60</v>
      </c>
      <c r="N203">
        <v>80</v>
      </c>
      <c r="O203" t="s">
        <v>22</v>
      </c>
      <c r="P203" t="s">
        <v>23</v>
      </c>
    </row>
    <row r="204" spans="1:16" x14ac:dyDescent="0.3">
      <c r="A204" t="s">
        <v>580</v>
      </c>
      <c r="B204" t="s">
        <v>581</v>
      </c>
      <c r="C204" t="s">
        <v>1382</v>
      </c>
      <c r="D204" t="s">
        <v>1383</v>
      </c>
      <c r="E204" t="s">
        <v>42</v>
      </c>
      <c r="F204" t="s">
        <v>21</v>
      </c>
      <c r="G204">
        <v>0.95</v>
      </c>
      <c r="H204">
        <v>75</v>
      </c>
      <c r="I204">
        <v>80</v>
      </c>
      <c r="J204">
        <v>60</v>
      </c>
      <c r="K204">
        <v>45</v>
      </c>
      <c r="L204">
        <v>90</v>
      </c>
      <c r="M204">
        <v>85</v>
      </c>
      <c r="N204">
        <v>72</v>
      </c>
      <c r="O204" t="s">
        <v>28</v>
      </c>
      <c r="P204" t="s">
        <v>23</v>
      </c>
    </row>
    <row r="205" spans="1:16" x14ac:dyDescent="0.3">
      <c r="A205" t="s">
        <v>580</v>
      </c>
      <c r="B205" t="s">
        <v>581</v>
      </c>
      <c r="C205" t="s">
        <v>1053</v>
      </c>
      <c r="D205" t="s">
        <v>1384</v>
      </c>
      <c r="E205" t="s">
        <v>610</v>
      </c>
      <c r="F205" t="s">
        <v>21</v>
      </c>
      <c r="G205">
        <v>0.92</v>
      </c>
      <c r="H205">
        <v>85</v>
      </c>
      <c r="I205">
        <v>90</v>
      </c>
      <c r="J205">
        <v>70</v>
      </c>
      <c r="K205">
        <v>60</v>
      </c>
      <c r="L205">
        <v>80</v>
      </c>
      <c r="M205">
        <v>75</v>
      </c>
      <c r="N205">
        <v>76</v>
      </c>
      <c r="O205" t="s">
        <v>22</v>
      </c>
      <c r="P205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BD29D-0B83-4B4C-827F-C5B50EB7277C}">
  <dimension ref="A3:C15"/>
  <sheetViews>
    <sheetView workbookViewId="0">
      <selection activeCell="A3" sqref="A3"/>
    </sheetView>
  </sheetViews>
  <sheetFormatPr defaultRowHeight="14.4" x14ac:dyDescent="0.3"/>
  <cols>
    <col min="1" max="1" width="15.109375" bestFit="1" customWidth="1"/>
    <col min="2" max="2" width="14.109375" bestFit="1" customWidth="1"/>
    <col min="3" max="3" width="15.109375" bestFit="1" customWidth="1"/>
    <col min="4" max="4" width="19.88671875" bestFit="1" customWidth="1"/>
  </cols>
  <sheetData>
    <row r="3" spans="1:3" x14ac:dyDescent="0.3">
      <c r="A3" s="3" t="s">
        <v>1388</v>
      </c>
      <c r="B3" s="3" t="s">
        <v>5</v>
      </c>
      <c r="C3" s="3" t="s">
        <v>1389</v>
      </c>
    </row>
    <row r="4" spans="1:3" x14ac:dyDescent="0.3">
      <c r="A4" t="s">
        <v>529</v>
      </c>
      <c r="B4" t="s">
        <v>529</v>
      </c>
      <c r="C4" t="s">
        <v>529</v>
      </c>
    </row>
    <row r="5" spans="1:3" x14ac:dyDescent="0.3">
      <c r="A5" t="s">
        <v>529</v>
      </c>
      <c r="B5" t="s">
        <v>529</v>
      </c>
      <c r="C5" t="s">
        <v>21</v>
      </c>
    </row>
    <row r="6" spans="1:3" x14ac:dyDescent="0.3">
      <c r="A6" t="s">
        <v>529</v>
      </c>
      <c r="B6" t="s">
        <v>21</v>
      </c>
      <c r="C6" t="s">
        <v>21</v>
      </c>
    </row>
    <row r="7" spans="1:3" x14ac:dyDescent="0.3">
      <c r="A7" t="s">
        <v>51</v>
      </c>
      <c r="B7" t="s">
        <v>51</v>
      </c>
      <c r="C7" t="s">
        <v>51</v>
      </c>
    </row>
    <row r="8" spans="1:3" x14ac:dyDescent="0.3">
      <c r="A8" t="s">
        <v>51</v>
      </c>
      <c r="B8" t="s">
        <v>51</v>
      </c>
      <c r="C8" t="s">
        <v>21</v>
      </c>
    </row>
    <row r="9" spans="1:3" x14ac:dyDescent="0.3">
      <c r="A9" t="s">
        <v>51</v>
      </c>
      <c r="B9" t="s">
        <v>21</v>
      </c>
      <c r="C9" t="s">
        <v>51</v>
      </c>
    </row>
    <row r="10" spans="1:3" x14ac:dyDescent="0.3">
      <c r="A10" t="s">
        <v>51</v>
      </c>
      <c r="B10" t="s">
        <v>21</v>
      </c>
      <c r="C10" t="s">
        <v>21</v>
      </c>
    </row>
    <row r="11" spans="1:3" x14ac:dyDescent="0.3">
      <c r="A11" t="s">
        <v>21</v>
      </c>
      <c r="B11" t="s">
        <v>529</v>
      </c>
      <c r="C11" t="s">
        <v>21</v>
      </c>
    </row>
    <row r="12" spans="1:3" x14ac:dyDescent="0.3">
      <c r="A12" t="s">
        <v>21</v>
      </c>
      <c r="B12" t="s">
        <v>51</v>
      </c>
      <c r="C12" t="s">
        <v>21</v>
      </c>
    </row>
    <row r="13" spans="1:3" x14ac:dyDescent="0.3">
      <c r="A13" t="s">
        <v>21</v>
      </c>
      <c r="B13" t="s">
        <v>21</v>
      </c>
      <c r="C13" t="s">
        <v>529</v>
      </c>
    </row>
    <row r="14" spans="1:3" x14ac:dyDescent="0.3">
      <c r="A14" t="s">
        <v>21</v>
      </c>
      <c r="B14" t="s">
        <v>21</v>
      </c>
      <c r="C14" t="s">
        <v>51</v>
      </c>
    </row>
    <row r="15" spans="1:3" x14ac:dyDescent="0.3">
      <c r="A15" t="s">
        <v>21</v>
      </c>
      <c r="B15" t="s">
        <v>21</v>
      </c>
      <c r="C15" t="s">
        <v>21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9432B-1715-405F-95D5-A3885F16733F}">
  <dimension ref="A3:B6"/>
  <sheetViews>
    <sheetView workbookViewId="0">
      <selection activeCell="M24" sqref="M24"/>
    </sheetView>
  </sheetViews>
  <sheetFormatPr defaultRowHeight="14.4" x14ac:dyDescent="0.3"/>
  <cols>
    <col min="1" max="1" width="14.109375" bestFit="1" customWidth="1"/>
    <col min="2" max="3" width="19.88671875" bestFit="1" customWidth="1"/>
  </cols>
  <sheetData>
    <row r="3" spans="1:2" x14ac:dyDescent="0.3">
      <c r="A3" s="3" t="s">
        <v>5</v>
      </c>
      <c r="B3" t="s">
        <v>1387</v>
      </c>
    </row>
    <row r="4" spans="1:2" x14ac:dyDescent="0.3">
      <c r="A4" t="s">
        <v>529</v>
      </c>
      <c r="B4" s="4">
        <v>4</v>
      </c>
    </row>
    <row r="5" spans="1:2" x14ac:dyDescent="0.3">
      <c r="A5" t="s">
        <v>51</v>
      </c>
      <c r="B5" s="4">
        <v>61</v>
      </c>
    </row>
    <row r="6" spans="1:2" x14ac:dyDescent="0.3">
      <c r="A6" t="s">
        <v>21</v>
      </c>
      <c r="B6" s="4">
        <v>139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4DEB9-81B8-4D8D-BAB2-B5EE261D2D2B}">
  <sheetPr filterMode="1"/>
  <dimension ref="A1:J210"/>
  <sheetViews>
    <sheetView topLeftCell="A168" workbookViewId="0">
      <selection activeCell="J181" sqref="J181"/>
    </sheetView>
  </sheetViews>
  <sheetFormatPr defaultRowHeight="14.4" x14ac:dyDescent="0.3"/>
  <sheetData>
    <row r="1" spans="1:8" x14ac:dyDescent="0.3">
      <c r="A1" s="1" t="s">
        <v>0</v>
      </c>
      <c r="B1" s="1" t="s">
        <v>5</v>
      </c>
      <c r="C1" s="1" t="s">
        <v>5</v>
      </c>
      <c r="D1" s="1" t="s">
        <v>5</v>
      </c>
    </row>
    <row r="2" spans="1:8" x14ac:dyDescent="0.3">
      <c r="A2" t="s">
        <v>16</v>
      </c>
      <c r="B2" t="s">
        <v>21</v>
      </c>
      <c r="C2" t="s">
        <v>21</v>
      </c>
      <c r="D2" t="s">
        <v>21</v>
      </c>
      <c r="E2">
        <f>COUNTIF(B2:D2,"ICE_ONLY")</f>
        <v>0</v>
      </c>
      <c r="F2">
        <f>COUNTIF(B2:D2,"SHARED")</f>
        <v>3</v>
      </c>
      <c r="G2">
        <f>COUNTIF(B2:D2,"EV_ONLY")</f>
        <v>0</v>
      </c>
      <c r="H2">
        <f>(E2*(E2-1)+F2*(F2-1)+G2*(G2-1))/(3*(3-1))</f>
        <v>1</v>
      </c>
    </row>
    <row r="3" spans="1:8" x14ac:dyDescent="0.3">
      <c r="A3" t="s">
        <v>16</v>
      </c>
      <c r="B3" t="s">
        <v>21</v>
      </c>
      <c r="C3" t="s">
        <v>21</v>
      </c>
      <c r="D3" t="s">
        <v>21</v>
      </c>
      <c r="E3">
        <f t="shared" ref="E3:E66" si="0">COUNTIF(B3:D3,"ICE_ONLY")</f>
        <v>0</v>
      </c>
      <c r="F3">
        <f t="shared" ref="F3:F66" si="1">COUNTIF(B3:D3,"SHARED")</f>
        <v>3</v>
      </c>
      <c r="G3">
        <f t="shared" ref="G3:G66" si="2">COUNTIF(B3:D3,"EV_ONLY")</f>
        <v>0</v>
      </c>
      <c r="H3">
        <f t="shared" ref="H3:H66" si="3">(E3*(E3-1)+F3*(F3-1)+G3*(G3-1))/(3*(3-1))</f>
        <v>1</v>
      </c>
    </row>
    <row r="4" spans="1:8" x14ac:dyDescent="0.3">
      <c r="A4" t="s">
        <v>16</v>
      </c>
      <c r="B4" t="s">
        <v>21</v>
      </c>
      <c r="C4" t="s">
        <v>21</v>
      </c>
      <c r="D4" t="s">
        <v>21</v>
      </c>
      <c r="E4">
        <f t="shared" si="0"/>
        <v>0</v>
      </c>
      <c r="F4">
        <f t="shared" si="1"/>
        <v>3</v>
      </c>
      <c r="G4">
        <f t="shared" si="2"/>
        <v>0</v>
      </c>
      <c r="H4">
        <f t="shared" si="3"/>
        <v>1</v>
      </c>
    </row>
    <row r="5" spans="1:8" x14ac:dyDescent="0.3">
      <c r="A5" t="s">
        <v>16</v>
      </c>
      <c r="B5" t="s">
        <v>21</v>
      </c>
      <c r="C5" t="s">
        <v>21</v>
      </c>
      <c r="D5" t="s">
        <v>21</v>
      </c>
      <c r="E5">
        <f t="shared" si="0"/>
        <v>0</v>
      </c>
      <c r="F5">
        <f t="shared" si="1"/>
        <v>3</v>
      </c>
      <c r="G5">
        <f t="shared" si="2"/>
        <v>0</v>
      </c>
      <c r="H5">
        <f t="shared" si="3"/>
        <v>1</v>
      </c>
    </row>
    <row r="6" spans="1:8" x14ac:dyDescent="0.3">
      <c r="A6" t="s">
        <v>32</v>
      </c>
      <c r="B6" t="s">
        <v>21</v>
      </c>
      <c r="C6" t="s">
        <v>21</v>
      </c>
      <c r="D6" t="s">
        <v>21</v>
      </c>
      <c r="E6">
        <f t="shared" si="0"/>
        <v>0</v>
      </c>
      <c r="F6">
        <f t="shared" si="1"/>
        <v>3</v>
      </c>
      <c r="G6">
        <f t="shared" si="2"/>
        <v>0</v>
      </c>
      <c r="H6">
        <f t="shared" si="3"/>
        <v>1</v>
      </c>
    </row>
    <row r="7" spans="1:8" x14ac:dyDescent="0.3">
      <c r="A7" t="s">
        <v>32</v>
      </c>
      <c r="B7" t="s">
        <v>21</v>
      </c>
      <c r="C7" t="s">
        <v>21</v>
      </c>
      <c r="D7" t="s">
        <v>21</v>
      </c>
      <c r="E7">
        <f t="shared" si="0"/>
        <v>0</v>
      </c>
      <c r="F7">
        <f t="shared" si="1"/>
        <v>3</v>
      </c>
      <c r="G7">
        <f t="shared" si="2"/>
        <v>0</v>
      </c>
      <c r="H7">
        <f t="shared" si="3"/>
        <v>1</v>
      </c>
    </row>
    <row r="8" spans="1:8" x14ac:dyDescent="0.3">
      <c r="A8" t="s">
        <v>32</v>
      </c>
      <c r="B8" t="s">
        <v>21</v>
      </c>
      <c r="C8" t="s">
        <v>21</v>
      </c>
      <c r="D8" t="s">
        <v>21</v>
      </c>
      <c r="E8">
        <f t="shared" si="0"/>
        <v>0</v>
      </c>
      <c r="F8">
        <f t="shared" si="1"/>
        <v>3</v>
      </c>
      <c r="G8">
        <f t="shared" si="2"/>
        <v>0</v>
      </c>
      <c r="H8">
        <f t="shared" si="3"/>
        <v>1</v>
      </c>
    </row>
    <row r="9" spans="1:8" x14ac:dyDescent="0.3">
      <c r="A9" t="s">
        <v>32</v>
      </c>
      <c r="B9" t="s">
        <v>21</v>
      </c>
      <c r="C9" t="s">
        <v>21</v>
      </c>
      <c r="D9" t="s">
        <v>21</v>
      </c>
      <c r="E9">
        <f t="shared" si="0"/>
        <v>0</v>
      </c>
      <c r="F9">
        <f t="shared" si="1"/>
        <v>3</v>
      </c>
      <c r="G9">
        <f t="shared" si="2"/>
        <v>0</v>
      </c>
      <c r="H9">
        <f t="shared" si="3"/>
        <v>1</v>
      </c>
    </row>
    <row r="10" spans="1:8" x14ac:dyDescent="0.3">
      <c r="A10" t="s">
        <v>46</v>
      </c>
      <c r="B10" t="s">
        <v>51</v>
      </c>
      <c r="C10" t="s">
        <v>51</v>
      </c>
      <c r="D10" t="s">
        <v>51</v>
      </c>
      <c r="E10">
        <f t="shared" si="0"/>
        <v>3</v>
      </c>
      <c r="F10">
        <f t="shared" si="1"/>
        <v>0</v>
      </c>
      <c r="G10">
        <f t="shared" si="2"/>
        <v>0</v>
      </c>
      <c r="H10">
        <f t="shared" si="3"/>
        <v>1</v>
      </c>
    </row>
    <row r="11" spans="1:8" x14ac:dyDescent="0.3">
      <c r="A11" t="s">
        <v>46</v>
      </c>
      <c r="B11" t="s">
        <v>51</v>
      </c>
      <c r="C11" t="s">
        <v>51</v>
      </c>
      <c r="D11" t="s">
        <v>51</v>
      </c>
      <c r="E11">
        <f t="shared" si="0"/>
        <v>3</v>
      </c>
      <c r="F11">
        <f t="shared" si="1"/>
        <v>0</v>
      </c>
      <c r="G11">
        <f t="shared" si="2"/>
        <v>0</v>
      </c>
      <c r="H11">
        <f t="shared" si="3"/>
        <v>1</v>
      </c>
    </row>
    <row r="12" spans="1:8" hidden="1" x14ac:dyDescent="0.3">
      <c r="A12" t="s">
        <v>46</v>
      </c>
      <c r="B12" t="s">
        <v>51</v>
      </c>
      <c r="C12" t="s">
        <v>21</v>
      </c>
      <c r="D12" t="s">
        <v>21</v>
      </c>
      <c r="E12">
        <f t="shared" si="0"/>
        <v>1</v>
      </c>
      <c r="F12">
        <f t="shared" si="1"/>
        <v>2</v>
      </c>
      <c r="G12">
        <f t="shared" si="2"/>
        <v>0</v>
      </c>
      <c r="H12">
        <f t="shared" si="3"/>
        <v>0.33333333333333331</v>
      </c>
    </row>
    <row r="13" spans="1:8" x14ac:dyDescent="0.3">
      <c r="A13" t="s">
        <v>46</v>
      </c>
      <c r="B13" t="s">
        <v>21</v>
      </c>
      <c r="C13" t="s">
        <v>21</v>
      </c>
      <c r="D13" t="s">
        <v>21</v>
      </c>
      <c r="E13">
        <f t="shared" si="0"/>
        <v>0</v>
      </c>
      <c r="F13">
        <f t="shared" si="1"/>
        <v>3</v>
      </c>
      <c r="G13">
        <f t="shared" si="2"/>
        <v>0</v>
      </c>
      <c r="H13">
        <f t="shared" si="3"/>
        <v>1</v>
      </c>
    </row>
    <row r="14" spans="1:8" x14ac:dyDescent="0.3">
      <c r="A14" t="s">
        <v>59</v>
      </c>
      <c r="B14" t="s">
        <v>21</v>
      </c>
      <c r="C14" t="s">
        <v>21</v>
      </c>
      <c r="D14" t="s">
        <v>21</v>
      </c>
      <c r="E14">
        <f t="shared" si="0"/>
        <v>0</v>
      </c>
      <c r="F14">
        <f t="shared" si="1"/>
        <v>3</v>
      </c>
      <c r="G14">
        <f t="shared" si="2"/>
        <v>0</v>
      </c>
      <c r="H14">
        <f t="shared" si="3"/>
        <v>1</v>
      </c>
    </row>
    <row r="15" spans="1:8" x14ac:dyDescent="0.3">
      <c r="A15" t="s">
        <v>59</v>
      </c>
      <c r="B15" t="s">
        <v>21</v>
      </c>
      <c r="C15" t="s">
        <v>21</v>
      </c>
      <c r="D15" t="s">
        <v>21</v>
      </c>
      <c r="E15">
        <f t="shared" si="0"/>
        <v>0</v>
      </c>
      <c r="F15">
        <f t="shared" si="1"/>
        <v>3</v>
      </c>
      <c r="G15">
        <f t="shared" si="2"/>
        <v>0</v>
      </c>
      <c r="H15">
        <f t="shared" si="3"/>
        <v>1</v>
      </c>
    </row>
    <row r="16" spans="1:8" x14ac:dyDescent="0.3">
      <c r="A16" t="s">
        <v>59</v>
      </c>
      <c r="B16" t="s">
        <v>21</v>
      </c>
      <c r="C16" t="s">
        <v>21</v>
      </c>
      <c r="D16" t="s">
        <v>21</v>
      </c>
      <c r="E16">
        <f t="shared" si="0"/>
        <v>0</v>
      </c>
      <c r="F16">
        <f t="shared" si="1"/>
        <v>3</v>
      </c>
      <c r="G16">
        <f t="shared" si="2"/>
        <v>0</v>
      </c>
      <c r="H16">
        <f t="shared" si="3"/>
        <v>1</v>
      </c>
    </row>
    <row r="17" spans="1:8" x14ac:dyDescent="0.3">
      <c r="A17" t="s">
        <v>59</v>
      </c>
      <c r="B17" t="s">
        <v>21</v>
      </c>
      <c r="C17" t="s">
        <v>21</v>
      </c>
      <c r="D17" t="s">
        <v>21</v>
      </c>
      <c r="E17">
        <f t="shared" si="0"/>
        <v>0</v>
      </c>
      <c r="F17">
        <f t="shared" si="1"/>
        <v>3</v>
      </c>
      <c r="G17">
        <f t="shared" si="2"/>
        <v>0</v>
      </c>
      <c r="H17">
        <f t="shared" si="3"/>
        <v>1</v>
      </c>
    </row>
    <row r="18" spans="1:8" x14ac:dyDescent="0.3">
      <c r="A18" t="s">
        <v>72</v>
      </c>
      <c r="B18" t="s">
        <v>21</v>
      </c>
      <c r="C18" t="s">
        <v>21</v>
      </c>
      <c r="D18" t="s">
        <v>21</v>
      </c>
      <c r="E18">
        <f t="shared" si="0"/>
        <v>0</v>
      </c>
      <c r="F18">
        <f t="shared" si="1"/>
        <v>3</v>
      </c>
      <c r="G18">
        <f t="shared" si="2"/>
        <v>0</v>
      </c>
      <c r="H18">
        <f t="shared" si="3"/>
        <v>1</v>
      </c>
    </row>
    <row r="19" spans="1:8" hidden="1" x14ac:dyDescent="0.3">
      <c r="A19" t="s">
        <v>72</v>
      </c>
      <c r="B19" t="s">
        <v>51</v>
      </c>
      <c r="C19" t="s">
        <v>51</v>
      </c>
      <c r="D19" t="s">
        <v>21</v>
      </c>
      <c r="E19">
        <f t="shared" si="0"/>
        <v>2</v>
      </c>
      <c r="F19">
        <f t="shared" si="1"/>
        <v>1</v>
      </c>
      <c r="G19">
        <f t="shared" si="2"/>
        <v>0</v>
      </c>
      <c r="H19">
        <f t="shared" si="3"/>
        <v>0.33333333333333331</v>
      </c>
    </row>
    <row r="20" spans="1:8" hidden="1" x14ac:dyDescent="0.3">
      <c r="A20" t="s">
        <v>72</v>
      </c>
      <c r="B20" t="s">
        <v>51</v>
      </c>
      <c r="C20" t="s">
        <v>51</v>
      </c>
      <c r="D20" t="s">
        <v>21</v>
      </c>
      <c r="E20">
        <f t="shared" si="0"/>
        <v>2</v>
      </c>
      <c r="F20">
        <f t="shared" si="1"/>
        <v>1</v>
      </c>
      <c r="G20">
        <f t="shared" si="2"/>
        <v>0</v>
      </c>
      <c r="H20">
        <f t="shared" si="3"/>
        <v>0.33333333333333331</v>
      </c>
    </row>
    <row r="21" spans="1:8" x14ac:dyDescent="0.3">
      <c r="A21" t="s">
        <v>72</v>
      </c>
      <c r="B21" t="s">
        <v>21</v>
      </c>
      <c r="C21" t="s">
        <v>21</v>
      </c>
      <c r="D21" t="s">
        <v>21</v>
      </c>
      <c r="E21">
        <f t="shared" si="0"/>
        <v>0</v>
      </c>
      <c r="F21">
        <f t="shared" si="1"/>
        <v>3</v>
      </c>
      <c r="G21">
        <f t="shared" si="2"/>
        <v>0</v>
      </c>
      <c r="H21">
        <f t="shared" si="3"/>
        <v>1</v>
      </c>
    </row>
    <row r="22" spans="1:8" x14ac:dyDescent="0.3">
      <c r="A22" t="s">
        <v>83</v>
      </c>
      <c r="B22" t="s">
        <v>21</v>
      </c>
      <c r="C22" t="s">
        <v>21</v>
      </c>
      <c r="D22" t="s">
        <v>21</v>
      </c>
      <c r="E22">
        <f t="shared" si="0"/>
        <v>0</v>
      </c>
      <c r="F22">
        <f t="shared" si="1"/>
        <v>3</v>
      </c>
      <c r="G22">
        <f t="shared" si="2"/>
        <v>0</v>
      </c>
      <c r="H22">
        <f t="shared" si="3"/>
        <v>1</v>
      </c>
    </row>
    <row r="23" spans="1:8" x14ac:dyDescent="0.3">
      <c r="A23" t="s">
        <v>83</v>
      </c>
      <c r="B23" t="s">
        <v>21</v>
      </c>
      <c r="C23" t="s">
        <v>21</v>
      </c>
      <c r="D23" t="s">
        <v>21</v>
      </c>
      <c r="E23">
        <f t="shared" si="0"/>
        <v>0</v>
      </c>
      <c r="F23">
        <f t="shared" si="1"/>
        <v>3</v>
      </c>
      <c r="G23">
        <f t="shared" si="2"/>
        <v>0</v>
      </c>
      <c r="H23">
        <f t="shared" si="3"/>
        <v>1</v>
      </c>
    </row>
    <row r="24" spans="1:8" x14ac:dyDescent="0.3">
      <c r="A24" t="s">
        <v>83</v>
      </c>
      <c r="B24" t="s">
        <v>21</v>
      </c>
      <c r="C24" t="s">
        <v>21</v>
      </c>
      <c r="D24" t="s">
        <v>21</v>
      </c>
      <c r="E24">
        <f t="shared" si="0"/>
        <v>0</v>
      </c>
      <c r="F24">
        <f t="shared" si="1"/>
        <v>3</v>
      </c>
      <c r="G24">
        <f t="shared" si="2"/>
        <v>0</v>
      </c>
      <c r="H24">
        <f t="shared" si="3"/>
        <v>1</v>
      </c>
    </row>
    <row r="25" spans="1:8" x14ac:dyDescent="0.3">
      <c r="A25" t="s">
        <v>83</v>
      </c>
      <c r="B25" t="s">
        <v>21</v>
      </c>
      <c r="C25" t="s">
        <v>21</v>
      </c>
      <c r="D25" t="s">
        <v>21</v>
      </c>
      <c r="E25">
        <f t="shared" si="0"/>
        <v>0</v>
      </c>
      <c r="F25">
        <f t="shared" si="1"/>
        <v>3</v>
      </c>
      <c r="G25">
        <f t="shared" si="2"/>
        <v>0</v>
      </c>
      <c r="H25">
        <f t="shared" si="3"/>
        <v>1</v>
      </c>
    </row>
    <row r="26" spans="1:8" x14ac:dyDescent="0.3">
      <c r="A26" t="s">
        <v>94</v>
      </c>
      <c r="B26" t="s">
        <v>51</v>
      </c>
      <c r="C26" t="s">
        <v>51</v>
      </c>
      <c r="D26" t="s">
        <v>51</v>
      </c>
      <c r="E26">
        <f t="shared" si="0"/>
        <v>3</v>
      </c>
      <c r="F26">
        <f t="shared" si="1"/>
        <v>0</v>
      </c>
      <c r="G26">
        <f t="shared" si="2"/>
        <v>0</v>
      </c>
      <c r="H26">
        <f t="shared" si="3"/>
        <v>1</v>
      </c>
    </row>
    <row r="27" spans="1:8" x14ac:dyDescent="0.3">
      <c r="A27" t="s">
        <v>94</v>
      </c>
      <c r="B27" t="s">
        <v>51</v>
      </c>
      <c r="C27" t="s">
        <v>51</v>
      </c>
      <c r="D27" t="s">
        <v>51</v>
      </c>
      <c r="E27">
        <f t="shared" si="0"/>
        <v>3</v>
      </c>
      <c r="F27">
        <f t="shared" si="1"/>
        <v>0</v>
      </c>
      <c r="G27">
        <f t="shared" si="2"/>
        <v>0</v>
      </c>
      <c r="H27">
        <f t="shared" si="3"/>
        <v>1</v>
      </c>
    </row>
    <row r="28" spans="1:8" x14ac:dyDescent="0.3">
      <c r="A28" t="s">
        <v>94</v>
      </c>
      <c r="B28" t="s">
        <v>51</v>
      </c>
      <c r="C28" t="s">
        <v>51</v>
      </c>
      <c r="D28" t="s">
        <v>51</v>
      </c>
      <c r="E28">
        <f t="shared" si="0"/>
        <v>3</v>
      </c>
      <c r="F28">
        <f t="shared" si="1"/>
        <v>0</v>
      </c>
      <c r="G28">
        <f t="shared" si="2"/>
        <v>0</v>
      </c>
      <c r="H28">
        <f t="shared" si="3"/>
        <v>1</v>
      </c>
    </row>
    <row r="29" spans="1:8" x14ac:dyDescent="0.3">
      <c r="A29" t="s">
        <v>94</v>
      </c>
      <c r="B29" t="s">
        <v>51</v>
      </c>
      <c r="C29" t="s">
        <v>51</v>
      </c>
      <c r="D29" t="s">
        <v>51</v>
      </c>
      <c r="E29">
        <f t="shared" si="0"/>
        <v>3</v>
      </c>
      <c r="F29">
        <f t="shared" si="1"/>
        <v>0</v>
      </c>
      <c r="G29">
        <f t="shared" si="2"/>
        <v>0</v>
      </c>
      <c r="H29">
        <f t="shared" si="3"/>
        <v>1</v>
      </c>
    </row>
    <row r="30" spans="1:8" x14ac:dyDescent="0.3">
      <c r="A30" t="s">
        <v>106</v>
      </c>
      <c r="B30" t="s">
        <v>21</v>
      </c>
      <c r="C30" t="s">
        <v>21</v>
      </c>
      <c r="D30" t="s">
        <v>21</v>
      </c>
      <c r="E30">
        <f t="shared" si="0"/>
        <v>0</v>
      </c>
      <c r="F30">
        <f t="shared" si="1"/>
        <v>3</v>
      </c>
      <c r="G30">
        <f t="shared" si="2"/>
        <v>0</v>
      </c>
      <c r="H30">
        <f t="shared" si="3"/>
        <v>1</v>
      </c>
    </row>
    <row r="31" spans="1:8" x14ac:dyDescent="0.3">
      <c r="A31" t="s">
        <v>106</v>
      </c>
      <c r="B31" t="s">
        <v>21</v>
      </c>
      <c r="C31" t="s">
        <v>21</v>
      </c>
      <c r="D31" t="s">
        <v>21</v>
      </c>
      <c r="E31">
        <f t="shared" si="0"/>
        <v>0</v>
      </c>
      <c r="F31">
        <f t="shared" si="1"/>
        <v>3</v>
      </c>
      <c r="G31">
        <f t="shared" si="2"/>
        <v>0</v>
      </c>
      <c r="H31">
        <f t="shared" si="3"/>
        <v>1</v>
      </c>
    </row>
    <row r="32" spans="1:8" x14ac:dyDescent="0.3">
      <c r="A32" t="s">
        <v>106</v>
      </c>
      <c r="B32" t="s">
        <v>21</v>
      </c>
      <c r="C32" t="s">
        <v>21</v>
      </c>
      <c r="D32" t="s">
        <v>21</v>
      </c>
      <c r="E32">
        <f t="shared" si="0"/>
        <v>0</v>
      </c>
      <c r="F32">
        <f t="shared" si="1"/>
        <v>3</v>
      </c>
      <c r="G32">
        <f t="shared" si="2"/>
        <v>0</v>
      </c>
      <c r="H32">
        <f t="shared" si="3"/>
        <v>1</v>
      </c>
    </row>
    <row r="33" spans="1:8" x14ac:dyDescent="0.3">
      <c r="A33" t="s">
        <v>106</v>
      </c>
      <c r="B33" t="s">
        <v>21</v>
      </c>
      <c r="C33" t="s">
        <v>21</v>
      </c>
      <c r="D33" t="s">
        <v>21</v>
      </c>
      <c r="E33">
        <f t="shared" si="0"/>
        <v>0</v>
      </c>
      <c r="F33">
        <f t="shared" si="1"/>
        <v>3</v>
      </c>
      <c r="G33">
        <f t="shared" si="2"/>
        <v>0</v>
      </c>
      <c r="H33">
        <f t="shared" si="3"/>
        <v>1</v>
      </c>
    </row>
    <row r="34" spans="1:8" x14ac:dyDescent="0.3">
      <c r="A34" t="s">
        <v>117</v>
      </c>
      <c r="B34" t="s">
        <v>21</v>
      </c>
      <c r="C34" t="s">
        <v>21</v>
      </c>
      <c r="D34" t="s">
        <v>21</v>
      </c>
      <c r="E34">
        <f t="shared" si="0"/>
        <v>0</v>
      </c>
      <c r="F34">
        <f t="shared" si="1"/>
        <v>3</v>
      </c>
      <c r="G34">
        <f t="shared" si="2"/>
        <v>0</v>
      </c>
      <c r="H34">
        <f t="shared" si="3"/>
        <v>1</v>
      </c>
    </row>
    <row r="35" spans="1:8" x14ac:dyDescent="0.3">
      <c r="A35" t="s">
        <v>117</v>
      </c>
      <c r="B35" t="s">
        <v>21</v>
      </c>
      <c r="C35" t="s">
        <v>21</v>
      </c>
      <c r="D35" t="s">
        <v>21</v>
      </c>
      <c r="E35">
        <f t="shared" si="0"/>
        <v>0</v>
      </c>
      <c r="F35">
        <f t="shared" si="1"/>
        <v>3</v>
      </c>
      <c r="G35">
        <f t="shared" si="2"/>
        <v>0</v>
      </c>
      <c r="H35">
        <f t="shared" si="3"/>
        <v>1</v>
      </c>
    </row>
    <row r="36" spans="1:8" x14ac:dyDescent="0.3">
      <c r="A36" t="s">
        <v>117</v>
      </c>
      <c r="B36" t="s">
        <v>21</v>
      </c>
      <c r="C36" t="s">
        <v>21</v>
      </c>
      <c r="D36" t="s">
        <v>21</v>
      </c>
      <c r="E36">
        <f t="shared" si="0"/>
        <v>0</v>
      </c>
      <c r="F36">
        <f t="shared" si="1"/>
        <v>3</v>
      </c>
      <c r="G36">
        <f t="shared" si="2"/>
        <v>0</v>
      </c>
      <c r="H36">
        <f t="shared" si="3"/>
        <v>1</v>
      </c>
    </row>
    <row r="37" spans="1:8" x14ac:dyDescent="0.3">
      <c r="A37" t="s">
        <v>117</v>
      </c>
      <c r="B37" t="s">
        <v>21</v>
      </c>
      <c r="C37" t="s">
        <v>21</v>
      </c>
      <c r="D37" t="s">
        <v>21</v>
      </c>
      <c r="E37">
        <f t="shared" si="0"/>
        <v>0</v>
      </c>
      <c r="F37">
        <f t="shared" si="1"/>
        <v>3</v>
      </c>
      <c r="G37">
        <f t="shared" si="2"/>
        <v>0</v>
      </c>
      <c r="H37">
        <f t="shared" si="3"/>
        <v>1</v>
      </c>
    </row>
    <row r="38" spans="1:8" x14ac:dyDescent="0.3">
      <c r="A38" t="s">
        <v>127</v>
      </c>
      <c r="B38" t="s">
        <v>21</v>
      </c>
      <c r="C38" t="s">
        <v>21</v>
      </c>
      <c r="D38" t="s">
        <v>21</v>
      </c>
      <c r="E38">
        <f t="shared" si="0"/>
        <v>0</v>
      </c>
      <c r="F38">
        <f t="shared" si="1"/>
        <v>3</v>
      </c>
      <c r="G38">
        <f t="shared" si="2"/>
        <v>0</v>
      </c>
      <c r="H38">
        <f t="shared" si="3"/>
        <v>1</v>
      </c>
    </row>
    <row r="39" spans="1:8" x14ac:dyDescent="0.3">
      <c r="A39" t="s">
        <v>127</v>
      </c>
      <c r="B39" t="s">
        <v>21</v>
      </c>
      <c r="C39" t="s">
        <v>21</v>
      </c>
      <c r="D39" t="s">
        <v>21</v>
      </c>
      <c r="E39">
        <f t="shared" si="0"/>
        <v>0</v>
      </c>
      <c r="F39">
        <f t="shared" si="1"/>
        <v>3</v>
      </c>
      <c r="G39">
        <f t="shared" si="2"/>
        <v>0</v>
      </c>
      <c r="H39">
        <f t="shared" si="3"/>
        <v>1</v>
      </c>
    </row>
    <row r="40" spans="1:8" x14ac:dyDescent="0.3">
      <c r="A40" t="s">
        <v>127</v>
      </c>
      <c r="B40" t="s">
        <v>21</v>
      </c>
      <c r="C40" t="s">
        <v>21</v>
      </c>
      <c r="D40" t="s">
        <v>21</v>
      </c>
      <c r="E40">
        <f t="shared" si="0"/>
        <v>0</v>
      </c>
      <c r="F40">
        <f t="shared" si="1"/>
        <v>3</v>
      </c>
      <c r="G40">
        <f t="shared" si="2"/>
        <v>0</v>
      </c>
      <c r="H40">
        <f t="shared" si="3"/>
        <v>1</v>
      </c>
    </row>
    <row r="41" spans="1:8" x14ac:dyDescent="0.3">
      <c r="A41" t="s">
        <v>127</v>
      </c>
      <c r="B41" t="s">
        <v>21</v>
      </c>
      <c r="C41" t="s">
        <v>21</v>
      </c>
      <c r="D41" t="s">
        <v>21</v>
      </c>
      <c r="E41">
        <f t="shared" si="0"/>
        <v>0</v>
      </c>
      <c r="F41">
        <f t="shared" si="1"/>
        <v>3</v>
      </c>
      <c r="G41">
        <f t="shared" si="2"/>
        <v>0</v>
      </c>
      <c r="H41">
        <f t="shared" si="3"/>
        <v>1</v>
      </c>
    </row>
    <row r="42" spans="1:8" x14ac:dyDescent="0.3">
      <c r="A42" t="s">
        <v>138</v>
      </c>
      <c r="B42" t="s">
        <v>21</v>
      </c>
      <c r="C42" t="s">
        <v>21</v>
      </c>
      <c r="D42" t="s">
        <v>21</v>
      </c>
      <c r="E42">
        <f t="shared" si="0"/>
        <v>0</v>
      </c>
      <c r="F42">
        <f t="shared" si="1"/>
        <v>3</v>
      </c>
      <c r="G42">
        <f t="shared" si="2"/>
        <v>0</v>
      </c>
      <c r="H42">
        <f t="shared" si="3"/>
        <v>1</v>
      </c>
    </row>
    <row r="43" spans="1:8" x14ac:dyDescent="0.3">
      <c r="A43" t="s">
        <v>138</v>
      </c>
      <c r="B43" t="s">
        <v>21</v>
      </c>
      <c r="C43" t="s">
        <v>21</v>
      </c>
      <c r="D43" t="s">
        <v>21</v>
      </c>
      <c r="E43">
        <f t="shared" si="0"/>
        <v>0</v>
      </c>
      <c r="F43">
        <f t="shared" si="1"/>
        <v>3</v>
      </c>
      <c r="G43">
        <f t="shared" si="2"/>
        <v>0</v>
      </c>
      <c r="H43">
        <f t="shared" si="3"/>
        <v>1</v>
      </c>
    </row>
    <row r="44" spans="1:8" x14ac:dyDescent="0.3">
      <c r="A44" t="s">
        <v>138</v>
      </c>
      <c r="B44" t="s">
        <v>21</v>
      </c>
      <c r="C44" t="s">
        <v>21</v>
      </c>
      <c r="D44" t="s">
        <v>21</v>
      </c>
      <c r="E44">
        <f t="shared" si="0"/>
        <v>0</v>
      </c>
      <c r="F44">
        <f t="shared" si="1"/>
        <v>3</v>
      </c>
      <c r="G44">
        <f t="shared" si="2"/>
        <v>0</v>
      </c>
      <c r="H44">
        <f t="shared" si="3"/>
        <v>1</v>
      </c>
    </row>
    <row r="45" spans="1:8" x14ac:dyDescent="0.3">
      <c r="A45" t="s">
        <v>138</v>
      </c>
      <c r="B45" t="s">
        <v>21</v>
      </c>
      <c r="C45" t="s">
        <v>21</v>
      </c>
      <c r="D45" t="s">
        <v>21</v>
      </c>
      <c r="E45">
        <f t="shared" si="0"/>
        <v>0</v>
      </c>
      <c r="F45">
        <f t="shared" si="1"/>
        <v>3</v>
      </c>
      <c r="G45">
        <f t="shared" si="2"/>
        <v>0</v>
      </c>
      <c r="H45">
        <f t="shared" si="3"/>
        <v>1</v>
      </c>
    </row>
    <row r="46" spans="1:8" x14ac:dyDescent="0.3">
      <c r="A46" t="s">
        <v>150</v>
      </c>
      <c r="B46" t="s">
        <v>21</v>
      </c>
      <c r="C46" t="s">
        <v>21</v>
      </c>
      <c r="D46" t="s">
        <v>21</v>
      </c>
      <c r="E46">
        <f t="shared" si="0"/>
        <v>0</v>
      </c>
      <c r="F46">
        <f t="shared" si="1"/>
        <v>3</v>
      </c>
      <c r="G46">
        <f t="shared" si="2"/>
        <v>0</v>
      </c>
      <c r="H46">
        <f t="shared" si="3"/>
        <v>1</v>
      </c>
    </row>
    <row r="47" spans="1:8" x14ac:dyDescent="0.3">
      <c r="A47" t="s">
        <v>150</v>
      </c>
      <c r="B47" t="s">
        <v>21</v>
      </c>
      <c r="C47" t="s">
        <v>21</v>
      </c>
      <c r="D47" t="s">
        <v>21</v>
      </c>
      <c r="E47">
        <f t="shared" si="0"/>
        <v>0</v>
      </c>
      <c r="F47">
        <f t="shared" si="1"/>
        <v>3</v>
      </c>
      <c r="G47">
        <f t="shared" si="2"/>
        <v>0</v>
      </c>
      <c r="H47">
        <f t="shared" si="3"/>
        <v>1</v>
      </c>
    </row>
    <row r="48" spans="1:8" x14ac:dyDescent="0.3">
      <c r="A48" t="s">
        <v>150</v>
      </c>
      <c r="B48" t="s">
        <v>21</v>
      </c>
      <c r="C48" t="s">
        <v>21</v>
      </c>
      <c r="D48" t="s">
        <v>21</v>
      </c>
      <c r="E48">
        <f t="shared" si="0"/>
        <v>0</v>
      </c>
      <c r="F48">
        <f t="shared" si="1"/>
        <v>3</v>
      </c>
      <c r="G48">
        <f t="shared" si="2"/>
        <v>0</v>
      </c>
      <c r="H48">
        <f t="shared" si="3"/>
        <v>1</v>
      </c>
    </row>
    <row r="49" spans="1:8" x14ac:dyDescent="0.3">
      <c r="A49" t="s">
        <v>150</v>
      </c>
      <c r="B49" t="s">
        <v>21</v>
      </c>
      <c r="C49" t="s">
        <v>21</v>
      </c>
      <c r="D49" t="s">
        <v>21</v>
      </c>
      <c r="E49">
        <f t="shared" si="0"/>
        <v>0</v>
      </c>
      <c r="F49">
        <f t="shared" si="1"/>
        <v>3</v>
      </c>
      <c r="G49">
        <f t="shared" si="2"/>
        <v>0</v>
      </c>
      <c r="H49">
        <f t="shared" si="3"/>
        <v>1</v>
      </c>
    </row>
    <row r="50" spans="1:8" x14ac:dyDescent="0.3">
      <c r="A50" t="s">
        <v>161</v>
      </c>
      <c r="B50" t="s">
        <v>21</v>
      </c>
      <c r="C50" t="s">
        <v>21</v>
      </c>
      <c r="D50" t="s">
        <v>21</v>
      </c>
      <c r="E50">
        <f t="shared" si="0"/>
        <v>0</v>
      </c>
      <c r="F50">
        <f t="shared" si="1"/>
        <v>3</v>
      </c>
      <c r="G50">
        <f t="shared" si="2"/>
        <v>0</v>
      </c>
      <c r="H50">
        <f t="shared" si="3"/>
        <v>1</v>
      </c>
    </row>
    <row r="51" spans="1:8" x14ac:dyDescent="0.3">
      <c r="A51" t="s">
        <v>161</v>
      </c>
      <c r="B51" t="s">
        <v>21</v>
      </c>
      <c r="C51" t="s">
        <v>21</v>
      </c>
      <c r="D51" t="s">
        <v>21</v>
      </c>
      <c r="E51">
        <f t="shared" si="0"/>
        <v>0</v>
      </c>
      <c r="F51">
        <f t="shared" si="1"/>
        <v>3</v>
      </c>
      <c r="G51">
        <f t="shared" si="2"/>
        <v>0</v>
      </c>
      <c r="H51">
        <f t="shared" si="3"/>
        <v>1</v>
      </c>
    </row>
    <row r="52" spans="1:8" x14ac:dyDescent="0.3">
      <c r="A52" t="s">
        <v>161</v>
      </c>
      <c r="B52" t="s">
        <v>21</v>
      </c>
      <c r="C52" t="s">
        <v>21</v>
      </c>
      <c r="D52" t="s">
        <v>21</v>
      </c>
      <c r="E52">
        <f t="shared" si="0"/>
        <v>0</v>
      </c>
      <c r="F52">
        <f t="shared" si="1"/>
        <v>3</v>
      </c>
      <c r="G52">
        <f t="shared" si="2"/>
        <v>0</v>
      </c>
      <c r="H52">
        <f t="shared" si="3"/>
        <v>1</v>
      </c>
    </row>
    <row r="53" spans="1:8" x14ac:dyDescent="0.3">
      <c r="A53" t="s">
        <v>161</v>
      </c>
      <c r="B53" t="s">
        <v>21</v>
      </c>
      <c r="C53" t="s">
        <v>21</v>
      </c>
      <c r="D53" t="s">
        <v>21</v>
      </c>
      <c r="E53">
        <f t="shared" si="0"/>
        <v>0</v>
      </c>
      <c r="F53">
        <f t="shared" si="1"/>
        <v>3</v>
      </c>
      <c r="G53">
        <f t="shared" si="2"/>
        <v>0</v>
      </c>
      <c r="H53">
        <f t="shared" si="3"/>
        <v>1</v>
      </c>
    </row>
    <row r="54" spans="1:8" x14ac:dyDescent="0.3">
      <c r="A54" t="s">
        <v>174</v>
      </c>
      <c r="B54" t="s">
        <v>21</v>
      </c>
      <c r="C54" t="s">
        <v>21</v>
      </c>
      <c r="D54" t="s">
        <v>21</v>
      </c>
      <c r="E54">
        <f t="shared" si="0"/>
        <v>0</v>
      </c>
      <c r="F54">
        <f t="shared" si="1"/>
        <v>3</v>
      </c>
      <c r="G54">
        <f t="shared" si="2"/>
        <v>0</v>
      </c>
      <c r="H54">
        <f t="shared" si="3"/>
        <v>1</v>
      </c>
    </row>
    <row r="55" spans="1:8" x14ac:dyDescent="0.3">
      <c r="A55" t="s">
        <v>174</v>
      </c>
      <c r="B55" t="s">
        <v>21</v>
      </c>
      <c r="C55" t="s">
        <v>21</v>
      </c>
      <c r="D55" t="s">
        <v>21</v>
      </c>
      <c r="E55">
        <f t="shared" si="0"/>
        <v>0</v>
      </c>
      <c r="F55">
        <f t="shared" si="1"/>
        <v>3</v>
      </c>
      <c r="G55">
        <f t="shared" si="2"/>
        <v>0</v>
      </c>
      <c r="H55">
        <f t="shared" si="3"/>
        <v>1</v>
      </c>
    </row>
    <row r="56" spans="1:8" x14ac:dyDescent="0.3">
      <c r="A56" t="s">
        <v>174</v>
      </c>
      <c r="B56" t="s">
        <v>21</v>
      </c>
      <c r="C56" t="s">
        <v>21</v>
      </c>
      <c r="D56" t="s">
        <v>21</v>
      </c>
      <c r="E56">
        <f t="shared" si="0"/>
        <v>0</v>
      </c>
      <c r="F56">
        <f t="shared" si="1"/>
        <v>3</v>
      </c>
      <c r="G56">
        <f t="shared" si="2"/>
        <v>0</v>
      </c>
      <c r="H56">
        <f t="shared" si="3"/>
        <v>1</v>
      </c>
    </row>
    <row r="57" spans="1:8" x14ac:dyDescent="0.3">
      <c r="A57" t="s">
        <v>174</v>
      </c>
      <c r="B57" t="s">
        <v>21</v>
      </c>
      <c r="C57" t="s">
        <v>21</v>
      </c>
      <c r="D57" t="s">
        <v>21</v>
      </c>
      <c r="E57">
        <f t="shared" si="0"/>
        <v>0</v>
      </c>
      <c r="F57">
        <f t="shared" si="1"/>
        <v>3</v>
      </c>
      <c r="G57">
        <f t="shared" si="2"/>
        <v>0</v>
      </c>
      <c r="H57">
        <f t="shared" si="3"/>
        <v>1</v>
      </c>
    </row>
    <row r="58" spans="1:8" x14ac:dyDescent="0.3">
      <c r="A58" t="s">
        <v>185</v>
      </c>
      <c r="B58" t="s">
        <v>21</v>
      </c>
      <c r="C58" t="s">
        <v>21</v>
      </c>
      <c r="D58" t="s">
        <v>21</v>
      </c>
      <c r="E58">
        <f t="shared" si="0"/>
        <v>0</v>
      </c>
      <c r="F58">
        <f t="shared" si="1"/>
        <v>3</v>
      </c>
      <c r="G58">
        <f t="shared" si="2"/>
        <v>0</v>
      </c>
      <c r="H58">
        <f t="shared" si="3"/>
        <v>1</v>
      </c>
    </row>
    <row r="59" spans="1:8" x14ac:dyDescent="0.3">
      <c r="A59" t="s">
        <v>185</v>
      </c>
      <c r="B59" t="s">
        <v>21</v>
      </c>
      <c r="C59" t="s">
        <v>21</v>
      </c>
      <c r="D59" t="s">
        <v>21</v>
      </c>
      <c r="E59">
        <f t="shared" si="0"/>
        <v>0</v>
      </c>
      <c r="F59">
        <f t="shared" si="1"/>
        <v>3</v>
      </c>
      <c r="G59">
        <f t="shared" si="2"/>
        <v>0</v>
      </c>
      <c r="H59">
        <f t="shared" si="3"/>
        <v>1</v>
      </c>
    </row>
    <row r="60" spans="1:8" x14ac:dyDescent="0.3">
      <c r="A60" t="s">
        <v>185</v>
      </c>
      <c r="B60" t="s">
        <v>21</v>
      </c>
      <c r="C60" t="s">
        <v>21</v>
      </c>
      <c r="D60" t="s">
        <v>21</v>
      </c>
      <c r="E60">
        <f t="shared" si="0"/>
        <v>0</v>
      </c>
      <c r="F60">
        <f t="shared" si="1"/>
        <v>3</v>
      </c>
      <c r="G60">
        <f t="shared" si="2"/>
        <v>0</v>
      </c>
      <c r="H60">
        <f t="shared" si="3"/>
        <v>1</v>
      </c>
    </row>
    <row r="61" spans="1:8" x14ac:dyDescent="0.3">
      <c r="A61" t="s">
        <v>185</v>
      </c>
      <c r="B61" t="s">
        <v>21</v>
      </c>
      <c r="C61" t="s">
        <v>21</v>
      </c>
      <c r="D61" t="s">
        <v>21</v>
      </c>
      <c r="E61">
        <f t="shared" si="0"/>
        <v>0</v>
      </c>
      <c r="F61">
        <f t="shared" si="1"/>
        <v>3</v>
      </c>
      <c r="G61">
        <f t="shared" si="2"/>
        <v>0</v>
      </c>
      <c r="H61">
        <f t="shared" si="3"/>
        <v>1</v>
      </c>
    </row>
    <row r="62" spans="1:8" x14ac:dyDescent="0.3">
      <c r="A62" t="s">
        <v>198</v>
      </c>
      <c r="B62" t="s">
        <v>21</v>
      </c>
      <c r="C62" t="s">
        <v>21</v>
      </c>
      <c r="D62" t="s">
        <v>21</v>
      </c>
      <c r="E62">
        <f t="shared" si="0"/>
        <v>0</v>
      </c>
      <c r="F62">
        <f t="shared" si="1"/>
        <v>3</v>
      </c>
      <c r="G62">
        <f t="shared" si="2"/>
        <v>0</v>
      </c>
      <c r="H62">
        <f t="shared" si="3"/>
        <v>1</v>
      </c>
    </row>
    <row r="63" spans="1:8" hidden="1" x14ac:dyDescent="0.3">
      <c r="A63" t="s">
        <v>198</v>
      </c>
      <c r="B63" t="s">
        <v>51</v>
      </c>
      <c r="C63" t="s">
        <v>21</v>
      </c>
      <c r="D63" t="s">
        <v>21</v>
      </c>
      <c r="E63">
        <f t="shared" si="0"/>
        <v>1</v>
      </c>
      <c r="F63">
        <f t="shared" si="1"/>
        <v>2</v>
      </c>
      <c r="G63">
        <f t="shared" si="2"/>
        <v>0</v>
      </c>
      <c r="H63">
        <f t="shared" si="3"/>
        <v>0.33333333333333331</v>
      </c>
    </row>
    <row r="64" spans="1:8" hidden="1" x14ac:dyDescent="0.3">
      <c r="A64" t="s">
        <v>198</v>
      </c>
      <c r="B64" t="s">
        <v>21</v>
      </c>
      <c r="C64" t="s">
        <v>21</v>
      </c>
      <c r="D64" t="s">
        <v>51</v>
      </c>
      <c r="E64">
        <f t="shared" si="0"/>
        <v>1</v>
      </c>
      <c r="F64">
        <f t="shared" si="1"/>
        <v>2</v>
      </c>
      <c r="G64">
        <f t="shared" si="2"/>
        <v>0</v>
      </c>
      <c r="H64">
        <f t="shared" si="3"/>
        <v>0.33333333333333331</v>
      </c>
    </row>
    <row r="65" spans="1:8" hidden="1" x14ac:dyDescent="0.3">
      <c r="A65" t="s">
        <v>198</v>
      </c>
      <c r="B65" t="s">
        <v>21</v>
      </c>
      <c r="C65" t="s">
        <v>51</v>
      </c>
      <c r="D65" t="s">
        <v>21</v>
      </c>
      <c r="E65">
        <f t="shared" si="0"/>
        <v>1</v>
      </c>
      <c r="F65">
        <f t="shared" si="1"/>
        <v>2</v>
      </c>
      <c r="G65">
        <f t="shared" si="2"/>
        <v>0</v>
      </c>
      <c r="H65">
        <f t="shared" si="3"/>
        <v>0.33333333333333331</v>
      </c>
    </row>
    <row r="66" spans="1:8" x14ac:dyDescent="0.3">
      <c r="A66" t="s">
        <v>209</v>
      </c>
      <c r="B66" t="s">
        <v>21</v>
      </c>
      <c r="C66" t="s">
        <v>21</v>
      </c>
      <c r="D66" t="s">
        <v>21</v>
      </c>
      <c r="E66">
        <f t="shared" si="0"/>
        <v>0</v>
      </c>
      <c r="F66">
        <f t="shared" si="1"/>
        <v>3</v>
      </c>
      <c r="G66">
        <f t="shared" si="2"/>
        <v>0</v>
      </c>
      <c r="H66">
        <f t="shared" si="3"/>
        <v>1</v>
      </c>
    </row>
    <row r="67" spans="1:8" x14ac:dyDescent="0.3">
      <c r="A67" t="s">
        <v>209</v>
      </c>
      <c r="B67" t="s">
        <v>21</v>
      </c>
      <c r="C67" t="s">
        <v>21</v>
      </c>
      <c r="D67" t="s">
        <v>21</v>
      </c>
      <c r="E67">
        <f t="shared" ref="E67:E130" si="4">COUNTIF(B67:D67,"ICE_ONLY")</f>
        <v>0</v>
      </c>
      <c r="F67">
        <f t="shared" ref="F67:F130" si="5">COUNTIF(B67:D67,"SHARED")</f>
        <v>3</v>
      </c>
      <c r="G67">
        <f t="shared" ref="G67:G130" si="6">COUNTIF(B67:D67,"EV_ONLY")</f>
        <v>0</v>
      </c>
      <c r="H67">
        <f t="shared" ref="H67:H130" si="7">(E67*(E67-1)+F67*(F67-1)+G67*(G67-1))/(3*(3-1))</f>
        <v>1</v>
      </c>
    </row>
    <row r="68" spans="1:8" x14ac:dyDescent="0.3">
      <c r="A68" t="s">
        <v>209</v>
      </c>
      <c r="B68" t="s">
        <v>21</v>
      </c>
      <c r="C68" t="s">
        <v>21</v>
      </c>
      <c r="D68" t="s">
        <v>21</v>
      </c>
      <c r="E68">
        <f t="shared" si="4"/>
        <v>0</v>
      </c>
      <c r="F68">
        <f t="shared" si="5"/>
        <v>3</v>
      </c>
      <c r="G68">
        <f t="shared" si="6"/>
        <v>0</v>
      </c>
      <c r="H68">
        <f t="shared" si="7"/>
        <v>1</v>
      </c>
    </row>
    <row r="69" spans="1:8" x14ac:dyDescent="0.3">
      <c r="A69" t="s">
        <v>209</v>
      </c>
      <c r="B69" t="s">
        <v>21</v>
      </c>
      <c r="C69" t="s">
        <v>21</v>
      </c>
      <c r="D69" t="s">
        <v>21</v>
      </c>
      <c r="E69">
        <f t="shared" si="4"/>
        <v>0</v>
      </c>
      <c r="F69">
        <f t="shared" si="5"/>
        <v>3</v>
      </c>
      <c r="G69">
        <f t="shared" si="6"/>
        <v>0</v>
      </c>
      <c r="H69">
        <f t="shared" si="7"/>
        <v>1</v>
      </c>
    </row>
    <row r="70" spans="1:8" x14ac:dyDescent="0.3">
      <c r="A70" t="s">
        <v>223</v>
      </c>
      <c r="B70" t="s">
        <v>21</v>
      </c>
      <c r="C70" t="s">
        <v>21</v>
      </c>
      <c r="D70" t="s">
        <v>21</v>
      </c>
      <c r="E70">
        <f t="shared" si="4"/>
        <v>0</v>
      </c>
      <c r="F70">
        <f t="shared" si="5"/>
        <v>3</v>
      </c>
      <c r="G70">
        <f t="shared" si="6"/>
        <v>0</v>
      </c>
      <c r="H70">
        <f t="shared" si="7"/>
        <v>1</v>
      </c>
    </row>
    <row r="71" spans="1:8" x14ac:dyDescent="0.3">
      <c r="A71" t="s">
        <v>223</v>
      </c>
      <c r="B71" t="s">
        <v>21</v>
      </c>
      <c r="C71" t="s">
        <v>21</v>
      </c>
      <c r="D71" t="s">
        <v>21</v>
      </c>
      <c r="E71">
        <f t="shared" si="4"/>
        <v>0</v>
      </c>
      <c r="F71">
        <f t="shared" si="5"/>
        <v>3</v>
      </c>
      <c r="G71">
        <f t="shared" si="6"/>
        <v>0</v>
      </c>
      <c r="H71">
        <f t="shared" si="7"/>
        <v>1</v>
      </c>
    </row>
    <row r="72" spans="1:8" x14ac:dyDescent="0.3">
      <c r="A72" t="s">
        <v>223</v>
      </c>
      <c r="B72" t="s">
        <v>21</v>
      </c>
      <c r="C72" t="s">
        <v>21</v>
      </c>
      <c r="D72" t="s">
        <v>21</v>
      </c>
      <c r="E72">
        <f t="shared" si="4"/>
        <v>0</v>
      </c>
      <c r="F72">
        <f t="shared" si="5"/>
        <v>3</v>
      </c>
      <c r="G72">
        <f t="shared" si="6"/>
        <v>0</v>
      </c>
      <c r="H72">
        <f t="shared" si="7"/>
        <v>1</v>
      </c>
    </row>
    <row r="73" spans="1:8" x14ac:dyDescent="0.3">
      <c r="A73" t="s">
        <v>223</v>
      </c>
      <c r="B73" t="s">
        <v>21</v>
      </c>
      <c r="C73" t="s">
        <v>21</v>
      </c>
      <c r="D73" t="s">
        <v>21</v>
      </c>
      <c r="E73">
        <f t="shared" si="4"/>
        <v>0</v>
      </c>
      <c r="F73">
        <f t="shared" si="5"/>
        <v>3</v>
      </c>
      <c r="G73">
        <f t="shared" si="6"/>
        <v>0</v>
      </c>
      <c r="H73">
        <f t="shared" si="7"/>
        <v>1</v>
      </c>
    </row>
    <row r="74" spans="1:8" x14ac:dyDescent="0.3">
      <c r="A74" t="s">
        <v>235</v>
      </c>
      <c r="B74" t="s">
        <v>21</v>
      </c>
      <c r="C74" t="s">
        <v>21</v>
      </c>
      <c r="D74" t="s">
        <v>21</v>
      </c>
      <c r="E74">
        <f t="shared" si="4"/>
        <v>0</v>
      </c>
      <c r="F74">
        <f t="shared" si="5"/>
        <v>3</v>
      </c>
      <c r="G74">
        <f t="shared" si="6"/>
        <v>0</v>
      </c>
      <c r="H74">
        <f t="shared" si="7"/>
        <v>1</v>
      </c>
    </row>
    <row r="75" spans="1:8" x14ac:dyDescent="0.3">
      <c r="A75" t="s">
        <v>235</v>
      </c>
      <c r="B75" t="s">
        <v>21</v>
      </c>
      <c r="C75" t="s">
        <v>21</v>
      </c>
      <c r="D75" t="s">
        <v>21</v>
      </c>
      <c r="E75">
        <f t="shared" si="4"/>
        <v>0</v>
      </c>
      <c r="F75">
        <f t="shared" si="5"/>
        <v>3</v>
      </c>
      <c r="G75">
        <f t="shared" si="6"/>
        <v>0</v>
      </c>
      <c r="H75">
        <f t="shared" si="7"/>
        <v>1</v>
      </c>
    </row>
    <row r="76" spans="1:8" x14ac:dyDescent="0.3">
      <c r="A76" t="s">
        <v>235</v>
      </c>
      <c r="B76" t="s">
        <v>21</v>
      </c>
      <c r="C76" t="s">
        <v>21</v>
      </c>
      <c r="D76" t="s">
        <v>21</v>
      </c>
      <c r="E76">
        <f t="shared" si="4"/>
        <v>0</v>
      </c>
      <c r="F76">
        <f t="shared" si="5"/>
        <v>3</v>
      </c>
      <c r="G76">
        <f t="shared" si="6"/>
        <v>0</v>
      </c>
      <c r="H76">
        <f t="shared" si="7"/>
        <v>1</v>
      </c>
    </row>
    <row r="77" spans="1:8" x14ac:dyDescent="0.3">
      <c r="A77" t="s">
        <v>235</v>
      </c>
      <c r="B77" t="s">
        <v>21</v>
      </c>
      <c r="C77" t="s">
        <v>21</v>
      </c>
      <c r="D77" t="s">
        <v>21</v>
      </c>
      <c r="E77">
        <f t="shared" si="4"/>
        <v>0</v>
      </c>
      <c r="F77">
        <f t="shared" si="5"/>
        <v>3</v>
      </c>
      <c r="G77">
        <f t="shared" si="6"/>
        <v>0</v>
      </c>
      <c r="H77">
        <f t="shared" si="7"/>
        <v>1</v>
      </c>
    </row>
    <row r="78" spans="1:8" x14ac:dyDescent="0.3">
      <c r="A78" t="s">
        <v>249</v>
      </c>
      <c r="B78" t="s">
        <v>21</v>
      </c>
      <c r="C78" t="s">
        <v>21</v>
      </c>
      <c r="D78" t="s">
        <v>21</v>
      </c>
      <c r="E78">
        <f t="shared" si="4"/>
        <v>0</v>
      </c>
      <c r="F78">
        <f t="shared" si="5"/>
        <v>3</v>
      </c>
      <c r="G78">
        <f t="shared" si="6"/>
        <v>0</v>
      </c>
      <c r="H78">
        <f t="shared" si="7"/>
        <v>1</v>
      </c>
    </row>
    <row r="79" spans="1:8" x14ac:dyDescent="0.3">
      <c r="A79" t="s">
        <v>249</v>
      </c>
      <c r="B79" t="s">
        <v>21</v>
      </c>
      <c r="C79" t="s">
        <v>21</v>
      </c>
      <c r="D79" t="s">
        <v>21</v>
      </c>
      <c r="E79">
        <f t="shared" si="4"/>
        <v>0</v>
      </c>
      <c r="F79">
        <f t="shared" si="5"/>
        <v>3</v>
      </c>
      <c r="G79">
        <f t="shared" si="6"/>
        <v>0</v>
      </c>
      <c r="H79">
        <f t="shared" si="7"/>
        <v>1</v>
      </c>
    </row>
    <row r="80" spans="1:8" x14ac:dyDescent="0.3">
      <c r="A80" t="s">
        <v>249</v>
      </c>
      <c r="B80" t="s">
        <v>21</v>
      </c>
      <c r="C80" t="s">
        <v>21</v>
      </c>
      <c r="D80" t="s">
        <v>21</v>
      </c>
      <c r="E80">
        <f t="shared" si="4"/>
        <v>0</v>
      </c>
      <c r="F80">
        <f t="shared" si="5"/>
        <v>3</v>
      </c>
      <c r="G80">
        <f t="shared" si="6"/>
        <v>0</v>
      </c>
      <c r="H80">
        <f t="shared" si="7"/>
        <v>1</v>
      </c>
    </row>
    <row r="81" spans="1:8" x14ac:dyDescent="0.3">
      <c r="A81" t="s">
        <v>249</v>
      </c>
      <c r="B81" t="s">
        <v>21</v>
      </c>
      <c r="C81" t="s">
        <v>21</v>
      </c>
      <c r="D81" t="s">
        <v>21</v>
      </c>
      <c r="E81">
        <f t="shared" si="4"/>
        <v>0</v>
      </c>
      <c r="F81">
        <f t="shared" si="5"/>
        <v>3</v>
      </c>
      <c r="G81">
        <f t="shared" si="6"/>
        <v>0</v>
      </c>
      <c r="H81">
        <f t="shared" si="7"/>
        <v>1</v>
      </c>
    </row>
    <row r="82" spans="1:8" x14ac:dyDescent="0.3">
      <c r="A82" t="s">
        <v>261</v>
      </c>
      <c r="B82" t="s">
        <v>21</v>
      </c>
      <c r="C82" t="s">
        <v>21</v>
      </c>
      <c r="D82" t="s">
        <v>21</v>
      </c>
      <c r="E82">
        <f t="shared" si="4"/>
        <v>0</v>
      </c>
      <c r="F82">
        <f t="shared" si="5"/>
        <v>3</v>
      </c>
      <c r="G82">
        <f t="shared" si="6"/>
        <v>0</v>
      </c>
      <c r="H82">
        <f t="shared" si="7"/>
        <v>1</v>
      </c>
    </row>
    <row r="83" spans="1:8" x14ac:dyDescent="0.3">
      <c r="A83" t="s">
        <v>261</v>
      </c>
      <c r="B83" t="s">
        <v>21</v>
      </c>
      <c r="C83" t="s">
        <v>21</v>
      </c>
      <c r="D83" t="s">
        <v>21</v>
      </c>
      <c r="E83">
        <f t="shared" si="4"/>
        <v>0</v>
      </c>
      <c r="F83">
        <f t="shared" si="5"/>
        <v>3</v>
      </c>
      <c r="G83">
        <f t="shared" si="6"/>
        <v>0</v>
      </c>
      <c r="H83">
        <f t="shared" si="7"/>
        <v>1</v>
      </c>
    </row>
    <row r="84" spans="1:8" x14ac:dyDescent="0.3">
      <c r="A84" t="s">
        <v>261</v>
      </c>
      <c r="B84" t="s">
        <v>21</v>
      </c>
      <c r="C84" t="s">
        <v>21</v>
      </c>
      <c r="D84" t="s">
        <v>21</v>
      </c>
      <c r="E84">
        <f t="shared" si="4"/>
        <v>0</v>
      </c>
      <c r="F84">
        <f t="shared" si="5"/>
        <v>3</v>
      </c>
      <c r="G84">
        <f t="shared" si="6"/>
        <v>0</v>
      </c>
      <c r="H84">
        <f t="shared" si="7"/>
        <v>1</v>
      </c>
    </row>
    <row r="85" spans="1:8" hidden="1" x14ac:dyDescent="0.3">
      <c r="A85" t="s">
        <v>261</v>
      </c>
      <c r="B85" t="s">
        <v>21</v>
      </c>
      <c r="C85" t="s">
        <v>51</v>
      </c>
      <c r="D85" t="s">
        <v>21</v>
      </c>
      <c r="E85">
        <f t="shared" si="4"/>
        <v>1</v>
      </c>
      <c r="F85">
        <f t="shared" si="5"/>
        <v>2</v>
      </c>
      <c r="G85">
        <f t="shared" si="6"/>
        <v>0</v>
      </c>
      <c r="H85">
        <f t="shared" si="7"/>
        <v>0.33333333333333331</v>
      </c>
    </row>
    <row r="86" spans="1:8" x14ac:dyDescent="0.3">
      <c r="A86" t="s">
        <v>272</v>
      </c>
      <c r="B86" t="s">
        <v>21</v>
      </c>
      <c r="C86" t="s">
        <v>21</v>
      </c>
      <c r="D86" t="s">
        <v>21</v>
      </c>
      <c r="E86">
        <f t="shared" si="4"/>
        <v>0</v>
      </c>
      <c r="F86">
        <f t="shared" si="5"/>
        <v>3</v>
      </c>
      <c r="G86">
        <f t="shared" si="6"/>
        <v>0</v>
      </c>
      <c r="H86">
        <f t="shared" si="7"/>
        <v>1</v>
      </c>
    </row>
    <row r="87" spans="1:8" hidden="1" x14ac:dyDescent="0.3">
      <c r="A87" t="s">
        <v>272</v>
      </c>
      <c r="B87" t="s">
        <v>21</v>
      </c>
      <c r="C87" t="s">
        <v>21</v>
      </c>
      <c r="D87" t="s">
        <v>51</v>
      </c>
      <c r="E87">
        <f t="shared" si="4"/>
        <v>1</v>
      </c>
      <c r="F87">
        <f t="shared" si="5"/>
        <v>2</v>
      </c>
      <c r="G87">
        <f t="shared" si="6"/>
        <v>0</v>
      </c>
      <c r="H87">
        <f t="shared" si="7"/>
        <v>0.33333333333333331</v>
      </c>
    </row>
    <row r="88" spans="1:8" x14ac:dyDescent="0.3">
      <c r="A88" t="s">
        <v>272</v>
      </c>
      <c r="B88" t="s">
        <v>21</v>
      </c>
      <c r="C88" t="s">
        <v>21</v>
      </c>
      <c r="D88" t="s">
        <v>21</v>
      </c>
      <c r="E88">
        <f t="shared" si="4"/>
        <v>0</v>
      </c>
      <c r="F88">
        <f t="shared" si="5"/>
        <v>3</v>
      </c>
      <c r="G88">
        <f t="shared" si="6"/>
        <v>0</v>
      </c>
      <c r="H88">
        <f t="shared" si="7"/>
        <v>1</v>
      </c>
    </row>
    <row r="89" spans="1:8" x14ac:dyDescent="0.3">
      <c r="A89" t="s">
        <v>272</v>
      </c>
      <c r="B89" t="s">
        <v>21</v>
      </c>
      <c r="C89" t="s">
        <v>21</v>
      </c>
      <c r="D89" t="s">
        <v>21</v>
      </c>
      <c r="E89">
        <f t="shared" si="4"/>
        <v>0</v>
      </c>
      <c r="F89">
        <f t="shared" si="5"/>
        <v>3</v>
      </c>
      <c r="G89">
        <f t="shared" si="6"/>
        <v>0</v>
      </c>
      <c r="H89">
        <f t="shared" si="7"/>
        <v>1</v>
      </c>
    </row>
    <row r="90" spans="1:8" x14ac:dyDescent="0.3">
      <c r="A90" t="s">
        <v>283</v>
      </c>
      <c r="B90" t="s">
        <v>21</v>
      </c>
      <c r="C90" t="s">
        <v>21</v>
      </c>
      <c r="D90" t="s">
        <v>21</v>
      </c>
      <c r="E90">
        <f t="shared" si="4"/>
        <v>0</v>
      </c>
      <c r="F90">
        <f t="shared" si="5"/>
        <v>3</v>
      </c>
      <c r="G90">
        <f t="shared" si="6"/>
        <v>0</v>
      </c>
      <c r="H90">
        <f t="shared" si="7"/>
        <v>1</v>
      </c>
    </row>
    <row r="91" spans="1:8" x14ac:dyDescent="0.3">
      <c r="A91" t="s">
        <v>283</v>
      </c>
      <c r="B91" t="s">
        <v>21</v>
      </c>
      <c r="C91" t="s">
        <v>21</v>
      </c>
      <c r="D91" t="s">
        <v>21</v>
      </c>
      <c r="E91">
        <f t="shared" si="4"/>
        <v>0</v>
      </c>
      <c r="F91">
        <f t="shared" si="5"/>
        <v>3</v>
      </c>
      <c r="G91">
        <f t="shared" si="6"/>
        <v>0</v>
      </c>
      <c r="H91">
        <f t="shared" si="7"/>
        <v>1</v>
      </c>
    </row>
    <row r="92" spans="1:8" x14ac:dyDescent="0.3">
      <c r="A92" t="s">
        <v>283</v>
      </c>
      <c r="B92" t="s">
        <v>21</v>
      </c>
      <c r="C92" t="s">
        <v>21</v>
      </c>
      <c r="D92" t="s">
        <v>21</v>
      </c>
      <c r="E92">
        <f t="shared" si="4"/>
        <v>0</v>
      </c>
      <c r="F92">
        <f t="shared" si="5"/>
        <v>3</v>
      </c>
      <c r="G92">
        <f t="shared" si="6"/>
        <v>0</v>
      </c>
      <c r="H92">
        <f t="shared" si="7"/>
        <v>1</v>
      </c>
    </row>
    <row r="93" spans="1:8" hidden="1" x14ac:dyDescent="0.3">
      <c r="A93" t="s">
        <v>283</v>
      </c>
      <c r="B93" t="s">
        <v>51</v>
      </c>
      <c r="C93" t="s">
        <v>21</v>
      </c>
      <c r="D93" t="s">
        <v>21</v>
      </c>
      <c r="E93">
        <f t="shared" si="4"/>
        <v>1</v>
      </c>
      <c r="F93">
        <f t="shared" si="5"/>
        <v>2</v>
      </c>
      <c r="G93">
        <f t="shared" si="6"/>
        <v>0</v>
      </c>
      <c r="H93">
        <f t="shared" si="7"/>
        <v>0.33333333333333331</v>
      </c>
    </row>
    <row r="94" spans="1:8" x14ac:dyDescent="0.3">
      <c r="A94" t="s">
        <v>294</v>
      </c>
      <c r="B94" t="s">
        <v>21</v>
      </c>
      <c r="C94" t="s">
        <v>21</v>
      </c>
      <c r="D94" t="s">
        <v>21</v>
      </c>
      <c r="E94">
        <f t="shared" si="4"/>
        <v>0</v>
      </c>
      <c r="F94">
        <f t="shared" si="5"/>
        <v>3</v>
      </c>
      <c r="G94">
        <f t="shared" si="6"/>
        <v>0</v>
      </c>
      <c r="H94">
        <f t="shared" si="7"/>
        <v>1</v>
      </c>
    </row>
    <row r="95" spans="1:8" x14ac:dyDescent="0.3">
      <c r="A95" t="s">
        <v>294</v>
      </c>
      <c r="B95" t="s">
        <v>21</v>
      </c>
      <c r="C95" t="s">
        <v>21</v>
      </c>
      <c r="D95" t="s">
        <v>21</v>
      </c>
      <c r="E95">
        <f t="shared" si="4"/>
        <v>0</v>
      </c>
      <c r="F95">
        <f t="shared" si="5"/>
        <v>3</v>
      </c>
      <c r="G95">
        <f t="shared" si="6"/>
        <v>0</v>
      </c>
      <c r="H95">
        <f t="shared" si="7"/>
        <v>1</v>
      </c>
    </row>
    <row r="96" spans="1:8" x14ac:dyDescent="0.3">
      <c r="A96" t="s">
        <v>294</v>
      </c>
      <c r="B96" t="s">
        <v>21</v>
      </c>
      <c r="C96" t="s">
        <v>21</v>
      </c>
      <c r="D96" t="s">
        <v>21</v>
      </c>
      <c r="E96">
        <f t="shared" si="4"/>
        <v>0</v>
      </c>
      <c r="F96">
        <f t="shared" si="5"/>
        <v>3</v>
      </c>
      <c r="G96">
        <f t="shared" si="6"/>
        <v>0</v>
      </c>
      <c r="H96">
        <f t="shared" si="7"/>
        <v>1</v>
      </c>
    </row>
    <row r="97" spans="1:8" x14ac:dyDescent="0.3">
      <c r="A97" t="s">
        <v>294</v>
      </c>
      <c r="B97" t="s">
        <v>21</v>
      </c>
      <c r="C97" t="s">
        <v>21</v>
      </c>
      <c r="D97" t="s">
        <v>21</v>
      </c>
      <c r="E97">
        <f t="shared" si="4"/>
        <v>0</v>
      </c>
      <c r="F97">
        <f t="shared" si="5"/>
        <v>3</v>
      </c>
      <c r="G97">
        <f t="shared" si="6"/>
        <v>0</v>
      </c>
      <c r="H97">
        <f t="shared" si="7"/>
        <v>1</v>
      </c>
    </row>
    <row r="98" spans="1:8" x14ac:dyDescent="0.3">
      <c r="A98" t="s">
        <v>305</v>
      </c>
      <c r="B98" t="s">
        <v>21</v>
      </c>
      <c r="C98" t="s">
        <v>21</v>
      </c>
      <c r="D98" t="s">
        <v>21</v>
      </c>
      <c r="E98">
        <f t="shared" si="4"/>
        <v>0</v>
      </c>
      <c r="F98">
        <f t="shared" si="5"/>
        <v>3</v>
      </c>
      <c r="G98">
        <f t="shared" si="6"/>
        <v>0</v>
      </c>
      <c r="H98">
        <f t="shared" si="7"/>
        <v>1</v>
      </c>
    </row>
    <row r="99" spans="1:8" x14ac:dyDescent="0.3">
      <c r="A99" t="s">
        <v>305</v>
      </c>
      <c r="B99" t="s">
        <v>21</v>
      </c>
      <c r="C99" t="s">
        <v>21</v>
      </c>
      <c r="D99" t="s">
        <v>21</v>
      </c>
      <c r="E99">
        <f t="shared" si="4"/>
        <v>0</v>
      </c>
      <c r="F99">
        <f t="shared" si="5"/>
        <v>3</v>
      </c>
      <c r="G99">
        <f t="shared" si="6"/>
        <v>0</v>
      </c>
      <c r="H99">
        <f t="shared" si="7"/>
        <v>1</v>
      </c>
    </row>
    <row r="100" spans="1:8" hidden="1" x14ac:dyDescent="0.3">
      <c r="A100" t="s">
        <v>305</v>
      </c>
      <c r="B100" t="s">
        <v>21</v>
      </c>
      <c r="C100" t="s">
        <v>21</v>
      </c>
      <c r="D100" t="s">
        <v>51</v>
      </c>
      <c r="E100">
        <f t="shared" si="4"/>
        <v>1</v>
      </c>
      <c r="F100">
        <f t="shared" si="5"/>
        <v>2</v>
      </c>
      <c r="G100">
        <f t="shared" si="6"/>
        <v>0</v>
      </c>
      <c r="H100">
        <f t="shared" si="7"/>
        <v>0.33333333333333331</v>
      </c>
    </row>
    <row r="101" spans="1:8" x14ac:dyDescent="0.3">
      <c r="A101" t="s">
        <v>305</v>
      </c>
      <c r="B101" t="s">
        <v>21</v>
      </c>
      <c r="C101" t="s">
        <v>21</v>
      </c>
      <c r="D101" t="s">
        <v>21</v>
      </c>
      <c r="E101">
        <f t="shared" si="4"/>
        <v>0</v>
      </c>
      <c r="F101">
        <f t="shared" si="5"/>
        <v>3</v>
      </c>
      <c r="G101">
        <f t="shared" si="6"/>
        <v>0</v>
      </c>
      <c r="H101">
        <f t="shared" si="7"/>
        <v>1</v>
      </c>
    </row>
    <row r="102" spans="1:8" x14ac:dyDescent="0.3">
      <c r="A102" t="s">
        <v>316</v>
      </c>
      <c r="B102" t="s">
        <v>21</v>
      </c>
      <c r="C102" t="s">
        <v>21</v>
      </c>
      <c r="D102" t="s">
        <v>21</v>
      </c>
      <c r="E102">
        <f t="shared" si="4"/>
        <v>0</v>
      </c>
      <c r="F102">
        <f t="shared" si="5"/>
        <v>3</v>
      </c>
      <c r="G102">
        <f t="shared" si="6"/>
        <v>0</v>
      </c>
      <c r="H102">
        <f t="shared" si="7"/>
        <v>1</v>
      </c>
    </row>
    <row r="103" spans="1:8" x14ac:dyDescent="0.3">
      <c r="A103" t="s">
        <v>316</v>
      </c>
      <c r="B103" t="s">
        <v>21</v>
      </c>
      <c r="C103" t="s">
        <v>21</v>
      </c>
      <c r="D103" t="s">
        <v>21</v>
      </c>
      <c r="E103">
        <f t="shared" si="4"/>
        <v>0</v>
      </c>
      <c r="F103">
        <f t="shared" si="5"/>
        <v>3</v>
      </c>
      <c r="G103">
        <f t="shared" si="6"/>
        <v>0</v>
      </c>
      <c r="H103">
        <f t="shared" si="7"/>
        <v>1</v>
      </c>
    </row>
    <row r="104" spans="1:8" x14ac:dyDescent="0.3">
      <c r="A104" t="s">
        <v>316</v>
      </c>
      <c r="B104" t="s">
        <v>21</v>
      </c>
      <c r="C104" t="s">
        <v>21</v>
      </c>
      <c r="D104" t="s">
        <v>21</v>
      </c>
      <c r="E104">
        <f t="shared" si="4"/>
        <v>0</v>
      </c>
      <c r="F104">
        <f t="shared" si="5"/>
        <v>3</v>
      </c>
      <c r="G104">
        <f t="shared" si="6"/>
        <v>0</v>
      </c>
      <c r="H104">
        <f t="shared" si="7"/>
        <v>1</v>
      </c>
    </row>
    <row r="105" spans="1:8" x14ac:dyDescent="0.3">
      <c r="A105" t="s">
        <v>316</v>
      </c>
      <c r="B105" t="s">
        <v>21</v>
      </c>
      <c r="C105" t="s">
        <v>21</v>
      </c>
      <c r="D105" t="s">
        <v>21</v>
      </c>
      <c r="E105">
        <f t="shared" si="4"/>
        <v>0</v>
      </c>
      <c r="F105">
        <f t="shared" si="5"/>
        <v>3</v>
      </c>
      <c r="G105">
        <f t="shared" si="6"/>
        <v>0</v>
      </c>
      <c r="H105">
        <f t="shared" si="7"/>
        <v>1</v>
      </c>
    </row>
    <row r="106" spans="1:8" x14ac:dyDescent="0.3">
      <c r="A106" t="s">
        <v>330</v>
      </c>
      <c r="B106" t="s">
        <v>21</v>
      </c>
      <c r="C106" t="s">
        <v>21</v>
      </c>
      <c r="D106" t="s">
        <v>21</v>
      </c>
      <c r="E106">
        <f t="shared" si="4"/>
        <v>0</v>
      </c>
      <c r="F106">
        <f t="shared" si="5"/>
        <v>3</v>
      </c>
      <c r="G106">
        <f t="shared" si="6"/>
        <v>0</v>
      </c>
      <c r="H106">
        <f t="shared" si="7"/>
        <v>1</v>
      </c>
    </row>
    <row r="107" spans="1:8" x14ac:dyDescent="0.3">
      <c r="A107" t="s">
        <v>330</v>
      </c>
      <c r="B107" t="s">
        <v>21</v>
      </c>
      <c r="C107" t="s">
        <v>21</v>
      </c>
      <c r="D107" t="s">
        <v>21</v>
      </c>
      <c r="E107">
        <f t="shared" si="4"/>
        <v>0</v>
      </c>
      <c r="F107">
        <f t="shared" si="5"/>
        <v>3</v>
      </c>
      <c r="G107">
        <f t="shared" si="6"/>
        <v>0</v>
      </c>
      <c r="H107">
        <f t="shared" si="7"/>
        <v>1</v>
      </c>
    </row>
    <row r="108" spans="1:8" x14ac:dyDescent="0.3">
      <c r="A108" t="s">
        <v>330</v>
      </c>
      <c r="B108" t="s">
        <v>21</v>
      </c>
      <c r="C108" t="s">
        <v>21</v>
      </c>
      <c r="D108" t="s">
        <v>21</v>
      </c>
      <c r="E108">
        <f t="shared" si="4"/>
        <v>0</v>
      </c>
      <c r="F108">
        <f t="shared" si="5"/>
        <v>3</v>
      </c>
      <c r="G108">
        <f t="shared" si="6"/>
        <v>0</v>
      </c>
      <c r="H108">
        <f t="shared" si="7"/>
        <v>1</v>
      </c>
    </row>
    <row r="109" spans="1:8" x14ac:dyDescent="0.3">
      <c r="A109" t="s">
        <v>330</v>
      </c>
      <c r="B109" t="s">
        <v>21</v>
      </c>
      <c r="C109" t="s">
        <v>21</v>
      </c>
      <c r="D109" t="s">
        <v>21</v>
      </c>
      <c r="E109">
        <f t="shared" si="4"/>
        <v>0</v>
      </c>
      <c r="F109">
        <f t="shared" si="5"/>
        <v>3</v>
      </c>
      <c r="G109">
        <f t="shared" si="6"/>
        <v>0</v>
      </c>
      <c r="H109">
        <f t="shared" si="7"/>
        <v>1</v>
      </c>
    </row>
    <row r="110" spans="1:8" x14ac:dyDescent="0.3">
      <c r="A110" t="s">
        <v>343</v>
      </c>
      <c r="B110" t="s">
        <v>21</v>
      </c>
      <c r="C110" t="s">
        <v>21</v>
      </c>
      <c r="D110" t="s">
        <v>21</v>
      </c>
      <c r="E110">
        <f t="shared" si="4"/>
        <v>0</v>
      </c>
      <c r="F110">
        <f t="shared" si="5"/>
        <v>3</v>
      </c>
      <c r="G110">
        <f t="shared" si="6"/>
        <v>0</v>
      </c>
      <c r="H110">
        <f t="shared" si="7"/>
        <v>1</v>
      </c>
    </row>
    <row r="111" spans="1:8" x14ac:dyDescent="0.3">
      <c r="A111" t="s">
        <v>343</v>
      </c>
      <c r="B111" t="s">
        <v>21</v>
      </c>
      <c r="C111" t="s">
        <v>21</v>
      </c>
      <c r="D111" t="s">
        <v>21</v>
      </c>
      <c r="E111">
        <f t="shared" si="4"/>
        <v>0</v>
      </c>
      <c r="F111">
        <f t="shared" si="5"/>
        <v>3</v>
      </c>
      <c r="G111">
        <f t="shared" si="6"/>
        <v>0</v>
      </c>
      <c r="H111">
        <f t="shared" si="7"/>
        <v>1</v>
      </c>
    </row>
    <row r="112" spans="1:8" x14ac:dyDescent="0.3">
      <c r="A112" t="s">
        <v>343</v>
      </c>
      <c r="B112" t="s">
        <v>21</v>
      </c>
      <c r="C112" t="s">
        <v>21</v>
      </c>
      <c r="D112" t="s">
        <v>21</v>
      </c>
      <c r="E112">
        <f t="shared" si="4"/>
        <v>0</v>
      </c>
      <c r="F112">
        <f t="shared" si="5"/>
        <v>3</v>
      </c>
      <c r="G112">
        <f t="shared" si="6"/>
        <v>0</v>
      </c>
      <c r="H112">
        <f t="shared" si="7"/>
        <v>1</v>
      </c>
    </row>
    <row r="113" spans="1:8" x14ac:dyDescent="0.3">
      <c r="A113" t="s">
        <v>343</v>
      </c>
      <c r="B113" t="s">
        <v>21</v>
      </c>
      <c r="C113" t="s">
        <v>21</v>
      </c>
      <c r="D113" t="s">
        <v>21</v>
      </c>
      <c r="E113">
        <f t="shared" si="4"/>
        <v>0</v>
      </c>
      <c r="F113">
        <f t="shared" si="5"/>
        <v>3</v>
      </c>
      <c r="G113">
        <f t="shared" si="6"/>
        <v>0</v>
      </c>
      <c r="H113">
        <f t="shared" si="7"/>
        <v>1</v>
      </c>
    </row>
    <row r="114" spans="1:8" x14ac:dyDescent="0.3">
      <c r="A114" t="s">
        <v>354</v>
      </c>
      <c r="B114" t="s">
        <v>21</v>
      </c>
      <c r="C114" t="s">
        <v>21</v>
      </c>
      <c r="D114" t="s">
        <v>21</v>
      </c>
      <c r="E114">
        <f t="shared" si="4"/>
        <v>0</v>
      </c>
      <c r="F114">
        <f t="shared" si="5"/>
        <v>3</v>
      </c>
      <c r="G114">
        <f t="shared" si="6"/>
        <v>0</v>
      </c>
      <c r="H114">
        <f t="shared" si="7"/>
        <v>1</v>
      </c>
    </row>
    <row r="115" spans="1:8" x14ac:dyDescent="0.3">
      <c r="A115" t="s">
        <v>354</v>
      </c>
      <c r="B115" t="s">
        <v>21</v>
      </c>
      <c r="C115" t="s">
        <v>21</v>
      </c>
      <c r="D115" t="s">
        <v>21</v>
      </c>
      <c r="E115">
        <f t="shared" si="4"/>
        <v>0</v>
      </c>
      <c r="F115">
        <f t="shared" si="5"/>
        <v>3</v>
      </c>
      <c r="G115">
        <f t="shared" si="6"/>
        <v>0</v>
      </c>
      <c r="H115">
        <f t="shared" si="7"/>
        <v>1</v>
      </c>
    </row>
    <row r="116" spans="1:8" x14ac:dyDescent="0.3">
      <c r="A116" t="s">
        <v>354</v>
      </c>
      <c r="B116" t="s">
        <v>21</v>
      </c>
      <c r="C116" t="s">
        <v>21</v>
      </c>
      <c r="D116" t="s">
        <v>21</v>
      </c>
      <c r="E116">
        <f t="shared" si="4"/>
        <v>0</v>
      </c>
      <c r="F116">
        <f t="shared" si="5"/>
        <v>3</v>
      </c>
      <c r="G116">
        <f t="shared" si="6"/>
        <v>0</v>
      </c>
      <c r="H116">
        <f t="shared" si="7"/>
        <v>1</v>
      </c>
    </row>
    <row r="117" spans="1:8" x14ac:dyDescent="0.3">
      <c r="A117" t="s">
        <v>354</v>
      </c>
      <c r="B117" t="s">
        <v>21</v>
      </c>
      <c r="C117" t="s">
        <v>21</v>
      </c>
      <c r="D117" t="s">
        <v>21</v>
      </c>
      <c r="E117">
        <f t="shared" si="4"/>
        <v>0</v>
      </c>
      <c r="F117">
        <f t="shared" si="5"/>
        <v>3</v>
      </c>
      <c r="G117">
        <f t="shared" si="6"/>
        <v>0</v>
      </c>
      <c r="H117">
        <f t="shared" si="7"/>
        <v>1</v>
      </c>
    </row>
    <row r="118" spans="1:8" x14ac:dyDescent="0.3">
      <c r="A118" t="s">
        <v>365</v>
      </c>
      <c r="B118" t="s">
        <v>21</v>
      </c>
      <c r="C118" t="s">
        <v>21</v>
      </c>
      <c r="D118" t="s">
        <v>21</v>
      </c>
      <c r="E118">
        <f t="shared" si="4"/>
        <v>0</v>
      </c>
      <c r="F118">
        <f t="shared" si="5"/>
        <v>3</v>
      </c>
      <c r="G118">
        <f t="shared" si="6"/>
        <v>0</v>
      </c>
      <c r="H118">
        <f t="shared" si="7"/>
        <v>1</v>
      </c>
    </row>
    <row r="119" spans="1:8" x14ac:dyDescent="0.3">
      <c r="A119" t="s">
        <v>365</v>
      </c>
      <c r="B119" t="s">
        <v>21</v>
      </c>
      <c r="C119" t="s">
        <v>21</v>
      </c>
      <c r="D119" t="s">
        <v>21</v>
      </c>
      <c r="E119">
        <f t="shared" si="4"/>
        <v>0</v>
      </c>
      <c r="F119">
        <f t="shared" si="5"/>
        <v>3</v>
      </c>
      <c r="G119">
        <f t="shared" si="6"/>
        <v>0</v>
      </c>
      <c r="H119">
        <f t="shared" si="7"/>
        <v>1</v>
      </c>
    </row>
    <row r="120" spans="1:8" x14ac:dyDescent="0.3">
      <c r="A120" t="s">
        <v>365</v>
      </c>
      <c r="B120" t="s">
        <v>21</v>
      </c>
      <c r="C120" t="s">
        <v>21</v>
      </c>
      <c r="D120" t="s">
        <v>21</v>
      </c>
      <c r="E120">
        <f t="shared" si="4"/>
        <v>0</v>
      </c>
      <c r="F120">
        <f t="shared" si="5"/>
        <v>3</v>
      </c>
      <c r="G120">
        <f t="shared" si="6"/>
        <v>0</v>
      </c>
      <c r="H120">
        <f t="shared" si="7"/>
        <v>1</v>
      </c>
    </row>
    <row r="121" spans="1:8" x14ac:dyDescent="0.3">
      <c r="A121" t="s">
        <v>365</v>
      </c>
      <c r="B121" t="s">
        <v>21</v>
      </c>
      <c r="C121" t="s">
        <v>21</v>
      </c>
      <c r="D121" t="s">
        <v>21</v>
      </c>
      <c r="E121">
        <f t="shared" si="4"/>
        <v>0</v>
      </c>
      <c r="F121">
        <f t="shared" si="5"/>
        <v>3</v>
      </c>
      <c r="G121">
        <f t="shared" si="6"/>
        <v>0</v>
      </c>
      <c r="H121">
        <f t="shared" si="7"/>
        <v>1</v>
      </c>
    </row>
    <row r="122" spans="1:8" x14ac:dyDescent="0.3">
      <c r="A122" t="s">
        <v>376</v>
      </c>
      <c r="B122" t="s">
        <v>21</v>
      </c>
      <c r="C122" t="s">
        <v>21</v>
      </c>
      <c r="D122" t="s">
        <v>21</v>
      </c>
      <c r="E122">
        <f t="shared" si="4"/>
        <v>0</v>
      </c>
      <c r="F122">
        <f t="shared" si="5"/>
        <v>3</v>
      </c>
      <c r="G122">
        <f t="shared" si="6"/>
        <v>0</v>
      </c>
      <c r="H122">
        <f t="shared" si="7"/>
        <v>1</v>
      </c>
    </row>
    <row r="123" spans="1:8" x14ac:dyDescent="0.3">
      <c r="A123" t="s">
        <v>376</v>
      </c>
      <c r="B123" t="s">
        <v>21</v>
      </c>
      <c r="C123" t="s">
        <v>21</v>
      </c>
      <c r="D123" t="s">
        <v>21</v>
      </c>
      <c r="E123">
        <f t="shared" si="4"/>
        <v>0</v>
      </c>
      <c r="F123">
        <f t="shared" si="5"/>
        <v>3</v>
      </c>
      <c r="G123">
        <f t="shared" si="6"/>
        <v>0</v>
      </c>
      <c r="H123">
        <f t="shared" si="7"/>
        <v>1</v>
      </c>
    </row>
    <row r="124" spans="1:8" x14ac:dyDescent="0.3">
      <c r="A124" t="s">
        <v>376</v>
      </c>
      <c r="B124" t="s">
        <v>21</v>
      </c>
      <c r="C124" t="s">
        <v>21</v>
      </c>
      <c r="D124" t="s">
        <v>21</v>
      </c>
      <c r="E124">
        <f t="shared" si="4"/>
        <v>0</v>
      </c>
      <c r="F124">
        <f t="shared" si="5"/>
        <v>3</v>
      </c>
      <c r="G124">
        <f t="shared" si="6"/>
        <v>0</v>
      </c>
      <c r="H124">
        <f t="shared" si="7"/>
        <v>1</v>
      </c>
    </row>
    <row r="125" spans="1:8" hidden="1" x14ac:dyDescent="0.3">
      <c r="A125" t="s">
        <v>376</v>
      </c>
      <c r="B125" t="s">
        <v>21</v>
      </c>
      <c r="C125" t="s">
        <v>21</v>
      </c>
      <c r="D125" t="s">
        <v>51</v>
      </c>
      <c r="E125">
        <f t="shared" si="4"/>
        <v>1</v>
      </c>
      <c r="F125">
        <f t="shared" si="5"/>
        <v>2</v>
      </c>
      <c r="G125">
        <f t="shared" si="6"/>
        <v>0</v>
      </c>
      <c r="H125">
        <f t="shared" si="7"/>
        <v>0.33333333333333331</v>
      </c>
    </row>
    <row r="126" spans="1:8" x14ac:dyDescent="0.3">
      <c r="A126" t="s">
        <v>388</v>
      </c>
      <c r="B126" t="s">
        <v>21</v>
      </c>
      <c r="C126" t="s">
        <v>21</v>
      </c>
      <c r="D126" t="s">
        <v>21</v>
      </c>
      <c r="E126">
        <f t="shared" si="4"/>
        <v>0</v>
      </c>
      <c r="F126">
        <f t="shared" si="5"/>
        <v>3</v>
      </c>
      <c r="G126">
        <f t="shared" si="6"/>
        <v>0</v>
      </c>
      <c r="H126">
        <f t="shared" si="7"/>
        <v>1</v>
      </c>
    </row>
    <row r="127" spans="1:8" x14ac:dyDescent="0.3">
      <c r="A127" t="s">
        <v>388</v>
      </c>
      <c r="B127" t="s">
        <v>21</v>
      </c>
      <c r="C127" t="s">
        <v>21</v>
      </c>
      <c r="D127" t="s">
        <v>21</v>
      </c>
      <c r="E127">
        <f t="shared" si="4"/>
        <v>0</v>
      </c>
      <c r="F127">
        <f t="shared" si="5"/>
        <v>3</v>
      </c>
      <c r="G127">
        <f t="shared" si="6"/>
        <v>0</v>
      </c>
      <c r="H127">
        <f t="shared" si="7"/>
        <v>1</v>
      </c>
    </row>
    <row r="128" spans="1:8" hidden="1" x14ac:dyDescent="0.3">
      <c r="A128" t="s">
        <v>388</v>
      </c>
      <c r="B128" t="s">
        <v>51</v>
      </c>
      <c r="C128" t="s">
        <v>51</v>
      </c>
      <c r="D128" t="s">
        <v>21</v>
      </c>
      <c r="E128">
        <f t="shared" si="4"/>
        <v>2</v>
      </c>
      <c r="F128">
        <f t="shared" si="5"/>
        <v>1</v>
      </c>
      <c r="G128">
        <f t="shared" si="6"/>
        <v>0</v>
      </c>
      <c r="H128">
        <f t="shared" si="7"/>
        <v>0.33333333333333331</v>
      </c>
    </row>
    <row r="129" spans="1:8" hidden="1" x14ac:dyDescent="0.3">
      <c r="A129" t="s">
        <v>388</v>
      </c>
      <c r="B129" t="s">
        <v>21</v>
      </c>
      <c r="C129" t="s">
        <v>51</v>
      </c>
      <c r="D129" t="s">
        <v>51</v>
      </c>
      <c r="E129">
        <f t="shared" si="4"/>
        <v>2</v>
      </c>
      <c r="F129">
        <f t="shared" si="5"/>
        <v>1</v>
      </c>
      <c r="G129">
        <f t="shared" si="6"/>
        <v>0</v>
      </c>
      <c r="H129">
        <f t="shared" si="7"/>
        <v>0.33333333333333331</v>
      </c>
    </row>
    <row r="130" spans="1:8" x14ac:dyDescent="0.3">
      <c r="A130" t="s">
        <v>399</v>
      </c>
      <c r="B130" t="s">
        <v>51</v>
      </c>
      <c r="C130" t="s">
        <v>51</v>
      </c>
      <c r="D130" t="s">
        <v>51</v>
      </c>
      <c r="E130">
        <f t="shared" si="4"/>
        <v>3</v>
      </c>
      <c r="F130">
        <f t="shared" si="5"/>
        <v>0</v>
      </c>
      <c r="G130">
        <f t="shared" si="6"/>
        <v>0</v>
      </c>
      <c r="H130">
        <f t="shared" si="7"/>
        <v>1</v>
      </c>
    </row>
    <row r="131" spans="1:8" x14ac:dyDescent="0.3">
      <c r="A131" t="s">
        <v>399</v>
      </c>
      <c r="B131" t="s">
        <v>51</v>
      </c>
      <c r="C131" t="s">
        <v>51</v>
      </c>
      <c r="D131" t="s">
        <v>51</v>
      </c>
      <c r="E131">
        <f t="shared" ref="E131:E194" si="8">COUNTIF(B131:D131,"ICE_ONLY")</f>
        <v>3</v>
      </c>
      <c r="F131">
        <f t="shared" ref="F131:F194" si="9">COUNTIF(B131:D131,"SHARED")</f>
        <v>0</v>
      </c>
      <c r="G131">
        <f t="shared" ref="G131:G194" si="10">COUNTIF(B131:D131,"EV_ONLY")</f>
        <v>0</v>
      </c>
      <c r="H131">
        <f t="shared" ref="H131:H194" si="11">(E131*(E131-1)+F131*(F131-1)+G131*(G131-1))/(3*(3-1))</f>
        <v>1</v>
      </c>
    </row>
    <row r="132" spans="1:8" x14ac:dyDescent="0.3">
      <c r="A132" t="s">
        <v>399</v>
      </c>
      <c r="B132" t="s">
        <v>51</v>
      </c>
      <c r="C132" t="s">
        <v>51</v>
      </c>
      <c r="D132" t="s">
        <v>51</v>
      </c>
      <c r="E132">
        <f t="shared" si="8"/>
        <v>3</v>
      </c>
      <c r="F132">
        <f t="shared" si="9"/>
        <v>0</v>
      </c>
      <c r="G132">
        <f t="shared" si="10"/>
        <v>0</v>
      </c>
      <c r="H132">
        <f t="shared" si="11"/>
        <v>1</v>
      </c>
    </row>
    <row r="133" spans="1:8" x14ac:dyDescent="0.3">
      <c r="A133" t="s">
        <v>399</v>
      </c>
      <c r="B133" t="s">
        <v>51</v>
      </c>
      <c r="C133" t="s">
        <v>51</v>
      </c>
      <c r="D133" t="s">
        <v>51</v>
      </c>
      <c r="E133">
        <f t="shared" si="8"/>
        <v>3</v>
      </c>
      <c r="F133">
        <f t="shared" si="9"/>
        <v>0</v>
      </c>
      <c r="G133">
        <f t="shared" si="10"/>
        <v>0</v>
      </c>
      <c r="H133">
        <f t="shared" si="11"/>
        <v>1</v>
      </c>
    </row>
    <row r="134" spans="1:8" x14ac:dyDescent="0.3">
      <c r="A134" t="s">
        <v>410</v>
      </c>
      <c r="B134" t="s">
        <v>51</v>
      </c>
      <c r="C134" t="s">
        <v>51</v>
      </c>
      <c r="D134" t="s">
        <v>51</v>
      </c>
      <c r="E134">
        <f t="shared" si="8"/>
        <v>3</v>
      </c>
      <c r="F134">
        <f t="shared" si="9"/>
        <v>0</v>
      </c>
      <c r="G134">
        <f t="shared" si="10"/>
        <v>0</v>
      </c>
      <c r="H134">
        <f t="shared" si="11"/>
        <v>1</v>
      </c>
    </row>
    <row r="135" spans="1:8" x14ac:dyDescent="0.3">
      <c r="A135" t="s">
        <v>410</v>
      </c>
      <c r="B135" t="s">
        <v>51</v>
      </c>
      <c r="C135" t="s">
        <v>51</v>
      </c>
      <c r="D135" t="s">
        <v>51</v>
      </c>
      <c r="E135">
        <f t="shared" si="8"/>
        <v>3</v>
      </c>
      <c r="F135">
        <f t="shared" si="9"/>
        <v>0</v>
      </c>
      <c r="G135">
        <f t="shared" si="10"/>
        <v>0</v>
      </c>
      <c r="H135">
        <f t="shared" si="11"/>
        <v>1</v>
      </c>
    </row>
    <row r="136" spans="1:8" x14ac:dyDescent="0.3">
      <c r="A136" t="s">
        <v>410</v>
      </c>
      <c r="B136" t="s">
        <v>51</v>
      </c>
      <c r="C136" t="s">
        <v>51</v>
      </c>
      <c r="D136" t="s">
        <v>51</v>
      </c>
      <c r="E136">
        <f t="shared" si="8"/>
        <v>3</v>
      </c>
      <c r="F136">
        <f t="shared" si="9"/>
        <v>0</v>
      </c>
      <c r="G136">
        <f t="shared" si="10"/>
        <v>0</v>
      </c>
      <c r="H136">
        <f t="shared" si="11"/>
        <v>1</v>
      </c>
    </row>
    <row r="137" spans="1:8" x14ac:dyDescent="0.3">
      <c r="A137" t="s">
        <v>410</v>
      </c>
      <c r="B137" t="s">
        <v>51</v>
      </c>
      <c r="C137" t="s">
        <v>51</v>
      </c>
      <c r="D137" t="s">
        <v>51</v>
      </c>
      <c r="E137">
        <f t="shared" si="8"/>
        <v>3</v>
      </c>
      <c r="F137">
        <f t="shared" si="9"/>
        <v>0</v>
      </c>
      <c r="G137">
        <f t="shared" si="10"/>
        <v>0</v>
      </c>
      <c r="H137">
        <f t="shared" si="11"/>
        <v>1</v>
      </c>
    </row>
    <row r="138" spans="1:8" x14ac:dyDescent="0.3">
      <c r="A138" t="s">
        <v>418</v>
      </c>
      <c r="B138" t="s">
        <v>51</v>
      </c>
      <c r="C138" t="s">
        <v>51</v>
      </c>
      <c r="D138" t="s">
        <v>51</v>
      </c>
      <c r="E138">
        <f t="shared" si="8"/>
        <v>3</v>
      </c>
      <c r="F138">
        <f t="shared" si="9"/>
        <v>0</v>
      </c>
      <c r="G138">
        <f t="shared" si="10"/>
        <v>0</v>
      </c>
      <c r="H138">
        <f t="shared" si="11"/>
        <v>1</v>
      </c>
    </row>
    <row r="139" spans="1:8" x14ac:dyDescent="0.3">
      <c r="A139" t="s">
        <v>418</v>
      </c>
      <c r="B139" t="s">
        <v>51</v>
      </c>
      <c r="C139" t="s">
        <v>51</v>
      </c>
      <c r="D139" t="s">
        <v>51</v>
      </c>
      <c r="E139">
        <f t="shared" si="8"/>
        <v>3</v>
      </c>
      <c r="F139">
        <f t="shared" si="9"/>
        <v>0</v>
      </c>
      <c r="G139">
        <f t="shared" si="10"/>
        <v>0</v>
      </c>
      <c r="H139">
        <f t="shared" si="11"/>
        <v>1</v>
      </c>
    </row>
    <row r="140" spans="1:8" x14ac:dyDescent="0.3">
      <c r="A140" t="s">
        <v>418</v>
      </c>
      <c r="B140" t="s">
        <v>51</v>
      </c>
      <c r="C140" t="s">
        <v>51</v>
      </c>
      <c r="D140" t="s">
        <v>51</v>
      </c>
      <c r="E140">
        <f t="shared" si="8"/>
        <v>3</v>
      </c>
      <c r="F140">
        <f t="shared" si="9"/>
        <v>0</v>
      </c>
      <c r="G140">
        <f t="shared" si="10"/>
        <v>0</v>
      </c>
      <c r="H140">
        <f t="shared" si="11"/>
        <v>1</v>
      </c>
    </row>
    <row r="141" spans="1:8" x14ac:dyDescent="0.3">
      <c r="A141" t="s">
        <v>418</v>
      </c>
      <c r="B141" t="s">
        <v>51</v>
      </c>
      <c r="C141" t="s">
        <v>51</v>
      </c>
      <c r="D141" t="s">
        <v>51</v>
      </c>
      <c r="E141">
        <f t="shared" si="8"/>
        <v>3</v>
      </c>
      <c r="F141">
        <f t="shared" si="9"/>
        <v>0</v>
      </c>
      <c r="G141">
        <f t="shared" si="10"/>
        <v>0</v>
      </c>
      <c r="H141">
        <f t="shared" si="11"/>
        <v>1</v>
      </c>
    </row>
    <row r="142" spans="1:8" hidden="1" x14ac:dyDescent="0.3">
      <c r="A142" t="s">
        <v>424</v>
      </c>
      <c r="B142" t="s">
        <v>21</v>
      </c>
      <c r="C142" t="s">
        <v>51</v>
      </c>
      <c r="D142" t="s">
        <v>51</v>
      </c>
      <c r="E142">
        <f t="shared" si="8"/>
        <v>2</v>
      </c>
      <c r="F142">
        <f t="shared" si="9"/>
        <v>1</v>
      </c>
      <c r="G142">
        <f t="shared" si="10"/>
        <v>0</v>
      </c>
      <c r="H142">
        <f t="shared" si="11"/>
        <v>0.33333333333333331</v>
      </c>
    </row>
    <row r="143" spans="1:8" hidden="1" x14ac:dyDescent="0.3">
      <c r="A143" t="s">
        <v>424</v>
      </c>
      <c r="B143" t="s">
        <v>21</v>
      </c>
      <c r="C143" t="s">
        <v>51</v>
      </c>
      <c r="D143" t="s">
        <v>51</v>
      </c>
      <c r="E143">
        <f t="shared" si="8"/>
        <v>2</v>
      </c>
      <c r="F143">
        <f t="shared" si="9"/>
        <v>1</v>
      </c>
      <c r="G143">
        <f t="shared" si="10"/>
        <v>0</v>
      </c>
      <c r="H143">
        <f t="shared" si="11"/>
        <v>0.33333333333333331</v>
      </c>
    </row>
    <row r="144" spans="1:8" hidden="1" x14ac:dyDescent="0.3">
      <c r="A144" t="s">
        <v>424</v>
      </c>
      <c r="B144" t="s">
        <v>21</v>
      </c>
      <c r="C144" t="s">
        <v>21</v>
      </c>
      <c r="D144" t="s">
        <v>51</v>
      </c>
      <c r="E144">
        <f t="shared" si="8"/>
        <v>1</v>
      </c>
      <c r="F144">
        <f t="shared" si="9"/>
        <v>2</v>
      </c>
      <c r="G144">
        <f t="shared" si="10"/>
        <v>0</v>
      </c>
      <c r="H144">
        <f t="shared" si="11"/>
        <v>0.33333333333333331</v>
      </c>
    </row>
    <row r="145" spans="1:8" x14ac:dyDescent="0.3">
      <c r="A145" t="s">
        <v>424</v>
      </c>
      <c r="B145" t="s">
        <v>51</v>
      </c>
      <c r="C145" t="s">
        <v>51</v>
      </c>
      <c r="D145" t="s">
        <v>51</v>
      </c>
      <c r="E145">
        <f t="shared" si="8"/>
        <v>3</v>
      </c>
      <c r="F145">
        <f t="shared" si="9"/>
        <v>0</v>
      </c>
      <c r="G145">
        <f t="shared" si="10"/>
        <v>0</v>
      </c>
      <c r="H145">
        <f t="shared" si="11"/>
        <v>1</v>
      </c>
    </row>
    <row r="146" spans="1:8" x14ac:dyDescent="0.3">
      <c r="A146" t="s">
        <v>432</v>
      </c>
      <c r="B146" t="s">
        <v>51</v>
      </c>
      <c r="C146" t="s">
        <v>51</v>
      </c>
      <c r="D146" t="s">
        <v>51</v>
      </c>
      <c r="E146">
        <f t="shared" si="8"/>
        <v>3</v>
      </c>
      <c r="F146">
        <f t="shared" si="9"/>
        <v>0</v>
      </c>
      <c r="G146">
        <f t="shared" si="10"/>
        <v>0</v>
      </c>
      <c r="H146">
        <f t="shared" si="11"/>
        <v>1</v>
      </c>
    </row>
    <row r="147" spans="1:8" x14ac:dyDescent="0.3">
      <c r="A147" t="s">
        <v>432</v>
      </c>
      <c r="B147" t="s">
        <v>51</v>
      </c>
      <c r="C147" t="s">
        <v>51</v>
      </c>
      <c r="D147" t="s">
        <v>51</v>
      </c>
      <c r="E147">
        <f t="shared" si="8"/>
        <v>3</v>
      </c>
      <c r="F147">
        <f t="shared" si="9"/>
        <v>0</v>
      </c>
      <c r="G147">
        <f t="shared" si="10"/>
        <v>0</v>
      </c>
      <c r="H147">
        <f t="shared" si="11"/>
        <v>1</v>
      </c>
    </row>
    <row r="148" spans="1:8" x14ac:dyDescent="0.3">
      <c r="A148" t="s">
        <v>432</v>
      </c>
      <c r="B148" t="s">
        <v>51</v>
      </c>
      <c r="C148" t="s">
        <v>51</v>
      </c>
      <c r="D148" t="s">
        <v>51</v>
      </c>
      <c r="E148">
        <f t="shared" si="8"/>
        <v>3</v>
      </c>
      <c r="F148">
        <f t="shared" si="9"/>
        <v>0</v>
      </c>
      <c r="G148">
        <f t="shared" si="10"/>
        <v>0</v>
      </c>
      <c r="H148">
        <f t="shared" si="11"/>
        <v>1</v>
      </c>
    </row>
    <row r="149" spans="1:8" x14ac:dyDescent="0.3">
      <c r="A149" t="s">
        <v>432</v>
      </c>
      <c r="B149" t="s">
        <v>51</v>
      </c>
      <c r="C149" t="s">
        <v>51</v>
      </c>
      <c r="D149" t="s">
        <v>51</v>
      </c>
      <c r="E149">
        <f t="shared" si="8"/>
        <v>3</v>
      </c>
      <c r="F149">
        <f t="shared" si="9"/>
        <v>0</v>
      </c>
      <c r="G149">
        <f t="shared" si="10"/>
        <v>0</v>
      </c>
      <c r="H149">
        <f t="shared" si="11"/>
        <v>1</v>
      </c>
    </row>
    <row r="150" spans="1:8" x14ac:dyDescent="0.3">
      <c r="A150" t="s">
        <v>442</v>
      </c>
      <c r="B150" t="s">
        <v>51</v>
      </c>
      <c r="C150" t="s">
        <v>51</v>
      </c>
      <c r="D150" t="s">
        <v>51</v>
      </c>
      <c r="E150">
        <f t="shared" si="8"/>
        <v>3</v>
      </c>
      <c r="F150">
        <f t="shared" si="9"/>
        <v>0</v>
      </c>
      <c r="G150">
        <f t="shared" si="10"/>
        <v>0</v>
      </c>
      <c r="H150">
        <f t="shared" si="11"/>
        <v>1</v>
      </c>
    </row>
    <row r="151" spans="1:8" x14ac:dyDescent="0.3">
      <c r="A151" t="s">
        <v>442</v>
      </c>
      <c r="B151" t="s">
        <v>51</v>
      </c>
      <c r="C151" t="s">
        <v>51</v>
      </c>
      <c r="D151" t="s">
        <v>51</v>
      </c>
      <c r="E151">
        <f t="shared" si="8"/>
        <v>3</v>
      </c>
      <c r="F151">
        <f t="shared" si="9"/>
        <v>0</v>
      </c>
      <c r="G151">
        <f t="shared" si="10"/>
        <v>0</v>
      </c>
      <c r="H151">
        <f t="shared" si="11"/>
        <v>1</v>
      </c>
    </row>
    <row r="152" spans="1:8" x14ac:dyDescent="0.3">
      <c r="A152" t="s">
        <v>442</v>
      </c>
      <c r="B152" t="s">
        <v>51</v>
      </c>
      <c r="C152" t="s">
        <v>51</v>
      </c>
      <c r="D152" t="s">
        <v>51</v>
      </c>
      <c r="E152">
        <f t="shared" si="8"/>
        <v>3</v>
      </c>
      <c r="F152">
        <f t="shared" si="9"/>
        <v>0</v>
      </c>
      <c r="G152">
        <f t="shared" si="10"/>
        <v>0</v>
      </c>
      <c r="H152">
        <f t="shared" si="11"/>
        <v>1</v>
      </c>
    </row>
    <row r="153" spans="1:8" x14ac:dyDescent="0.3">
      <c r="A153" t="s">
        <v>442</v>
      </c>
      <c r="B153" t="s">
        <v>51</v>
      </c>
      <c r="C153" t="s">
        <v>51</v>
      </c>
      <c r="D153" t="s">
        <v>51</v>
      </c>
      <c r="E153">
        <f t="shared" si="8"/>
        <v>3</v>
      </c>
      <c r="F153">
        <f t="shared" si="9"/>
        <v>0</v>
      </c>
      <c r="G153">
        <f t="shared" si="10"/>
        <v>0</v>
      </c>
      <c r="H153">
        <f t="shared" si="11"/>
        <v>1</v>
      </c>
    </row>
    <row r="154" spans="1:8" x14ac:dyDescent="0.3">
      <c r="A154" t="s">
        <v>452</v>
      </c>
      <c r="B154" t="s">
        <v>51</v>
      </c>
      <c r="C154" t="s">
        <v>51</v>
      </c>
      <c r="D154" t="s">
        <v>51</v>
      </c>
      <c r="E154">
        <f t="shared" si="8"/>
        <v>3</v>
      </c>
      <c r="F154">
        <f t="shared" si="9"/>
        <v>0</v>
      </c>
      <c r="G154">
        <f t="shared" si="10"/>
        <v>0</v>
      </c>
      <c r="H154">
        <f t="shared" si="11"/>
        <v>1</v>
      </c>
    </row>
    <row r="155" spans="1:8" x14ac:dyDescent="0.3">
      <c r="A155" t="s">
        <v>452</v>
      </c>
      <c r="B155" t="s">
        <v>51</v>
      </c>
      <c r="C155" t="s">
        <v>51</v>
      </c>
      <c r="D155" t="s">
        <v>51</v>
      </c>
      <c r="E155">
        <f t="shared" si="8"/>
        <v>3</v>
      </c>
      <c r="F155">
        <f t="shared" si="9"/>
        <v>0</v>
      </c>
      <c r="G155">
        <f t="shared" si="10"/>
        <v>0</v>
      </c>
      <c r="H155">
        <f t="shared" si="11"/>
        <v>1</v>
      </c>
    </row>
    <row r="156" spans="1:8" x14ac:dyDescent="0.3">
      <c r="A156" t="s">
        <v>452</v>
      </c>
      <c r="B156" t="s">
        <v>51</v>
      </c>
      <c r="C156" t="s">
        <v>51</v>
      </c>
      <c r="D156" t="s">
        <v>51</v>
      </c>
      <c r="E156">
        <f t="shared" si="8"/>
        <v>3</v>
      </c>
      <c r="F156">
        <f t="shared" si="9"/>
        <v>0</v>
      </c>
      <c r="G156">
        <f t="shared" si="10"/>
        <v>0</v>
      </c>
      <c r="H156">
        <f t="shared" si="11"/>
        <v>1</v>
      </c>
    </row>
    <row r="157" spans="1:8" x14ac:dyDescent="0.3">
      <c r="A157" t="s">
        <v>452</v>
      </c>
      <c r="B157" t="s">
        <v>51</v>
      </c>
      <c r="C157" t="s">
        <v>51</v>
      </c>
      <c r="D157" t="s">
        <v>51</v>
      </c>
      <c r="E157">
        <f t="shared" si="8"/>
        <v>3</v>
      </c>
      <c r="F157">
        <f t="shared" si="9"/>
        <v>0</v>
      </c>
      <c r="G157">
        <f t="shared" si="10"/>
        <v>0</v>
      </c>
      <c r="H157">
        <f t="shared" si="11"/>
        <v>1</v>
      </c>
    </row>
    <row r="158" spans="1:8" x14ac:dyDescent="0.3">
      <c r="A158" t="s">
        <v>463</v>
      </c>
      <c r="B158" t="s">
        <v>51</v>
      </c>
      <c r="C158" t="s">
        <v>51</v>
      </c>
      <c r="D158" t="s">
        <v>51</v>
      </c>
      <c r="E158">
        <f t="shared" si="8"/>
        <v>3</v>
      </c>
      <c r="F158">
        <f t="shared" si="9"/>
        <v>0</v>
      </c>
      <c r="G158">
        <f t="shared" si="10"/>
        <v>0</v>
      </c>
      <c r="H158">
        <f t="shared" si="11"/>
        <v>1</v>
      </c>
    </row>
    <row r="159" spans="1:8" x14ac:dyDescent="0.3">
      <c r="A159" t="s">
        <v>463</v>
      </c>
      <c r="B159" t="s">
        <v>51</v>
      </c>
      <c r="C159" t="s">
        <v>51</v>
      </c>
      <c r="D159" t="s">
        <v>51</v>
      </c>
      <c r="E159">
        <f t="shared" si="8"/>
        <v>3</v>
      </c>
      <c r="F159">
        <f t="shared" si="9"/>
        <v>0</v>
      </c>
      <c r="G159">
        <f t="shared" si="10"/>
        <v>0</v>
      </c>
      <c r="H159">
        <f t="shared" si="11"/>
        <v>1</v>
      </c>
    </row>
    <row r="160" spans="1:8" x14ac:dyDescent="0.3">
      <c r="A160" t="s">
        <v>463</v>
      </c>
      <c r="B160" t="s">
        <v>51</v>
      </c>
      <c r="C160" t="s">
        <v>51</v>
      </c>
      <c r="D160" t="s">
        <v>51</v>
      </c>
      <c r="E160">
        <f t="shared" si="8"/>
        <v>3</v>
      </c>
      <c r="F160">
        <f t="shared" si="9"/>
        <v>0</v>
      </c>
      <c r="G160">
        <f t="shared" si="10"/>
        <v>0</v>
      </c>
      <c r="H160">
        <f t="shared" si="11"/>
        <v>1</v>
      </c>
    </row>
    <row r="161" spans="1:8" x14ac:dyDescent="0.3">
      <c r="A161" t="s">
        <v>463</v>
      </c>
      <c r="B161" t="s">
        <v>51</v>
      </c>
      <c r="C161" t="s">
        <v>51</v>
      </c>
      <c r="D161" t="s">
        <v>51</v>
      </c>
      <c r="E161">
        <f t="shared" si="8"/>
        <v>3</v>
      </c>
      <c r="F161">
        <f t="shared" si="9"/>
        <v>0</v>
      </c>
      <c r="G161">
        <f t="shared" si="10"/>
        <v>0</v>
      </c>
      <c r="H161">
        <f t="shared" si="11"/>
        <v>1</v>
      </c>
    </row>
    <row r="162" spans="1:8" x14ac:dyDescent="0.3">
      <c r="A162" t="s">
        <v>472</v>
      </c>
      <c r="B162" t="s">
        <v>51</v>
      </c>
      <c r="C162" t="s">
        <v>51</v>
      </c>
      <c r="D162" t="s">
        <v>51</v>
      </c>
      <c r="E162">
        <f t="shared" si="8"/>
        <v>3</v>
      </c>
      <c r="F162">
        <f t="shared" si="9"/>
        <v>0</v>
      </c>
      <c r="G162">
        <f t="shared" si="10"/>
        <v>0</v>
      </c>
      <c r="H162">
        <f t="shared" si="11"/>
        <v>1</v>
      </c>
    </row>
    <row r="163" spans="1:8" x14ac:dyDescent="0.3">
      <c r="A163" t="s">
        <v>472</v>
      </c>
      <c r="B163" t="s">
        <v>51</v>
      </c>
      <c r="C163" t="s">
        <v>51</v>
      </c>
      <c r="D163" t="s">
        <v>51</v>
      </c>
      <c r="E163">
        <f t="shared" si="8"/>
        <v>3</v>
      </c>
      <c r="F163">
        <f t="shared" si="9"/>
        <v>0</v>
      </c>
      <c r="G163">
        <f t="shared" si="10"/>
        <v>0</v>
      </c>
      <c r="H163">
        <f t="shared" si="11"/>
        <v>1</v>
      </c>
    </row>
    <row r="164" spans="1:8" x14ac:dyDescent="0.3">
      <c r="A164" t="s">
        <v>472</v>
      </c>
      <c r="B164" t="s">
        <v>51</v>
      </c>
      <c r="C164" t="s">
        <v>51</v>
      </c>
      <c r="D164" t="s">
        <v>51</v>
      </c>
      <c r="E164">
        <f t="shared" si="8"/>
        <v>3</v>
      </c>
      <c r="F164">
        <f t="shared" si="9"/>
        <v>0</v>
      </c>
      <c r="G164">
        <f t="shared" si="10"/>
        <v>0</v>
      </c>
      <c r="H164">
        <f t="shared" si="11"/>
        <v>1</v>
      </c>
    </row>
    <row r="165" spans="1:8" x14ac:dyDescent="0.3">
      <c r="A165" t="s">
        <v>472</v>
      </c>
      <c r="B165" t="s">
        <v>51</v>
      </c>
      <c r="C165" t="s">
        <v>51</v>
      </c>
      <c r="D165" t="s">
        <v>51</v>
      </c>
      <c r="E165">
        <f t="shared" si="8"/>
        <v>3</v>
      </c>
      <c r="F165">
        <f t="shared" si="9"/>
        <v>0</v>
      </c>
      <c r="G165">
        <f t="shared" si="10"/>
        <v>0</v>
      </c>
      <c r="H165">
        <f t="shared" si="11"/>
        <v>1</v>
      </c>
    </row>
    <row r="166" spans="1:8" x14ac:dyDescent="0.3">
      <c r="A166" t="s">
        <v>481</v>
      </c>
      <c r="B166" t="s">
        <v>51</v>
      </c>
      <c r="C166" t="s">
        <v>51</v>
      </c>
      <c r="D166" t="s">
        <v>51</v>
      </c>
      <c r="E166">
        <f t="shared" si="8"/>
        <v>3</v>
      </c>
      <c r="F166">
        <f t="shared" si="9"/>
        <v>0</v>
      </c>
      <c r="G166">
        <f t="shared" si="10"/>
        <v>0</v>
      </c>
      <c r="H166">
        <f t="shared" si="11"/>
        <v>1</v>
      </c>
    </row>
    <row r="167" spans="1:8" x14ac:dyDescent="0.3">
      <c r="A167" t="s">
        <v>481</v>
      </c>
      <c r="B167" t="s">
        <v>51</v>
      </c>
      <c r="C167" t="s">
        <v>51</v>
      </c>
      <c r="D167" t="s">
        <v>51</v>
      </c>
      <c r="E167">
        <f t="shared" si="8"/>
        <v>3</v>
      </c>
      <c r="F167">
        <f t="shared" si="9"/>
        <v>0</v>
      </c>
      <c r="G167">
        <f t="shared" si="10"/>
        <v>0</v>
      </c>
      <c r="H167">
        <f t="shared" si="11"/>
        <v>1</v>
      </c>
    </row>
    <row r="168" spans="1:8" x14ac:dyDescent="0.3">
      <c r="A168" t="s">
        <v>481</v>
      </c>
      <c r="B168" t="s">
        <v>51</v>
      </c>
      <c r="C168" t="s">
        <v>51</v>
      </c>
      <c r="D168" t="s">
        <v>51</v>
      </c>
      <c r="E168">
        <f t="shared" si="8"/>
        <v>3</v>
      </c>
      <c r="F168">
        <f t="shared" si="9"/>
        <v>0</v>
      </c>
      <c r="G168">
        <f t="shared" si="10"/>
        <v>0</v>
      </c>
      <c r="H168">
        <f t="shared" si="11"/>
        <v>1</v>
      </c>
    </row>
    <row r="169" spans="1:8" x14ac:dyDescent="0.3">
      <c r="A169" t="s">
        <v>481</v>
      </c>
      <c r="B169" t="s">
        <v>51</v>
      </c>
      <c r="C169" t="s">
        <v>51</v>
      </c>
      <c r="D169" t="s">
        <v>51</v>
      </c>
      <c r="E169">
        <f t="shared" si="8"/>
        <v>3</v>
      </c>
      <c r="F169">
        <f t="shared" si="9"/>
        <v>0</v>
      </c>
      <c r="G169">
        <f t="shared" si="10"/>
        <v>0</v>
      </c>
      <c r="H169">
        <f t="shared" si="11"/>
        <v>1</v>
      </c>
    </row>
    <row r="170" spans="1:8" x14ac:dyDescent="0.3">
      <c r="A170" t="s">
        <v>489</v>
      </c>
      <c r="B170" t="s">
        <v>51</v>
      </c>
      <c r="C170" t="s">
        <v>51</v>
      </c>
      <c r="D170" t="s">
        <v>51</v>
      </c>
      <c r="E170">
        <f t="shared" si="8"/>
        <v>3</v>
      </c>
      <c r="F170">
        <f t="shared" si="9"/>
        <v>0</v>
      </c>
      <c r="G170">
        <f t="shared" si="10"/>
        <v>0</v>
      </c>
      <c r="H170">
        <f t="shared" si="11"/>
        <v>1</v>
      </c>
    </row>
    <row r="171" spans="1:8" x14ac:dyDescent="0.3">
      <c r="A171" t="s">
        <v>489</v>
      </c>
      <c r="B171" t="s">
        <v>51</v>
      </c>
      <c r="C171" t="s">
        <v>51</v>
      </c>
      <c r="D171" t="s">
        <v>51</v>
      </c>
      <c r="E171">
        <f t="shared" si="8"/>
        <v>3</v>
      </c>
      <c r="F171">
        <f t="shared" si="9"/>
        <v>0</v>
      </c>
      <c r="G171">
        <f t="shared" si="10"/>
        <v>0</v>
      </c>
      <c r="H171">
        <f t="shared" si="11"/>
        <v>1</v>
      </c>
    </row>
    <row r="172" spans="1:8" x14ac:dyDescent="0.3">
      <c r="A172" t="s">
        <v>489</v>
      </c>
      <c r="B172" t="s">
        <v>51</v>
      </c>
      <c r="C172" t="s">
        <v>51</v>
      </c>
      <c r="D172" t="s">
        <v>51</v>
      </c>
      <c r="E172">
        <f t="shared" si="8"/>
        <v>3</v>
      </c>
      <c r="F172">
        <f t="shared" si="9"/>
        <v>0</v>
      </c>
      <c r="G172">
        <f t="shared" si="10"/>
        <v>0</v>
      </c>
      <c r="H172">
        <f t="shared" si="11"/>
        <v>1</v>
      </c>
    </row>
    <row r="173" spans="1:8" x14ac:dyDescent="0.3">
      <c r="A173" t="s">
        <v>489</v>
      </c>
      <c r="B173" t="s">
        <v>51</v>
      </c>
      <c r="C173" t="s">
        <v>51</v>
      </c>
      <c r="D173" t="s">
        <v>51</v>
      </c>
      <c r="E173">
        <f t="shared" si="8"/>
        <v>3</v>
      </c>
      <c r="F173">
        <f t="shared" si="9"/>
        <v>0</v>
      </c>
      <c r="G173">
        <f t="shared" si="10"/>
        <v>0</v>
      </c>
      <c r="H173">
        <f t="shared" si="11"/>
        <v>1</v>
      </c>
    </row>
    <row r="174" spans="1:8" x14ac:dyDescent="0.3">
      <c r="A174" t="s">
        <v>500</v>
      </c>
      <c r="B174" t="s">
        <v>51</v>
      </c>
      <c r="C174" t="s">
        <v>51</v>
      </c>
      <c r="D174" t="s">
        <v>51</v>
      </c>
      <c r="E174">
        <f t="shared" si="8"/>
        <v>3</v>
      </c>
      <c r="F174">
        <f t="shared" si="9"/>
        <v>0</v>
      </c>
      <c r="G174">
        <f t="shared" si="10"/>
        <v>0</v>
      </c>
      <c r="H174">
        <f t="shared" si="11"/>
        <v>1</v>
      </c>
    </row>
    <row r="175" spans="1:8" x14ac:dyDescent="0.3">
      <c r="A175" t="s">
        <v>500</v>
      </c>
      <c r="B175" t="s">
        <v>51</v>
      </c>
      <c r="C175" t="s">
        <v>51</v>
      </c>
      <c r="D175" t="s">
        <v>51</v>
      </c>
      <c r="E175">
        <f t="shared" si="8"/>
        <v>3</v>
      </c>
      <c r="F175">
        <f t="shared" si="9"/>
        <v>0</v>
      </c>
      <c r="G175">
        <f t="shared" si="10"/>
        <v>0</v>
      </c>
      <c r="H175">
        <f t="shared" si="11"/>
        <v>1</v>
      </c>
    </row>
    <row r="176" spans="1:8" x14ac:dyDescent="0.3">
      <c r="A176" t="s">
        <v>500</v>
      </c>
      <c r="B176" t="s">
        <v>51</v>
      </c>
      <c r="C176" t="s">
        <v>51</v>
      </c>
      <c r="D176" t="s">
        <v>51</v>
      </c>
      <c r="E176">
        <f t="shared" si="8"/>
        <v>3</v>
      </c>
      <c r="F176">
        <f t="shared" si="9"/>
        <v>0</v>
      </c>
      <c r="G176">
        <f t="shared" si="10"/>
        <v>0</v>
      </c>
      <c r="H176">
        <f t="shared" si="11"/>
        <v>1</v>
      </c>
    </row>
    <row r="177" spans="1:10" x14ac:dyDescent="0.3">
      <c r="A177" t="s">
        <v>500</v>
      </c>
      <c r="B177" t="s">
        <v>51</v>
      </c>
      <c r="C177" t="s">
        <v>51</v>
      </c>
      <c r="D177" t="s">
        <v>51</v>
      </c>
      <c r="E177">
        <f t="shared" si="8"/>
        <v>3</v>
      </c>
      <c r="F177">
        <f t="shared" si="9"/>
        <v>0</v>
      </c>
      <c r="G177">
        <f t="shared" si="10"/>
        <v>0</v>
      </c>
      <c r="H177">
        <f t="shared" si="11"/>
        <v>1</v>
      </c>
    </row>
    <row r="178" spans="1:10" x14ac:dyDescent="0.3">
      <c r="A178" t="s">
        <v>511</v>
      </c>
      <c r="B178" t="s">
        <v>51</v>
      </c>
      <c r="C178" t="s">
        <v>51</v>
      </c>
      <c r="D178" t="s">
        <v>51</v>
      </c>
      <c r="E178">
        <f t="shared" si="8"/>
        <v>3</v>
      </c>
      <c r="F178">
        <f t="shared" si="9"/>
        <v>0</v>
      </c>
      <c r="G178">
        <f t="shared" si="10"/>
        <v>0</v>
      </c>
      <c r="H178">
        <f t="shared" si="11"/>
        <v>1</v>
      </c>
    </row>
    <row r="179" spans="1:10" x14ac:dyDescent="0.3">
      <c r="A179" t="s">
        <v>511</v>
      </c>
      <c r="B179" t="s">
        <v>51</v>
      </c>
      <c r="C179" t="s">
        <v>51</v>
      </c>
      <c r="D179" t="s">
        <v>51</v>
      </c>
      <c r="E179">
        <f t="shared" si="8"/>
        <v>3</v>
      </c>
      <c r="F179">
        <f t="shared" si="9"/>
        <v>0</v>
      </c>
      <c r="G179">
        <f t="shared" si="10"/>
        <v>0</v>
      </c>
      <c r="H179">
        <f t="shared" si="11"/>
        <v>1</v>
      </c>
    </row>
    <row r="180" spans="1:10" x14ac:dyDescent="0.3">
      <c r="A180" t="s">
        <v>511</v>
      </c>
      <c r="B180" t="s">
        <v>51</v>
      </c>
      <c r="C180" t="s">
        <v>51</v>
      </c>
      <c r="D180" t="s">
        <v>51</v>
      </c>
      <c r="E180">
        <f t="shared" si="8"/>
        <v>3</v>
      </c>
      <c r="F180">
        <f t="shared" si="9"/>
        <v>0</v>
      </c>
      <c r="G180">
        <f t="shared" si="10"/>
        <v>0</v>
      </c>
      <c r="H180">
        <f t="shared" si="11"/>
        <v>1</v>
      </c>
      <c r="J180">
        <f>182/204</f>
        <v>0.89215686274509809</v>
      </c>
    </row>
    <row r="181" spans="1:10" x14ac:dyDescent="0.3">
      <c r="A181" t="s">
        <v>511</v>
      </c>
      <c r="B181" t="s">
        <v>51</v>
      </c>
      <c r="C181" t="s">
        <v>51</v>
      </c>
      <c r="D181" t="s">
        <v>51</v>
      </c>
      <c r="E181">
        <f t="shared" si="8"/>
        <v>3</v>
      </c>
      <c r="F181">
        <f t="shared" si="9"/>
        <v>0</v>
      </c>
      <c r="G181">
        <f t="shared" si="10"/>
        <v>0</v>
      </c>
      <c r="H181">
        <f t="shared" si="11"/>
        <v>1</v>
      </c>
    </row>
    <row r="182" spans="1:10" x14ac:dyDescent="0.3">
      <c r="A182" t="s">
        <v>524</v>
      </c>
      <c r="B182" t="s">
        <v>529</v>
      </c>
      <c r="C182" t="s">
        <v>529</v>
      </c>
      <c r="D182" t="s">
        <v>529</v>
      </c>
      <c r="E182">
        <f t="shared" si="8"/>
        <v>0</v>
      </c>
      <c r="F182">
        <f t="shared" si="9"/>
        <v>0</v>
      </c>
      <c r="G182">
        <f t="shared" si="10"/>
        <v>3</v>
      </c>
      <c r="H182">
        <f t="shared" si="11"/>
        <v>1</v>
      </c>
    </row>
    <row r="183" spans="1:10" hidden="1" x14ac:dyDescent="0.3">
      <c r="A183" t="s">
        <v>524</v>
      </c>
      <c r="B183" t="s">
        <v>21</v>
      </c>
      <c r="C183" t="s">
        <v>21</v>
      </c>
      <c r="D183" t="s">
        <v>529</v>
      </c>
      <c r="E183">
        <f t="shared" si="8"/>
        <v>0</v>
      </c>
      <c r="F183">
        <f t="shared" si="9"/>
        <v>2</v>
      </c>
      <c r="G183">
        <f t="shared" si="10"/>
        <v>1</v>
      </c>
      <c r="H183">
        <f t="shared" si="11"/>
        <v>0.33333333333333331</v>
      </c>
    </row>
    <row r="184" spans="1:10" x14ac:dyDescent="0.3">
      <c r="A184" t="s">
        <v>524</v>
      </c>
      <c r="B184" t="s">
        <v>21</v>
      </c>
      <c r="C184" t="s">
        <v>21</v>
      </c>
      <c r="D184" t="s">
        <v>21</v>
      </c>
      <c r="E184">
        <f t="shared" si="8"/>
        <v>0</v>
      </c>
      <c r="F184">
        <f t="shared" si="9"/>
        <v>3</v>
      </c>
      <c r="G184">
        <f t="shared" si="10"/>
        <v>0</v>
      </c>
      <c r="H184">
        <f t="shared" si="11"/>
        <v>1</v>
      </c>
    </row>
    <row r="185" spans="1:10" x14ac:dyDescent="0.3">
      <c r="A185" t="s">
        <v>524</v>
      </c>
      <c r="B185" t="s">
        <v>21</v>
      </c>
      <c r="C185" t="s">
        <v>21</v>
      </c>
      <c r="D185" t="s">
        <v>21</v>
      </c>
      <c r="E185">
        <f t="shared" si="8"/>
        <v>0</v>
      </c>
      <c r="F185">
        <f t="shared" si="9"/>
        <v>3</v>
      </c>
      <c r="G185">
        <f t="shared" si="10"/>
        <v>0</v>
      </c>
      <c r="H185">
        <f t="shared" si="11"/>
        <v>1</v>
      </c>
    </row>
    <row r="186" spans="1:10" x14ac:dyDescent="0.3">
      <c r="A186" t="s">
        <v>536</v>
      </c>
      <c r="B186" t="s">
        <v>529</v>
      </c>
      <c r="C186" t="s">
        <v>529</v>
      </c>
      <c r="D186" t="s">
        <v>529</v>
      </c>
      <c r="E186">
        <f t="shared" si="8"/>
        <v>0</v>
      </c>
      <c r="F186">
        <f t="shared" si="9"/>
        <v>0</v>
      </c>
      <c r="G186">
        <f t="shared" si="10"/>
        <v>3</v>
      </c>
      <c r="H186">
        <f t="shared" si="11"/>
        <v>1</v>
      </c>
    </row>
    <row r="187" spans="1:10" x14ac:dyDescent="0.3">
      <c r="A187" t="s">
        <v>536</v>
      </c>
      <c r="B187" t="s">
        <v>21</v>
      </c>
      <c r="C187" t="s">
        <v>21</v>
      </c>
      <c r="D187" t="s">
        <v>21</v>
      </c>
      <c r="E187">
        <f t="shared" si="8"/>
        <v>0</v>
      </c>
      <c r="F187">
        <f t="shared" si="9"/>
        <v>3</v>
      </c>
      <c r="G187">
        <f t="shared" si="10"/>
        <v>0</v>
      </c>
      <c r="H187">
        <f t="shared" si="11"/>
        <v>1</v>
      </c>
    </row>
    <row r="188" spans="1:10" x14ac:dyDescent="0.3">
      <c r="A188" t="s">
        <v>536</v>
      </c>
      <c r="B188" t="s">
        <v>21</v>
      </c>
      <c r="C188" t="s">
        <v>21</v>
      </c>
      <c r="D188" t="s">
        <v>21</v>
      </c>
      <c r="E188">
        <f t="shared" si="8"/>
        <v>0</v>
      </c>
      <c r="F188">
        <f t="shared" si="9"/>
        <v>3</v>
      </c>
      <c r="G188">
        <f t="shared" si="10"/>
        <v>0</v>
      </c>
      <c r="H188">
        <f t="shared" si="11"/>
        <v>1</v>
      </c>
    </row>
    <row r="189" spans="1:10" hidden="1" x14ac:dyDescent="0.3">
      <c r="A189" t="s">
        <v>536</v>
      </c>
      <c r="B189" t="s">
        <v>21</v>
      </c>
      <c r="C189" t="s">
        <v>529</v>
      </c>
      <c r="D189" t="s">
        <v>21</v>
      </c>
      <c r="E189">
        <f t="shared" si="8"/>
        <v>0</v>
      </c>
      <c r="F189">
        <f t="shared" si="9"/>
        <v>2</v>
      </c>
      <c r="G189">
        <f t="shared" si="10"/>
        <v>1</v>
      </c>
      <c r="H189">
        <f t="shared" si="11"/>
        <v>0.33333333333333331</v>
      </c>
    </row>
    <row r="190" spans="1:10" hidden="1" x14ac:dyDescent="0.3">
      <c r="A190" t="s">
        <v>547</v>
      </c>
      <c r="B190" t="s">
        <v>529</v>
      </c>
      <c r="C190" t="s">
        <v>529</v>
      </c>
      <c r="D190" t="s">
        <v>21</v>
      </c>
      <c r="E190">
        <f t="shared" si="8"/>
        <v>0</v>
      </c>
      <c r="F190">
        <f t="shared" si="9"/>
        <v>1</v>
      </c>
      <c r="G190">
        <f t="shared" si="10"/>
        <v>2</v>
      </c>
      <c r="H190">
        <f t="shared" si="11"/>
        <v>0.33333333333333331</v>
      </c>
    </row>
    <row r="191" spans="1:10" hidden="1" x14ac:dyDescent="0.3">
      <c r="A191" t="s">
        <v>547</v>
      </c>
      <c r="B191" t="s">
        <v>529</v>
      </c>
      <c r="C191" t="s">
        <v>21</v>
      </c>
      <c r="D191" t="s">
        <v>21</v>
      </c>
      <c r="E191">
        <f t="shared" si="8"/>
        <v>0</v>
      </c>
      <c r="F191">
        <f t="shared" si="9"/>
        <v>2</v>
      </c>
      <c r="G191">
        <f t="shared" si="10"/>
        <v>1</v>
      </c>
      <c r="H191">
        <f t="shared" si="11"/>
        <v>0.33333333333333331</v>
      </c>
    </row>
    <row r="192" spans="1:10" hidden="1" x14ac:dyDescent="0.3">
      <c r="A192" t="s">
        <v>547</v>
      </c>
      <c r="B192" t="s">
        <v>21</v>
      </c>
      <c r="C192" t="s">
        <v>21</v>
      </c>
      <c r="D192" t="s">
        <v>529</v>
      </c>
      <c r="E192">
        <f t="shared" si="8"/>
        <v>0</v>
      </c>
      <c r="F192">
        <f t="shared" si="9"/>
        <v>2</v>
      </c>
      <c r="G192">
        <f t="shared" si="10"/>
        <v>1</v>
      </c>
      <c r="H192">
        <f t="shared" si="11"/>
        <v>0.33333333333333331</v>
      </c>
    </row>
    <row r="193" spans="1:8" x14ac:dyDescent="0.3">
      <c r="A193" t="s">
        <v>547</v>
      </c>
      <c r="B193" t="s">
        <v>21</v>
      </c>
      <c r="C193" t="s">
        <v>21</v>
      </c>
      <c r="D193" t="s">
        <v>21</v>
      </c>
      <c r="E193">
        <f t="shared" si="8"/>
        <v>0</v>
      </c>
      <c r="F193">
        <f t="shared" si="9"/>
        <v>3</v>
      </c>
      <c r="G193">
        <f t="shared" si="10"/>
        <v>0</v>
      </c>
      <c r="H193">
        <f t="shared" si="11"/>
        <v>1</v>
      </c>
    </row>
    <row r="194" spans="1:8" x14ac:dyDescent="0.3">
      <c r="A194" t="s">
        <v>558</v>
      </c>
      <c r="B194" t="s">
        <v>21</v>
      </c>
      <c r="C194" t="s">
        <v>21</v>
      </c>
      <c r="D194" t="s">
        <v>21</v>
      </c>
      <c r="E194">
        <f t="shared" si="8"/>
        <v>0</v>
      </c>
      <c r="F194">
        <f t="shared" si="9"/>
        <v>3</v>
      </c>
      <c r="G194">
        <f t="shared" si="10"/>
        <v>0</v>
      </c>
      <c r="H194">
        <f t="shared" si="11"/>
        <v>1</v>
      </c>
    </row>
    <row r="195" spans="1:8" x14ac:dyDescent="0.3">
      <c r="A195" t="s">
        <v>558</v>
      </c>
      <c r="B195" t="s">
        <v>21</v>
      </c>
      <c r="C195" t="s">
        <v>21</v>
      </c>
      <c r="D195" t="s">
        <v>21</v>
      </c>
      <c r="E195">
        <f t="shared" ref="E195:E205" si="12">COUNTIF(B195:D195,"ICE_ONLY")</f>
        <v>0</v>
      </c>
      <c r="F195">
        <f t="shared" ref="F195:F205" si="13">COUNTIF(B195:D195,"SHARED")</f>
        <v>3</v>
      </c>
      <c r="G195">
        <f t="shared" ref="G195:G205" si="14">COUNTIF(B195:D195,"EV_ONLY")</f>
        <v>0</v>
      </c>
      <c r="H195">
        <f t="shared" ref="H195:H205" si="15">(E195*(E195-1)+F195*(F195-1)+G195*(G195-1))/(3*(3-1))</f>
        <v>1</v>
      </c>
    </row>
    <row r="196" spans="1:8" x14ac:dyDescent="0.3">
      <c r="A196" t="s">
        <v>558</v>
      </c>
      <c r="B196" t="s">
        <v>21</v>
      </c>
      <c r="C196" t="s">
        <v>21</v>
      </c>
      <c r="D196" t="s">
        <v>21</v>
      </c>
      <c r="E196">
        <f t="shared" si="12"/>
        <v>0</v>
      </c>
      <c r="F196">
        <f t="shared" si="13"/>
        <v>3</v>
      </c>
      <c r="G196">
        <f t="shared" si="14"/>
        <v>0</v>
      </c>
      <c r="H196">
        <f t="shared" si="15"/>
        <v>1</v>
      </c>
    </row>
    <row r="197" spans="1:8" x14ac:dyDescent="0.3">
      <c r="A197" t="s">
        <v>558</v>
      </c>
      <c r="B197" t="s">
        <v>21</v>
      </c>
      <c r="C197" t="s">
        <v>21</v>
      </c>
      <c r="D197" t="s">
        <v>21</v>
      </c>
      <c r="E197">
        <f t="shared" si="12"/>
        <v>0</v>
      </c>
      <c r="F197">
        <f t="shared" si="13"/>
        <v>3</v>
      </c>
      <c r="G197">
        <f t="shared" si="14"/>
        <v>0</v>
      </c>
      <c r="H197">
        <f t="shared" si="15"/>
        <v>1</v>
      </c>
    </row>
    <row r="198" spans="1:8" x14ac:dyDescent="0.3">
      <c r="A198" t="s">
        <v>569</v>
      </c>
      <c r="B198" t="s">
        <v>21</v>
      </c>
      <c r="C198" t="s">
        <v>21</v>
      </c>
      <c r="D198" t="s">
        <v>21</v>
      </c>
      <c r="E198">
        <f t="shared" si="12"/>
        <v>0</v>
      </c>
      <c r="F198">
        <f t="shared" si="13"/>
        <v>3</v>
      </c>
      <c r="G198">
        <f t="shared" si="14"/>
        <v>0</v>
      </c>
      <c r="H198">
        <f t="shared" si="15"/>
        <v>1</v>
      </c>
    </row>
    <row r="199" spans="1:8" x14ac:dyDescent="0.3">
      <c r="A199" t="s">
        <v>569</v>
      </c>
      <c r="B199" t="s">
        <v>21</v>
      </c>
      <c r="C199" t="s">
        <v>21</v>
      </c>
      <c r="D199" t="s">
        <v>21</v>
      </c>
      <c r="E199">
        <f t="shared" si="12"/>
        <v>0</v>
      </c>
      <c r="F199">
        <f t="shared" si="13"/>
        <v>3</v>
      </c>
      <c r="G199">
        <f t="shared" si="14"/>
        <v>0</v>
      </c>
      <c r="H199">
        <f t="shared" si="15"/>
        <v>1</v>
      </c>
    </row>
    <row r="200" spans="1:8" x14ac:dyDescent="0.3">
      <c r="A200" t="s">
        <v>569</v>
      </c>
      <c r="B200" t="s">
        <v>21</v>
      </c>
      <c r="C200" t="s">
        <v>21</v>
      </c>
      <c r="D200" t="s">
        <v>21</v>
      </c>
      <c r="E200">
        <f t="shared" si="12"/>
        <v>0</v>
      </c>
      <c r="F200">
        <f t="shared" si="13"/>
        <v>3</v>
      </c>
      <c r="G200">
        <f t="shared" si="14"/>
        <v>0</v>
      </c>
      <c r="H200">
        <f t="shared" si="15"/>
        <v>1</v>
      </c>
    </row>
    <row r="201" spans="1:8" x14ac:dyDescent="0.3">
      <c r="A201" t="s">
        <v>569</v>
      </c>
      <c r="B201" t="s">
        <v>21</v>
      </c>
      <c r="C201" t="s">
        <v>21</v>
      </c>
      <c r="D201" t="s">
        <v>21</v>
      </c>
      <c r="E201">
        <f t="shared" si="12"/>
        <v>0</v>
      </c>
      <c r="F201">
        <f t="shared" si="13"/>
        <v>3</v>
      </c>
      <c r="G201">
        <f t="shared" si="14"/>
        <v>0</v>
      </c>
      <c r="H201">
        <f t="shared" si="15"/>
        <v>1</v>
      </c>
    </row>
    <row r="202" spans="1:8" x14ac:dyDescent="0.3">
      <c r="A202" t="s">
        <v>580</v>
      </c>
      <c r="B202" t="s">
        <v>21</v>
      </c>
      <c r="C202" t="s">
        <v>21</v>
      </c>
      <c r="D202" t="s">
        <v>21</v>
      </c>
      <c r="E202">
        <f t="shared" si="12"/>
        <v>0</v>
      </c>
      <c r="F202">
        <f t="shared" si="13"/>
        <v>3</v>
      </c>
      <c r="G202">
        <f t="shared" si="14"/>
        <v>0</v>
      </c>
      <c r="H202">
        <f t="shared" si="15"/>
        <v>1</v>
      </c>
    </row>
    <row r="203" spans="1:8" hidden="1" x14ac:dyDescent="0.3">
      <c r="A203" t="s">
        <v>580</v>
      </c>
      <c r="B203" t="s">
        <v>21</v>
      </c>
      <c r="C203" t="s">
        <v>51</v>
      </c>
      <c r="D203" t="s">
        <v>21</v>
      </c>
      <c r="E203">
        <f t="shared" si="12"/>
        <v>1</v>
      </c>
      <c r="F203">
        <f t="shared" si="13"/>
        <v>2</v>
      </c>
      <c r="G203">
        <f t="shared" si="14"/>
        <v>0</v>
      </c>
      <c r="H203">
        <f t="shared" si="15"/>
        <v>0.33333333333333331</v>
      </c>
    </row>
    <row r="204" spans="1:8" x14ac:dyDescent="0.3">
      <c r="A204" t="s">
        <v>580</v>
      </c>
      <c r="B204" t="s">
        <v>21</v>
      </c>
      <c r="C204" t="s">
        <v>21</v>
      </c>
      <c r="D204" t="s">
        <v>21</v>
      </c>
      <c r="E204">
        <f t="shared" si="12"/>
        <v>0</v>
      </c>
      <c r="F204">
        <f t="shared" si="13"/>
        <v>3</v>
      </c>
      <c r="G204">
        <f t="shared" si="14"/>
        <v>0</v>
      </c>
      <c r="H204">
        <f t="shared" si="15"/>
        <v>1</v>
      </c>
    </row>
    <row r="205" spans="1:8" x14ac:dyDescent="0.3">
      <c r="A205" t="s">
        <v>580</v>
      </c>
      <c r="B205" t="s">
        <v>21</v>
      </c>
      <c r="C205" t="s">
        <v>21</v>
      </c>
      <c r="D205" t="s">
        <v>21</v>
      </c>
      <c r="E205">
        <f t="shared" si="12"/>
        <v>0</v>
      </c>
      <c r="F205">
        <f t="shared" si="13"/>
        <v>3</v>
      </c>
      <c r="G205">
        <f t="shared" si="14"/>
        <v>0</v>
      </c>
      <c r="H205">
        <f t="shared" si="15"/>
        <v>1</v>
      </c>
    </row>
    <row r="206" spans="1:8" hidden="1" x14ac:dyDescent="0.3">
      <c r="E206">
        <f>SUM(E2:E205)/204*3</f>
        <v>2.7647058823529411</v>
      </c>
      <c r="F206">
        <f>SUM(F2:F205)/204*3</f>
        <v>6.0588235294117645</v>
      </c>
      <c r="G206">
        <f t="shared" ref="F206:G206" si="16">SUM(G2:G205)/204*3</f>
        <v>0.1764705882352941</v>
      </c>
    </row>
    <row r="207" spans="1:8" hidden="1" x14ac:dyDescent="0.3">
      <c r="F207" t="s">
        <v>1390</v>
      </c>
    </row>
    <row r="208" spans="1:8" hidden="1" x14ac:dyDescent="0.3"/>
    <row r="209" spans="5:8" hidden="1" x14ac:dyDescent="0.3"/>
    <row r="210" spans="5:8" hidden="1" x14ac:dyDescent="0.3">
      <c r="E210">
        <f>E206^2 + F206^2 + G206^2</f>
        <v>44.384083044982695</v>
      </c>
      <c r="H210">
        <f>AVERAGE(H2:H205)</f>
        <v>0.92810457516339906</v>
      </c>
    </row>
  </sheetData>
  <autoFilter ref="H1:H210" xr:uid="{E7D4DEB9-81B8-4D8D-BAB2-B5EE261D2D2B}">
    <filterColumn colId="0">
      <filters>
        <filter val="1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2EF82-95B1-400E-B149-E48C45ED5440}">
  <dimension ref="A1:AN212"/>
  <sheetViews>
    <sheetView tabSelected="1" topLeftCell="AF180" zoomScaleNormal="100" workbookViewId="0">
      <selection activeCell="AN2" sqref="AN2:AN205"/>
    </sheetView>
  </sheetViews>
  <sheetFormatPr defaultRowHeight="14.4" x14ac:dyDescent="0.3"/>
  <cols>
    <col min="1" max="1" width="24.44140625" customWidth="1"/>
    <col min="2" max="2" width="32.109375" customWidth="1"/>
    <col min="3" max="5" width="0" hidden="1" customWidth="1"/>
    <col min="6" max="7" width="8.88671875" customWidth="1"/>
    <col min="8" max="8" width="0.109375" customWidth="1"/>
    <col min="9" max="13" width="8.88671875" customWidth="1"/>
  </cols>
  <sheetData>
    <row r="1" spans="1:40" x14ac:dyDescent="0.3">
      <c r="A1" s="1" t="s">
        <v>0</v>
      </c>
      <c r="B1" s="1" t="s">
        <v>1</v>
      </c>
      <c r="C1" s="1" t="s">
        <v>13</v>
      </c>
      <c r="D1" s="1" t="s">
        <v>14</v>
      </c>
      <c r="E1" s="1" t="s">
        <v>13</v>
      </c>
      <c r="F1" s="1" t="s">
        <v>14</v>
      </c>
      <c r="G1" s="1" t="s">
        <v>13</v>
      </c>
      <c r="H1" s="1" t="s">
        <v>14</v>
      </c>
      <c r="I1" s="2" t="s">
        <v>1385</v>
      </c>
      <c r="N1" s="1" t="s">
        <v>7</v>
      </c>
      <c r="O1" s="1"/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7</v>
      </c>
      <c r="V1" s="1" t="s">
        <v>8</v>
      </c>
      <c r="W1" s="1" t="s">
        <v>9</v>
      </c>
      <c r="X1" s="1" t="s">
        <v>10</v>
      </c>
      <c r="Y1" s="1" t="s">
        <v>11</v>
      </c>
      <c r="Z1" s="1" t="s">
        <v>12</v>
      </c>
      <c r="AA1" s="1" t="s">
        <v>7</v>
      </c>
      <c r="AB1" s="1" t="s">
        <v>8</v>
      </c>
      <c r="AC1" s="1" t="s">
        <v>9</v>
      </c>
      <c r="AD1" s="1" t="s">
        <v>10</v>
      </c>
      <c r="AE1" s="1" t="s">
        <v>11</v>
      </c>
      <c r="AF1" s="1" t="s">
        <v>12</v>
      </c>
    </row>
    <row r="2" spans="1:40" x14ac:dyDescent="0.3">
      <c r="A2" t="s">
        <v>16</v>
      </c>
      <c r="B2" t="s">
        <v>17</v>
      </c>
      <c r="C2">
        <v>80</v>
      </c>
      <c r="D2" t="s">
        <v>22</v>
      </c>
      <c r="E2">
        <v>77</v>
      </c>
      <c r="F2" t="s">
        <v>22</v>
      </c>
      <c r="G2">
        <v>72</v>
      </c>
      <c r="H2" t="s">
        <v>28</v>
      </c>
      <c r="I2">
        <f>SUM(C2,E2,G2)/3</f>
        <v>76.333333333333329</v>
      </c>
      <c r="K2">
        <f>(C2-AN2)^2</f>
        <v>9.3364197530864299</v>
      </c>
      <c r="L2">
        <f>(E2-AN2)^2</f>
        <v>3.0864197530865952E-3</v>
      </c>
      <c r="M2">
        <f>(G2-AN2)^2</f>
        <v>24.447530864197514</v>
      </c>
      <c r="N2">
        <v>85</v>
      </c>
      <c r="P2">
        <v>90</v>
      </c>
      <c r="Q2">
        <v>75</v>
      </c>
      <c r="R2">
        <v>65</v>
      </c>
      <c r="S2">
        <v>80</v>
      </c>
      <c r="T2">
        <v>90</v>
      </c>
      <c r="U2">
        <v>85</v>
      </c>
      <c r="V2">
        <v>90</v>
      </c>
      <c r="W2">
        <v>75</v>
      </c>
      <c r="X2">
        <v>65</v>
      </c>
      <c r="Y2">
        <v>70</v>
      </c>
      <c r="Z2">
        <v>80</v>
      </c>
      <c r="AA2">
        <v>75</v>
      </c>
      <c r="AB2">
        <v>75</v>
      </c>
      <c r="AC2">
        <v>75</v>
      </c>
      <c r="AD2">
        <v>60</v>
      </c>
      <c r="AE2">
        <v>75</v>
      </c>
      <c r="AF2">
        <v>75</v>
      </c>
      <c r="AG2">
        <f>AVERAGE(N2,U2,AA2)</f>
        <v>81.666666666666671</v>
      </c>
      <c r="AH2">
        <f>AVERAGE(P2,V2,AB2)</f>
        <v>85</v>
      </c>
      <c r="AI2">
        <f>AVERAGE(Q2,W2,AC2)</f>
        <v>75</v>
      </c>
      <c r="AJ2">
        <f>AVERAGE(R2,X2,AD2)</f>
        <v>63.333333333333336</v>
      </c>
      <c r="AK2">
        <f>AVERAGE(S2,Y2,AE2)</f>
        <v>75</v>
      </c>
      <c r="AL2">
        <f>AVERAGE(T2,Z2,AF2)</f>
        <v>81.666666666666671</v>
      </c>
      <c r="AM2">
        <f>SUM(AG2,AI2,AK2)/3</f>
        <v>77.222222222222229</v>
      </c>
      <c r="AN2">
        <f>AVERAGE(AG2:AL2)</f>
        <v>76.944444444444443</v>
      </c>
    </row>
    <row r="3" spans="1:40" x14ac:dyDescent="0.3">
      <c r="A3" t="s">
        <v>16</v>
      </c>
      <c r="B3" t="s">
        <v>17</v>
      </c>
      <c r="C3">
        <v>75</v>
      </c>
      <c r="D3" t="s">
        <v>22</v>
      </c>
      <c r="E3">
        <v>50</v>
      </c>
      <c r="F3" t="s">
        <v>71</v>
      </c>
      <c r="G3">
        <v>65</v>
      </c>
      <c r="H3" t="s">
        <v>28</v>
      </c>
      <c r="I3">
        <f t="shared" ref="I3:I66" si="0">SUM(C3,E3,G3)/3</f>
        <v>63.333333333333336</v>
      </c>
      <c r="K3">
        <f t="shared" ref="K3:K66" si="1">(C3-AN3)^2</f>
        <v>129.70679012345673</v>
      </c>
      <c r="L3">
        <f t="shared" ref="L3:L66" si="2">(E3-AN3)^2</f>
        <v>185.26234567901244</v>
      </c>
      <c r="M3">
        <f t="shared" ref="M3:M66" si="3">(G3-AN3)^2</f>
        <v>1.9290123456790036</v>
      </c>
      <c r="N3">
        <v>75</v>
      </c>
      <c r="P3">
        <v>75</v>
      </c>
      <c r="Q3">
        <v>75</v>
      </c>
      <c r="R3">
        <v>75</v>
      </c>
      <c r="S3">
        <v>75</v>
      </c>
      <c r="T3">
        <v>75</v>
      </c>
      <c r="U3">
        <v>30</v>
      </c>
      <c r="V3">
        <v>45</v>
      </c>
      <c r="W3">
        <v>60</v>
      </c>
      <c r="X3">
        <v>20</v>
      </c>
      <c r="Y3">
        <v>70</v>
      </c>
      <c r="Z3">
        <v>80</v>
      </c>
      <c r="AA3">
        <v>65</v>
      </c>
      <c r="AB3">
        <v>70</v>
      </c>
      <c r="AC3">
        <v>80</v>
      </c>
      <c r="AD3">
        <v>40</v>
      </c>
      <c r="AE3">
        <v>75</v>
      </c>
      <c r="AF3">
        <v>60</v>
      </c>
      <c r="AG3">
        <f t="shared" ref="AG3:AG66" si="4">AVERAGE(N3,U3,AA3)</f>
        <v>56.666666666666664</v>
      </c>
      <c r="AH3">
        <f t="shared" ref="AH3:AH66" si="5">AVERAGE(P3,V3,AB3)</f>
        <v>63.333333333333336</v>
      </c>
      <c r="AI3">
        <f t="shared" ref="AI3:AI66" si="6">AVERAGE(Q3,W3,AC3)</f>
        <v>71.666666666666671</v>
      </c>
      <c r="AJ3">
        <f t="shared" ref="AJ3:AJ66" si="7">AVERAGE(R3,X3,AD3)</f>
        <v>45</v>
      </c>
      <c r="AK3">
        <f t="shared" ref="AK3:AK66" si="8">AVERAGE(S3,Y3,AE3)</f>
        <v>73.333333333333329</v>
      </c>
      <c r="AL3">
        <f t="shared" ref="AL3:AL66" si="9">AVERAGE(T3,Z3,AF3)</f>
        <v>71.666666666666671</v>
      </c>
      <c r="AM3">
        <f t="shared" ref="AM3:AM66" si="10">SUM(AG3,AI3,AK3)/3</f>
        <v>67.222222222222229</v>
      </c>
      <c r="AN3">
        <f t="shared" ref="AN3:AN66" si="11">AVERAGE(AG3:AL3)</f>
        <v>63.611111111111114</v>
      </c>
    </row>
    <row r="4" spans="1:40" x14ac:dyDescent="0.3">
      <c r="A4" t="s">
        <v>16</v>
      </c>
      <c r="B4" t="s">
        <v>17</v>
      </c>
      <c r="C4">
        <v>71</v>
      </c>
      <c r="D4" t="s">
        <v>28</v>
      </c>
      <c r="E4">
        <v>65</v>
      </c>
      <c r="F4" t="s">
        <v>28</v>
      </c>
      <c r="G4">
        <v>81</v>
      </c>
      <c r="H4" t="s">
        <v>22</v>
      </c>
      <c r="I4">
        <f t="shared" si="0"/>
        <v>72.333333333333329</v>
      </c>
      <c r="K4">
        <f t="shared" si="1"/>
        <v>4.2253086419753147</v>
      </c>
      <c r="L4">
        <f t="shared" si="2"/>
        <v>64.891975308642003</v>
      </c>
      <c r="M4">
        <f t="shared" si="3"/>
        <v>63.114197530864175</v>
      </c>
      <c r="N4">
        <v>75</v>
      </c>
      <c r="P4">
        <v>80</v>
      </c>
      <c r="Q4">
        <v>60</v>
      </c>
      <c r="R4">
        <v>40</v>
      </c>
      <c r="S4">
        <v>90</v>
      </c>
      <c r="T4">
        <v>85</v>
      </c>
      <c r="U4">
        <v>80</v>
      </c>
      <c r="V4">
        <v>75</v>
      </c>
      <c r="W4">
        <v>60</v>
      </c>
      <c r="X4">
        <v>45</v>
      </c>
      <c r="Y4">
        <v>70</v>
      </c>
      <c r="Z4">
        <v>65</v>
      </c>
      <c r="AA4">
        <v>75</v>
      </c>
      <c r="AB4">
        <v>80</v>
      </c>
      <c r="AC4">
        <v>70</v>
      </c>
      <c r="AD4">
        <v>90</v>
      </c>
      <c r="AE4">
        <v>85</v>
      </c>
      <c r="AF4">
        <v>90</v>
      </c>
      <c r="AG4">
        <f t="shared" si="4"/>
        <v>76.666666666666671</v>
      </c>
      <c r="AH4">
        <f t="shared" si="5"/>
        <v>78.333333333333329</v>
      </c>
      <c r="AI4">
        <f t="shared" si="6"/>
        <v>63.333333333333336</v>
      </c>
      <c r="AJ4">
        <f t="shared" si="7"/>
        <v>58.333333333333336</v>
      </c>
      <c r="AK4">
        <f t="shared" si="8"/>
        <v>81.666666666666671</v>
      </c>
      <c r="AL4">
        <f t="shared" si="9"/>
        <v>80</v>
      </c>
      <c r="AM4">
        <f t="shared" si="10"/>
        <v>73.8888888888889</v>
      </c>
      <c r="AN4">
        <f t="shared" si="11"/>
        <v>73.055555555555557</v>
      </c>
    </row>
    <row r="5" spans="1:40" x14ac:dyDescent="0.3">
      <c r="A5" t="s">
        <v>16</v>
      </c>
      <c r="B5" t="s">
        <v>17</v>
      </c>
      <c r="C5">
        <v>75</v>
      </c>
      <c r="D5" t="s">
        <v>22</v>
      </c>
      <c r="E5">
        <v>39</v>
      </c>
      <c r="F5" t="s">
        <v>99</v>
      </c>
      <c r="G5">
        <v>74</v>
      </c>
      <c r="H5" t="s">
        <v>28</v>
      </c>
      <c r="I5">
        <f t="shared" si="0"/>
        <v>62.666666666666664</v>
      </c>
      <c r="K5">
        <f t="shared" si="1"/>
        <v>149.38271604938288</v>
      </c>
      <c r="L5">
        <f t="shared" si="2"/>
        <v>565.38271604938245</v>
      </c>
      <c r="M5">
        <f t="shared" si="3"/>
        <v>125.93827160493841</v>
      </c>
      <c r="N5">
        <v>75</v>
      </c>
      <c r="P5">
        <v>75</v>
      </c>
      <c r="Q5">
        <v>75</v>
      </c>
      <c r="R5">
        <v>75</v>
      </c>
      <c r="S5">
        <v>75</v>
      </c>
      <c r="T5">
        <v>75</v>
      </c>
      <c r="U5">
        <v>35</v>
      </c>
      <c r="V5">
        <v>60</v>
      </c>
      <c r="W5">
        <v>40</v>
      </c>
      <c r="X5">
        <v>20</v>
      </c>
      <c r="Y5">
        <v>70</v>
      </c>
      <c r="Z5">
        <v>10</v>
      </c>
      <c r="AA5">
        <v>85</v>
      </c>
      <c r="AB5">
        <v>70</v>
      </c>
      <c r="AC5">
        <v>60</v>
      </c>
      <c r="AD5">
        <v>65</v>
      </c>
      <c r="AE5">
        <v>75</v>
      </c>
      <c r="AF5">
        <v>90</v>
      </c>
      <c r="AG5">
        <f t="shared" si="4"/>
        <v>65</v>
      </c>
      <c r="AH5">
        <f t="shared" si="5"/>
        <v>68.333333333333329</v>
      </c>
      <c r="AI5">
        <f t="shared" si="6"/>
        <v>58.333333333333336</v>
      </c>
      <c r="AJ5">
        <f t="shared" si="7"/>
        <v>53.333333333333336</v>
      </c>
      <c r="AK5">
        <f t="shared" si="8"/>
        <v>73.333333333333329</v>
      </c>
      <c r="AL5">
        <f t="shared" si="9"/>
        <v>58.333333333333336</v>
      </c>
      <c r="AM5">
        <f t="shared" si="10"/>
        <v>65.555555555555557</v>
      </c>
      <c r="AN5">
        <f t="shared" si="11"/>
        <v>62.777777777777771</v>
      </c>
    </row>
    <row r="6" spans="1:40" x14ac:dyDescent="0.3">
      <c r="A6" t="s">
        <v>32</v>
      </c>
      <c r="B6" t="s">
        <v>33</v>
      </c>
      <c r="C6">
        <v>73</v>
      </c>
      <c r="D6" t="s">
        <v>28</v>
      </c>
      <c r="E6">
        <v>76</v>
      </c>
      <c r="F6" t="s">
        <v>22</v>
      </c>
      <c r="G6">
        <v>80</v>
      </c>
      <c r="H6" t="s">
        <v>22</v>
      </c>
      <c r="I6">
        <f t="shared" si="0"/>
        <v>76.333333333333329</v>
      </c>
      <c r="K6">
        <f t="shared" si="1"/>
        <v>13.444444444444478</v>
      </c>
      <c r="L6">
        <f t="shared" si="2"/>
        <v>0.44444444444445075</v>
      </c>
      <c r="M6">
        <f t="shared" si="3"/>
        <v>11.111111111111079</v>
      </c>
      <c r="N6">
        <v>85</v>
      </c>
      <c r="P6">
        <v>70</v>
      </c>
      <c r="Q6">
        <v>65</v>
      </c>
      <c r="R6">
        <v>80</v>
      </c>
      <c r="S6">
        <v>80</v>
      </c>
      <c r="T6">
        <v>60</v>
      </c>
      <c r="U6">
        <v>85</v>
      </c>
      <c r="V6">
        <v>90</v>
      </c>
      <c r="W6">
        <v>75</v>
      </c>
      <c r="X6">
        <v>60</v>
      </c>
      <c r="Y6">
        <v>80</v>
      </c>
      <c r="Z6">
        <v>70</v>
      </c>
      <c r="AA6">
        <v>85</v>
      </c>
      <c r="AB6">
        <v>75</v>
      </c>
      <c r="AC6">
        <v>80</v>
      </c>
      <c r="AD6">
        <v>90</v>
      </c>
      <c r="AE6">
        <v>80</v>
      </c>
      <c r="AF6">
        <v>70</v>
      </c>
      <c r="AG6">
        <f t="shared" si="4"/>
        <v>85</v>
      </c>
      <c r="AH6">
        <f t="shared" si="5"/>
        <v>78.333333333333329</v>
      </c>
      <c r="AI6">
        <f t="shared" si="6"/>
        <v>73.333333333333329</v>
      </c>
      <c r="AJ6">
        <f t="shared" si="7"/>
        <v>76.666666666666671</v>
      </c>
      <c r="AK6">
        <f t="shared" si="8"/>
        <v>80</v>
      </c>
      <c r="AL6">
        <f t="shared" si="9"/>
        <v>66.666666666666671</v>
      </c>
      <c r="AM6">
        <f t="shared" si="10"/>
        <v>79.444444444444443</v>
      </c>
      <c r="AN6">
        <f t="shared" si="11"/>
        <v>76.666666666666671</v>
      </c>
    </row>
    <row r="7" spans="1:40" x14ac:dyDescent="0.3">
      <c r="A7" t="s">
        <v>32</v>
      </c>
      <c r="B7" t="s">
        <v>33</v>
      </c>
      <c r="C7">
        <v>84</v>
      </c>
      <c r="D7" t="s">
        <v>22</v>
      </c>
      <c r="E7">
        <v>76</v>
      </c>
      <c r="F7" t="s">
        <v>22</v>
      </c>
      <c r="G7">
        <v>77</v>
      </c>
      <c r="H7" t="s">
        <v>22</v>
      </c>
      <c r="I7">
        <f t="shared" si="0"/>
        <v>79</v>
      </c>
      <c r="K7">
        <f t="shared" si="1"/>
        <v>20.753086419752972</v>
      </c>
      <c r="L7">
        <f t="shared" si="2"/>
        <v>11.864197530864285</v>
      </c>
      <c r="M7">
        <f t="shared" si="3"/>
        <v>5.9753086419753707</v>
      </c>
      <c r="N7">
        <v>90</v>
      </c>
      <c r="P7">
        <v>85</v>
      </c>
      <c r="Q7">
        <v>75</v>
      </c>
      <c r="R7">
        <v>95</v>
      </c>
      <c r="S7">
        <v>80</v>
      </c>
      <c r="T7">
        <v>80</v>
      </c>
      <c r="U7">
        <v>85</v>
      </c>
      <c r="V7">
        <v>90</v>
      </c>
      <c r="W7">
        <v>75</v>
      </c>
      <c r="X7">
        <v>60</v>
      </c>
      <c r="Y7">
        <v>80</v>
      </c>
      <c r="Z7">
        <v>70</v>
      </c>
      <c r="AA7">
        <v>85</v>
      </c>
      <c r="AB7">
        <v>80</v>
      </c>
      <c r="AC7">
        <v>75</v>
      </c>
      <c r="AD7">
        <v>90</v>
      </c>
      <c r="AE7">
        <v>70</v>
      </c>
      <c r="AF7">
        <v>65</v>
      </c>
      <c r="AG7">
        <f t="shared" si="4"/>
        <v>86.666666666666671</v>
      </c>
      <c r="AH7">
        <f t="shared" si="5"/>
        <v>85</v>
      </c>
      <c r="AI7">
        <f t="shared" si="6"/>
        <v>75</v>
      </c>
      <c r="AJ7">
        <f t="shared" si="7"/>
        <v>81.666666666666671</v>
      </c>
      <c r="AK7">
        <f t="shared" si="8"/>
        <v>76.666666666666671</v>
      </c>
      <c r="AL7">
        <f t="shared" si="9"/>
        <v>71.666666666666671</v>
      </c>
      <c r="AM7">
        <f t="shared" si="10"/>
        <v>79.444444444444457</v>
      </c>
      <c r="AN7">
        <f t="shared" si="11"/>
        <v>79.444444444444457</v>
      </c>
    </row>
    <row r="8" spans="1:40" x14ac:dyDescent="0.3">
      <c r="A8" t="s">
        <v>32</v>
      </c>
      <c r="B8" t="s">
        <v>33</v>
      </c>
      <c r="C8">
        <v>75</v>
      </c>
      <c r="D8" t="s">
        <v>22</v>
      </c>
      <c r="E8">
        <v>65</v>
      </c>
      <c r="F8" t="s">
        <v>28</v>
      </c>
      <c r="G8">
        <v>82</v>
      </c>
      <c r="H8" t="s">
        <v>22</v>
      </c>
      <c r="I8">
        <f t="shared" si="0"/>
        <v>74</v>
      </c>
      <c r="K8">
        <f t="shared" si="1"/>
        <v>0.69444444444443654</v>
      </c>
      <c r="L8">
        <f t="shared" si="2"/>
        <v>84.027777777777871</v>
      </c>
      <c r="M8">
        <f t="shared" si="3"/>
        <v>61.361111111111036</v>
      </c>
      <c r="N8">
        <v>75</v>
      </c>
      <c r="P8">
        <v>75</v>
      </c>
      <c r="Q8">
        <v>75</v>
      </c>
      <c r="R8">
        <v>75</v>
      </c>
      <c r="S8">
        <v>75</v>
      </c>
      <c r="T8">
        <v>75</v>
      </c>
      <c r="U8">
        <v>65</v>
      </c>
      <c r="V8">
        <v>70</v>
      </c>
      <c r="W8">
        <v>80</v>
      </c>
      <c r="X8">
        <v>40</v>
      </c>
      <c r="Y8">
        <v>60</v>
      </c>
      <c r="Z8">
        <v>75</v>
      </c>
      <c r="AA8">
        <v>85</v>
      </c>
      <c r="AB8">
        <v>80</v>
      </c>
      <c r="AC8">
        <v>75</v>
      </c>
      <c r="AD8">
        <v>90</v>
      </c>
      <c r="AE8">
        <v>70</v>
      </c>
      <c r="AF8">
        <v>95</v>
      </c>
      <c r="AG8">
        <f t="shared" si="4"/>
        <v>75</v>
      </c>
      <c r="AH8">
        <f t="shared" si="5"/>
        <v>75</v>
      </c>
      <c r="AI8">
        <f t="shared" si="6"/>
        <v>76.666666666666671</v>
      </c>
      <c r="AJ8">
        <f t="shared" si="7"/>
        <v>68.333333333333329</v>
      </c>
      <c r="AK8">
        <f t="shared" si="8"/>
        <v>68.333333333333329</v>
      </c>
      <c r="AL8">
        <f t="shared" si="9"/>
        <v>81.666666666666671</v>
      </c>
      <c r="AM8">
        <f t="shared" si="10"/>
        <v>73.333333333333329</v>
      </c>
      <c r="AN8">
        <f t="shared" si="11"/>
        <v>74.166666666666671</v>
      </c>
    </row>
    <row r="9" spans="1:40" x14ac:dyDescent="0.3">
      <c r="A9" t="s">
        <v>32</v>
      </c>
      <c r="B9" t="s">
        <v>33</v>
      </c>
      <c r="C9">
        <v>61</v>
      </c>
      <c r="D9" t="s">
        <v>28</v>
      </c>
      <c r="E9">
        <v>79</v>
      </c>
      <c r="F9" t="s">
        <v>22</v>
      </c>
      <c r="G9">
        <v>66</v>
      </c>
      <c r="H9" t="s">
        <v>28</v>
      </c>
      <c r="I9">
        <f t="shared" si="0"/>
        <v>68.666666666666671</v>
      </c>
      <c r="K9">
        <f t="shared" si="1"/>
        <v>66.694444444444528</v>
      </c>
      <c r="L9">
        <f t="shared" si="2"/>
        <v>96.694444444444358</v>
      </c>
      <c r="M9">
        <f t="shared" si="3"/>
        <v>10.027777777777807</v>
      </c>
      <c r="N9">
        <v>65</v>
      </c>
      <c r="P9">
        <v>70</v>
      </c>
      <c r="Q9">
        <v>80</v>
      </c>
      <c r="R9">
        <v>30</v>
      </c>
      <c r="S9">
        <v>45</v>
      </c>
      <c r="T9">
        <v>80</v>
      </c>
      <c r="U9">
        <v>85</v>
      </c>
      <c r="V9">
        <v>75</v>
      </c>
      <c r="W9">
        <v>65</v>
      </c>
      <c r="X9">
        <v>90</v>
      </c>
      <c r="Y9">
        <v>90</v>
      </c>
      <c r="Z9">
        <v>70</v>
      </c>
      <c r="AA9">
        <v>75</v>
      </c>
      <c r="AB9">
        <v>80</v>
      </c>
      <c r="AC9">
        <v>65</v>
      </c>
      <c r="AD9">
        <v>40</v>
      </c>
      <c r="AE9">
        <v>80</v>
      </c>
      <c r="AF9">
        <v>60</v>
      </c>
      <c r="AG9">
        <f t="shared" si="4"/>
        <v>75</v>
      </c>
      <c r="AH9">
        <f t="shared" si="5"/>
        <v>75</v>
      </c>
      <c r="AI9">
        <f t="shared" si="6"/>
        <v>70</v>
      </c>
      <c r="AJ9">
        <f t="shared" si="7"/>
        <v>53.333333333333336</v>
      </c>
      <c r="AK9">
        <f t="shared" si="8"/>
        <v>71.666666666666671</v>
      </c>
      <c r="AL9">
        <f t="shared" si="9"/>
        <v>70</v>
      </c>
      <c r="AM9">
        <f t="shared" si="10"/>
        <v>72.222222222222229</v>
      </c>
      <c r="AN9">
        <f t="shared" si="11"/>
        <v>69.166666666666671</v>
      </c>
    </row>
    <row r="10" spans="1:40" x14ac:dyDescent="0.3">
      <c r="A10" t="s">
        <v>46</v>
      </c>
      <c r="B10" t="s">
        <v>47</v>
      </c>
      <c r="C10">
        <v>78</v>
      </c>
      <c r="D10" t="s">
        <v>22</v>
      </c>
      <c r="E10">
        <v>55</v>
      </c>
      <c r="F10" t="s">
        <v>71</v>
      </c>
      <c r="G10">
        <v>62</v>
      </c>
      <c r="H10" t="s">
        <v>28</v>
      </c>
      <c r="I10">
        <f t="shared" si="0"/>
        <v>65</v>
      </c>
      <c r="K10">
        <f t="shared" si="1"/>
        <v>154.86419753086415</v>
      </c>
      <c r="L10">
        <f t="shared" si="2"/>
        <v>111.41975308641979</v>
      </c>
      <c r="M10">
        <f t="shared" si="3"/>
        <v>12.641975308641987</v>
      </c>
      <c r="N10">
        <v>85</v>
      </c>
      <c r="P10">
        <v>80</v>
      </c>
      <c r="Q10">
        <v>75</v>
      </c>
      <c r="R10">
        <v>90</v>
      </c>
      <c r="S10">
        <v>70</v>
      </c>
      <c r="T10">
        <v>70</v>
      </c>
      <c r="U10">
        <v>65</v>
      </c>
      <c r="V10">
        <v>60</v>
      </c>
      <c r="W10">
        <v>70</v>
      </c>
      <c r="X10">
        <v>50</v>
      </c>
      <c r="Y10">
        <v>40</v>
      </c>
      <c r="Z10">
        <v>50</v>
      </c>
      <c r="AA10">
        <v>75</v>
      </c>
      <c r="AB10">
        <v>80</v>
      </c>
      <c r="AC10">
        <v>65</v>
      </c>
      <c r="AD10">
        <v>30</v>
      </c>
      <c r="AE10">
        <v>85</v>
      </c>
      <c r="AF10">
        <v>40</v>
      </c>
      <c r="AG10">
        <f t="shared" si="4"/>
        <v>75</v>
      </c>
      <c r="AH10">
        <f t="shared" si="5"/>
        <v>73.333333333333329</v>
      </c>
      <c r="AI10">
        <f t="shared" si="6"/>
        <v>70</v>
      </c>
      <c r="AJ10">
        <f t="shared" si="7"/>
        <v>56.666666666666664</v>
      </c>
      <c r="AK10">
        <f t="shared" si="8"/>
        <v>65</v>
      </c>
      <c r="AL10">
        <f t="shared" si="9"/>
        <v>53.333333333333336</v>
      </c>
      <c r="AM10">
        <f t="shared" si="10"/>
        <v>70</v>
      </c>
      <c r="AN10">
        <f t="shared" si="11"/>
        <v>65.555555555555557</v>
      </c>
    </row>
    <row r="11" spans="1:40" x14ac:dyDescent="0.3">
      <c r="A11" t="s">
        <v>46</v>
      </c>
      <c r="B11" t="s">
        <v>47</v>
      </c>
      <c r="C11">
        <v>75</v>
      </c>
      <c r="D11" t="s">
        <v>22</v>
      </c>
      <c r="E11">
        <v>44</v>
      </c>
      <c r="F11" t="s">
        <v>71</v>
      </c>
      <c r="G11">
        <v>46</v>
      </c>
      <c r="H11" t="s">
        <v>71</v>
      </c>
      <c r="I11">
        <f t="shared" si="0"/>
        <v>55</v>
      </c>
      <c r="K11">
        <f t="shared" si="1"/>
        <v>388.96604938271599</v>
      </c>
      <c r="L11">
        <f t="shared" si="2"/>
        <v>127.18827160493829</v>
      </c>
      <c r="M11">
        <f t="shared" si="3"/>
        <v>86.077160493827179</v>
      </c>
      <c r="N11">
        <v>75</v>
      </c>
      <c r="P11">
        <v>80</v>
      </c>
      <c r="Q11">
        <v>80</v>
      </c>
      <c r="R11">
        <v>60</v>
      </c>
      <c r="S11">
        <v>90</v>
      </c>
      <c r="T11">
        <v>65</v>
      </c>
      <c r="U11">
        <v>45</v>
      </c>
      <c r="V11">
        <v>60</v>
      </c>
      <c r="W11">
        <v>75</v>
      </c>
      <c r="X11">
        <v>20</v>
      </c>
      <c r="Y11">
        <v>40</v>
      </c>
      <c r="Z11">
        <v>25</v>
      </c>
      <c r="AA11">
        <v>40</v>
      </c>
      <c r="AB11">
        <v>50</v>
      </c>
      <c r="AC11">
        <v>60</v>
      </c>
      <c r="AD11">
        <v>20</v>
      </c>
      <c r="AE11">
        <v>30</v>
      </c>
      <c r="AF11">
        <v>80</v>
      </c>
      <c r="AG11">
        <f t="shared" si="4"/>
        <v>53.333333333333336</v>
      </c>
      <c r="AH11">
        <f t="shared" si="5"/>
        <v>63.333333333333336</v>
      </c>
      <c r="AI11">
        <f t="shared" si="6"/>
        <v>71.666666666666671</v>
      </c>
      <c r="AJ11">
        <f t="shared" si="7"/>
        <v>33.333333333333336</v>
      </c>
      <c r="AK11">
        <f t="shared" si="8"/>
        <v>53.333333333333336</v>
      </c>
      <c r="AL11">
        <f t="shared" si="9"/>
        <v>56.666666666666664</v>
      </c>
      <c r="AM11">
        <f t="shared" si="10"/>
        <v>59.44444444444445</v>
      </c>
      <c r="AN11">
        <f t="shared" si="11"/>
        <v>55.277777777777779</v>
      </c>
    </row>
    <row r="12" spans="1:40" x14ac:dyDescent="0.3">
      <c r="A12" t="s">
        <v>46</v>
      </c>
      <c r="B12" t="s">
        <v>47</v>
      </c>
      <c r="C12">
        <v>79</v>
      </c>
      <c r="D12" t="s">
        <v>22</v>
      </c>
      <c r="E12">
        <v>45</v>
      </c>
      <c r="F12" t="s">
        <v>71</v>
      </c>
      <c r="G12">
        <v>0</v>
      </c>
      <c r="H12" t="s">
        <v>403</v>
      </c>
      <c r="I12">
        <f t="shared" si="0"/>
        <v>41.333333333333336</v>
      </c>
      <c r="K12">
        <f t="shared" si="1"/>
        <v>957.558641975309</v>
      </c>
      <c r="L12">
        <f t="shared" si="2"/>
        <v>9.3364197530863855</v>
      </c>
      <c r="M12">
        <f t="shared" si="3"/>
        <v>2309.3364197530859</v>
      </c>
      <c r="N12">
        <v>75</v>
      </c>
      <c r="P12">
        <v>80</v>
      </c>
      <c r="Q12">
        <v>65</v>
      </c>
      <c r="R12">
        <v>90</v>
      </c>
      <c r="S12">
        <v>80</v>
      </c>
      <c r="T12">
        <v>85</v>
      </c>
      <c r="U12">
        <v>30</v>
      </c>
      <c r="V12">
        <v>50</v>
      </c>
      <c r="W12">
        <v>70</v>
      </c>
      <c r="X12">
        <v>20</v>
      </c>
      <c r="Y12">
        <v>40</v>
      </c>
      <c r="Z12">
        <v>60</v>
      </c>
      <c r="AA12">
        <v>25</v>
      </c>
      <c r="AB12">
        <v>40</v>
      </c>
      <c r="AC12">
        <v>30</v>
      </c>
      <c r="AD12">
        <v>10</v>
      </c>
      <c r="AE12">
        <v>0</v>
      </c>
      <c r="AF12">
        <v>15</v>
      </c>
      <c r="AG12">
        <f t="shared" si="4"/>
        <v>43.333333333333336</v>
      </c>
      <c r="AH12">
        <f t="shared" si="5"/>
        <v>56.666666666666664</v>
      </c>
      <c r="AI12">
        <f t="shared" si="6"/>
        <v>55</v>
      </c>
      <c r="AJ12">
        <f t="shared" si="7"/>
        <v>40</v>
      </c>
      <c r="AK12">
        <f t="shared" si="8"/>
        <v>40</v>
      </c>
      <c r="AL12">
        <f t="shared" si="9"/>
        <v>53.333333333333336</v>
      </c>
      <c r="AM12">
        <f t="shared" si="10"/>
        <v>46.111111111111114</v>
      </c>
      <c r="AN12">
        <f t="shared" si="11"/>
        <v>48.05555555555555</v>
      </c>
    </row>
    <row r="13" spans="1:40" x14ac:dyDescent="0.3">
      <c r="A13" t="s">
        <v>46</v>
      </c>
      <c r="B13" t="s">
        <v>47</v>
      </c>
      <c r="C13">
        <v>85</v>
      </c>
      <c r="D13" t="s">
        <v>22</v>
      </c>
      <c r="E13">
        <v>75</v>
      </c>
      <c r="F13" t="s">
        <v>22</v>
      </c>
      <c r="G13">
        <v>40</v>
      </c>
      <c r="H13" t="s">
        <v>71</v>
      </c>
      <c r="I13">
        <f t="shared" si="0"/>
        <v>66.666666666666671</v>
      </c>
      <c r="K13">
        <f t="shared" si="1"/>
        <v>326.00308641975312</v>
      </c>
      <c r="L13">
        <f t="shared" si="2"/>
        <v>64.891975308642003</v>
      </c>
      <c r="M13">
        <f t="shared" si="3"/>
        <v>726.003086419753</v>
      </c>
      <c r="N13">
        <v>95</v>
      </c>
      <c r="P13">
        <v>80</v>
      </c>
      <c r="Q13">
        <v>75</v>
      </c>
      <c r="R13">
        <v>90</v>
      </c>
      <c r="S13">
        <v>85</v>
      </c>
      <c r="T13">
        <v>90</v>
      </c>
      <c r="U13">
        <v>75</v>
      </c>
      <c r="V13">
        <v>80</v>
      </c>
      <c r="W13">
        <v>80</v>
      </c>
      <c r="X13">
        <v>60</v>
      </c>
      <c r="Y13">
        <v>90</v>
      </c>
      <c r="Z13">
        <v>65</v>
      </c>
      <c r="AA13">
        <v>35</v>
      </c>
      <c r="AB13">
        <v>45</v>
      </c>
      <c r="AC13">
        <v>60</v>
      </c>
      <c r="AD13">
        <v>20</v>
      </c>
      <c r="AE13">
        <v>70</v>
      </c>
      <c r="AF13">
        <v>10</v>
      </c>
      <c r="AG13">
        <f t="shared" si="4"/>
        <v>68.333333333333329</v>
      </c>
      <c r="AH13">
        <f t="shared" si="5"/>
        <v>68.333333333333329</v>
      </c>
      <c r="AI13">
        <f t="shared" si="6"/>
        <v>71.666666666666671</v>
      </c>
      <c r="AJ13">
        <f t="shared" si="7"/>
        <v>56.666666666666664</v>
      </c>
      <c r="AK13">
        <f t="shared" si="8"/>
        <v>81.666666666666671</v>
      </c>
      <c r="AL13">
        <f t="shared" si="9"/>
        <v>55</v>
      </c>
      <c r="AM13">
        <f t="shared" si="10"/>
        <v>73.8888888888889</v>
      </c>
      <c r="AN13">
        <f t="shared" si="11"/>
        <v>66.944444444444443</v>
      </c>
    </row>
    <row r="14" spans="1:40" x14ac:dyDescent="0.3">
      <c r="A14" t="s">
        <v>59</v>
      </c>
      <c r="B14" t="s">
        <v>60</v>
      </c>
      <c r="C14">
        <v>72</v>
      </c>
      <c r="D14" t="s">
        <v>28</v>
      </c>
      <c r="E14">
        <v>44</v>
      </c>
      <c r="F14" t="s">
        <v>71</v>
      </c>
      <c r="G14">
        <v>64</v>
      </c>
      <c r="H14" t="s">
        <v>28</v>
      </c>
      <c r="I14">
        <f t="shared" si="0"/>
        <v>60</v>
      </c>
      <c r="K14">
        <f t="shared" si="1"/>
        <v>137.41049382716065</v>
      </c>
      <c r="L14">
        <f t="shared" si="2"/>
        <v>264.96604938271582</v>
      </c>
      <c r="M14">
        <f t="shared" si="3"/>
        <v>13.854938271604984</v>
      </c>
      <c r="N14">
        <v>85</v>
      </c>
      <c r="P14">
        <v>75</v>
      </c>
      <c r="Q14">
        <v>80</v>
      </c>
      <c r="R14">
        <v>60</v>
      </c>
      <c r="S14">
        <v>65</v>
      </c>
      <c r="T14">
        <v>70</v>
      </c>
      <c r="U14">
        <v>30</v>
      </c>
      <c r="V14">
        <v>60</v>
      </c>
      <c r="W14">
        <v>45</v>
      </c>
      <c r="X14">
        <v>20</v>
      </c>
      <c r="Y14">
        <v>30</v>
      </c>
      <c r="Z14">
        <v>80</v>
      </c>
      <c r="AA14">
        <v>65</v>
      </c>
      <c r="AB14">
        <v>70</v>
      </c>
      <c r="AC14">
        <v>80</v>
      </c>
      <c r="AD14">
        <v>40</v>
      </c>
      <c r="AE14">
        <v>70</v>
      </c>
      <c r="AF14">
        <v>60</v>
      </c>
      <c r="AG14">
        <f t="shared" si="4"/>
        <v>60</v>
      </c>
      <c r="AH14">
        <f t="shared" si="5"/>
        <v>68.333333333333329</v>
      </c>
      <c r="AI14">
        <f t="shared" si="6"/>
        <v>68.333333333333329</v>
      </c>
      <c r="AJ14">
        <f t="shared" si="7"/>
        <v>40</v>
      </c>
      <c r="AK14">
        <f t="shared" si="8"/>
        <v>55</v>
      </c>
      <c r="AL14">
        <f t="shared" si="9"/>
        <v>70</v>
      </c>
      <c r="AM14">
        <f t="shared" si="10"/>
        <v>61.111111111111107</v>
      </c>
      <c r="AN14">
        <f t="shared" si="11"/>
        <v>60.277777777777771</v>
      </c>
    </row>
    <row r="15" spans="1:40" x14ac:dyDescent="0.3">
      <c r="A15" t="s">
        <v>59</v>
      </c>
      <c r="B15" t="s">
        <v>60</v>
      </c>
      <c r="C15">
        <v>75</v>
      </c>
      <c r="D15" t="s">
        <v>22</v>
      </c>
      <c r="E15">
        <v>60</v>
      </c>
      <c r="F15" t="s">
        <v>28</v>
      </c>
      <c r="G15">
        <v>80</v>
      </c>
      <c r="H15" t="s">
        <v>22</v>
      </c>
      <c r="I15">
        <f t="shared" si="0"/>
        <v>71.666666666666671</v>
      </c>
      <c r="K15">
        <f t="shared" si="1"/>
        <v>9.3364197530864299</v>
      </c>
      <c r="L15">
        <f t="shared" si="2"/>
        <v>142.66975308641972</v>
      </c>
      <c r="M15">
        <f t="shared" si="3"/>
        <v>64.891975308642003</v>
      </c>
      <c r="N15">
        <v>75</v>
      </c>
      <c r="P15">
        <v>75</v>
      </c>
      <c r="Q15">
        <v>75</v>
      </c>
      <c r="R15">
        <v>75</v>
      </c>
      <c r="S15">
        <v>75</v>
      </c>
      <c r="T15">
        <v>75</v>
      </c>
      <c r="U15">
        <v>70</v>
      </c>
      <c r="V15">
        <v>80</v>
      </c>
      <c r="W15">
        <v>65</v>
      </c>
      <c r="X15">
        <v>40</v>
      </c>
      <c r="Y15">
        <v>60</v>
      </c>
      <c r="Z15">
        <v>50</v>
      </c>
      <c r="AA15">
        <v>85</v>
      </c>
      <c r="AB15">
        <v>75</v>
      </c>
      <c r="AC15">
        <v>70</v>
      </c>
      <c r="AD15">
        <v>80</v>
      </c>
      <c r="AE15">
        <v>90</v>
      </c>
      <c r="AF15">
        <v>80</v>
      </c>
      <c r="AG15">
        <f t="shared" si="4"/>
        <v>76.666666666666671</v>
      </c>
      <c r="AH15">
        <f t="shared" si="5"/>
        <v>76.666666666666671</v>
      </c>
      <c r="AI15">
        <f t="shared" si="6"/>
        <v>70</v>
      </c>
      <c r="AJ15">
        <f t="shared" si="7"/>
        <v>65</v>
      </c>
      <c r="AK15">
        <f t="shared" si="8"/>
        <v>75</v>
      </c>
      <c r="AL15">
        <f t="shared" si="9"/>
        <v>68.333333333333329</v>
      </c>
      <c r="AM15">
        <f t="shared" si="10"/>
        <v>73.8888888888889</v>
      </c>
      <c r="AN15">
        <f t="shared" si="11"/>
        <v>71.944444444444443</v>
      </c>
    </row>
    <row r="16" spans="1:40" x14ac:dyDescent="0.3">
      <c r="A16" t="s">
        <v>59</v>
      </c>
      <c r="B16" t="s">
        <v>60</v>
      </c>
      <c r="C16">
        <v>70</v>
      </c>
      <c r="D16" t="s">
        <v>28</v>
      </c>
      <c r="E16">
        <v>65</v>
      </c>
      <c r="F16" t="s">
        <v>28</v>
      </c>
      <c r="G16">
        <v>76</v>
      </c>
      <c r="H16" t="s">
        <v>22</v>
      </c>
      <c r="I16">
        <f t="shared" si="0"/>
        <v>70.333333333333329</v>
      </c>
      <c r="K16">
        <f t="shared" si="1"/>
        <v>0.69444444444443654</v>
      </c>
      <c r="L16">
        <f t="shared" si="2"/>
        <v>34.027777777777722</v>
      </c>
      <c r="M16">
        <f t="shared" si="3"/>
        <v>26.694444444444493</v>
      </c>
      <c r="N16">
        <v>75</v>
      </c>
      <c r="P16">
        <v>80</v>
      </c>
      <c r="Q16">
        <v>65</v>
      </c>
      <c r="R16">
        <v>40</v>
      </c>
      <c r="S16">
        <v>90</v>
      </c>
      <c r="T16">
        <v>70</v>
      </c>
      <c r="U16">
        <v>75</v>
      </c>
      <c r="V16">
        <v>80</v>
      </c>
      <c r="W16">
        <v>60</v>
      </c>
      <c r="X16">
        <v>30</v>
      </c>
      <c r="Y16">
        <v>90</v>
      </c>
      <c r="Z16">
        <v>60</v>
      </c>
      <c r="AA16">
        <v>75</v>
      </c>
      <c r="AB16">
        <v>80</v>
      </c>
      <c r="AC16">
        <v>70</v>
      </c>
      <c r="AD16">
        <v>60</v>
      </c>
      <c r="AE16">
        <v>85</v>
      </c>
      <c r="AF16">
        <v>90</v>
      </c>
      <c r="AG16">
        <f t="shared" si="4"/>
        <v>75</v>
      </c>
      <c r="AH16">
        <f t="shared" si="5"/>
        <v>80</v>
      </c>
      <c r="AI16">
        <f t="shared" si="6"/>
        <v>65</v>
      </c>
      <c r="AJ16">
        <f t="shared" si="7"/>
        <v>43.333333333333336</v>
      </c>
      <c r="AK16">
        <f t="shared" si="8"/>
        <v>88.333333333333329</v>
      </c>
      <c r="AL16">
        <f t="shared" si="9"/>
        <v>73.333333333333329</v>
      </c>
      <c r="AM16">
        <f t="shared" si="10"/>
        <v>76.1111111111111</v>
      </c>
      <c r="AN16">
        <f t="shared" si="11"/>
        <v>70.833333333333329</v>
      </c>
    </row>
    <row r="17" spans="1:40" x14ac:dyDescent="0.3">
      <c r="A17" t="s">
        <v>59</v>
      </c>
      <c r="B17" t="s">
        <v>60</v>
      </c>
      <c r="C17">
        <v>45</v>
      </c>
      <c r="D17" t="s">
        <v>71</v>
      </c>
      <c r="E17">
        <v>55</v>
      </c>
      <c r="F17" t="s">
        <v>71</v>
      </c>
      <c r="G17">
        <v>56</v>
      </c>
      <c r="H17" t="s">
        <v>71</v>
      </c>
      <c r="I17">
        <f t="shared" si="0"/>
        <v>52</v>
      </c>
      <c r="K17">
        <f t="shared" si="1"/>
        <v>52.160493827160479</v>
      </c>
      <c r="L17">
        <f t="shared" si="2"/>
        <v>7.7160493827160535</v>
      </c>
      <c r="M17">
        <f t="shared" si="3"/>
        <v>14.271604938271611</v>
      </c>
      <c r="N17">
        <v>50</v>
      </c>
      <c r="P17">
        <v>60</v>
      </c>
      <c r="Q17">
        <v>70</v>
      </c>
      <c r="R17">
        <v>20</v>
      </c>
      <c r="S17">
        <v>40</v>
      </c>
      <c r="T17">
        <v>30</v>
      </c>
      <c r="U17">
        <v>50</v>
      </c>
      <c r="V17">
        <v>60</v>
      </c>
      <c r="W17">
        <v>70</v>
      </c>
      <c r="X17">
        <v>30</v>
      </c>
      <c r="Y17">
        <v>80</v>
      </c>
      <c r="Z17">
        <v>40</v>
      </c>
      <c r="AA17">
        <v>65</v>
      </c>
      <c r="AB17">
        <v>75</v>
      </c>
      <c r="AC17">
        <v>80</v>
      </c>
      <c r="AD17">
        <v>30</v>
      </c>
      <c r="AE17">
        <v>50</v>
      </c>
      <c r="AF17">
        <v>40</v>
      </c>
      <c r="AG17">
        <f t="shared" si="4"/>
        <v>55</v>
      </c>
      <c r="AH17">
        <f t="shared" si="5"/>
        <v>65</v>
      </c>
      <c r="AI17">
        <f t="shared" si="6"/>
        <v>73.333333333333329</v>
      </c>
      <c r="AJ17">
        <f t="shared" si="7"/>
        <v>26.666666666666668</v>
      </c>
      <c r="AK17">
        <f t="shared" si="8"/>
        <v>56.666666666666664</v>
      </c>
      <c r="AL17">
        <f t="shared" si="9"/>
        <v>36.666666666666664</v>
      </c>
      <c r="AM17">
        <f t="shared" si="10"/>
        <v>61.666666666666657</v>
      </c>
      <c r="AN17">
        <f t="shared" si="11"/>
        <v>52.222222222222221</v>
      </c>
    </row>
    <row r="18" spans="1:40" x14ac:dyDescent="0.3">
      <c r="A18" t="s">
        <v>72</v>
      </c>
      <c r="B18" t="s">
        <v>73</v>
      </c>
      <c r="C18">
        <v>75</v>
      </c>
      <c r="D18" t="s">
        <v>22</v>
      </c>
      <c r="E18">
        <v>67</v>
      </c>
      <c r="F18" t="s">
        <v>28</v>
      </c>
      <c r="G18">
        <v>72</v>
      </c>
      <c r="H18" t="s">
        <v>28</v>
      </c>
      <c r="I18">
        <f t="shared" si="0"/>
        <v>71.333333333333329</v>
      </c>
      <c r="K18">
        <f t="shared" si="1"/>
        <v>11.111111111111175</v>
      </c>
      <c r="L18">
        <f t="shared" si="2"/>
        <v>21.77777777777769</v>
      </c>
      <c r="M18">
        <f t="shared" si="3"/>
        <v>0.11111111111111743</v>
      </c>
      <c r="N18">
        <v>85</v>
      </c>
      <c r="P18">
        <v>90</v>
      </c>
      <c r="Q18">
        <v>70</v>
      </c>
      <c r="R18">
        <v>60</v>
      </c>
      <c r="S18">
        <v>70</v>
      </c>
      <c r="T18">
        <v>75</v>
      </c>
      <c r="U18">
        <v>75</v>
      </c>
      <c r="V18">
        <v>80</v>
      </c>
      <c r="W18">
        <v>60</v>
      </c>
      <c r="X18">
        <v>40</v>
      </c>
      <c r="Y18">
        <v>65</v>
      </c>
      <c r="Z18">
        <v>85</v>
      </c>
      <c r="AA18">
        <v>75</v>
      </c>
      <c r="AB18">
        <v>75</v>
      </c>
      <c r="AC18">
        <v>75</v>
      </c>
      <c r="AD18">
        <v>60</v>
      </c>
      <c r="AE18">
        <v>75</v>
      </c>
      <c r="AF18">
        <v>75</v>
      </c>
      <c r="AG18">
        <f t="shared" si="4"/>
        <v>78.333333333333329</v>
      </c>
      <c r="AH18">
        <f t="shared" si="5"/>
        <v>81.666666666666671</v>
      </c>
      <c r="AI18">
        <f t="shared" si="6"/>
        <v>68.333333333333329</v>
      </c>
      <c r="AJ18">
        <f t="shared" si="7"/>
        <v>53.333333333333336</v>
      </c>
      <c r="AK18">
        <f t="shared" si="8"/>
        <v>70</v>
      </c>
      <c r="AL18">
        <f t="shared" si="9"/>
        <v>78.333333333333329</v>
      </c>
      <c r="AM18">
        <f t="shared" si="10"/>
        <v>72.222222222222214</v>
      </c>
      <c r="AN18">
        <f t="shared" si="11"/>
        <v>71.666666666666657</v>
      </c>
    </row>
    <row r="19" spans="1:40" x14ac:dyDescent="0.3">
      <c r="A19" t="s">
        <v>72</v>
      </c>
      <c r="B19" t="s">
        <v>73</v>
      </c>
      <c r="C19">
        <v>68</v>
      </c>
      <c r="D19" t="s">
        <v>28</v>
      </c>
      <c r="E19">
        <v>50</v>
      </c>
      <c r="F19" t="s">
        <v>71</v>
      </c>
      <c r="G19">
        <v>51</v>
      </c>
      <c r="H19" t="s">
        <v>71</v>
      </c>
      <c r="I19">
        <f t="shared" si="0"/>
        <v>56.333333333333336</v>
      </c>
      <c r="K19">
        <f t="shared" si="1"/>
        <v>122.22530864197519</v>
      </c>
      <c r="L19">
        <f t="shared" si="2"/>
        <v>48.225308641975388</v>
      </c>
      <c r="M19">
        <f t="shared" si="3"/>
        <v>35.336419753086489</v>
      </c>
      <c r="N19">
        <v>85</v>
      </c>
      <c r="P19">
        <v>70</v>
      </c>
      <c r="Q19">
        <v>60</v>
      </c>
      <c r="R19">
        <v>40</v>
      </c>
      <c r="S19">
        <v>90</v>
      </c>
      <c r="T19">
        <v>65</v>
      </c>
      <c r="U19">
        <v>35</v>
      </c>
      <c r="V19">
        <v>60</v>
      </c>
      <c r="W19">
        <v>70</v>
      </c>
      <c r="X19">
        <v>20</v>
      </c>
      <c r="Y19">
        <v>40</v>
      </c>
      <c r="Z19">
        <v>80</v>
      </c>
      <c r="AA19">
        <v>50</v>
      </c>
      <c r="AB19">
        <v>60</v>
      </c>
      <c r="AC19">
        <v>70</v>
      </c>
      <c r="AD19">
        <v>20</v>
      </c>
      <c r="AE19">
        <v>30</v>
      </c>
      <c r="AF19">
        <v>80</v>
      </c>
      <c r="AG19">
        <f t="shared" si="4"/>
        <v>56.666666666666664</v>
      </c>
      <c r="AH19">
        <f t="shared" si="5"/>
        <v>63.333333333333336</v>
      </c>
      <c r="AI19">
        <f t="shared" si="6"/>
        <v>66.666666666666671</v>
      </c>
      <c r="AJ19">
        <f t="shared" si="7"/>
        <v>26.666666666666668</v>
      </c>
      <c r="AK19">
        <f t="shared" si="8"/>
        <v>53.333333333333336</v>
      </c>
      <c r="AL19">
        <f t="shared" si="9"/>
        <v>75</v>
      </c>
      <c r="AM19">
        <f t="shared" si="10"/>
        <v>58.888888888888893</v>
      </c>
      <c r="AN19">
        <f t="shared" si="11"/>
        <v>56.94444444444445</v>
      </c>
    </row>
    <row r="20" spans="1:40" x14ac:dyDescent="0.3">
      <c r="A20" t="s">
        <v>72</v>
      </c>
      <c r="B20" t="s">
        <v>73</v>
      </c>
      <c r="C20">
        <v>50</v>
      </c>
      <c r="D20" t="s">
        <v>71</v>
      </c>
      <c r="E20">
        <v>33</v>
      </c>
      <c r="F20" t="s">
        <v>99</v>
      </c>
      <c r="G20">
        <v>55</v>
      </c>
      <c r="H20" t="s">
        <v>71</v>
      </c>
      <c r="I20">
        <f t="shared" si="0"/>
        <v>46</v>
      </c>
      <c r="K20">
        <f t="shared" si="1"/>
        <v>13.040123456790147</v>
      </c>
      <c r="L20">
        <f t="shared" si="2"/>
        <v>179.26234567901227</v>
      </c>
      <c r="M20">
        <f t="shared" si="3"/>
        <v>74.151234567901284</v>
      </c>
      <c r="N20">
        <v>60</v>
      </c>
      <c r="P20">
        <v>75</v>
      </c>
      <c r="Q20">
        <v>80</v>
      </c>
      <c r="R20">
        <v>30</v>
      </c>
      <c r="S20">
        <v>40</v>
      </c>
      <c r="T20">
        <v>20</v>
      </c>
      <c r="U20">
        <v>25</v>
      </c>
      <c r="V20">
        <v>30</v>
      </c>
      <c r="W20">
        <v>40</v>
      </c>
      <c r="X20">
        <v>10</v>
      </c>
      <c r="Y20">
        <v>15</v>
      </c>
      <c r="Z20">
        <v>80</v>
      </c>
      <c r="AA20">
        <v>50</v>
      </c>
      <c r="AB20">
        <v>70</v>
      </c>
      <c r="AC20">
        <v>80</v>
      </c>
      <c r="AD20">
        <v>30</v>
      </c>
      <c r="AE20">
        <v>40</v>
      </c>
      <c r="AF20">
        <v>60</v>
      </c>
      <c r="AG20">
        <f t="shared" si="4"/>
        <v>45</v>
      </c>
      <c r="AH20">
        <f t="shared" si="5"/>
        <v>58.333333333333336</v>
      </c>
      <c r="AI20">
        <f t="shared" si="6"/>
        <v>66.666666666666671</v>
      </c>
      <c r="AJ20">
        <f t="shared" si="7"/>
        <v>23.333333333333332</v>
      </c>
      <c r="AK20">
        <f t="shared" si="8"/>
        <v>31.666666666666668</v>
      </c>
      <c r="AL20">
        <f t="shared" si="9"/>
        <v>53.333333333333336</v>
      </c>
      <c r="AM20">
        <f t="shared" si="10"/>
        <v>47.777777777777779</v>
      </c>
      <c r="AN20">
        <f t="shared" si="11"/>
        <v>46.388888888888886</v>
      </c>
    </row>
    <row r="21" spans="1:40" x14ac:dyDescent="0.3">
      <c r="A21" t="s">
        <v>72</v>
      </c>
      <c r="B21" t="s">
        <v>73</v>
      </c>
      <c r="C21">
        <v>68</v>
      </c>
      <c r="D21" t="s">
        <v>28</v>
      </c>
      <c r="E21">
        <v>60</v>
      </c>
      <c r="F21" t="s">
        <v>28</v>
      </c>
      <c r="G21">
        <v>68</v>
      </c>
      <c r="H21" t="s">
        <v>28</v>
      </c>
      <c r="I21">
        <f t="shared" si="0"/>
        <v>65.333333333333329</v>
      </c>
      <c r="K21">
        <f t="shared" si="1"/>
        <v>5.9753086419753005</v>
      </c>
      <c r="L21">
        <f t="shared" si="2"/>
        <v>30.864197530864214</v>
      </c>
      <c r="M21">
        <f t="shared" si="3"/>
        <v>5.9753086419753005</v>
      </c>
      <c r="N21">
        <v>75</v>
      </c>
      <c r="P21">
        <v>80</v>
      </c>
      <c r="Q21">
        <v>65</v>
      </c>
      <c r="R21">
        <v>40</v>
      </c>
      <c r="S21">
        <v>70</v>
      </c>
      <c r="T21">
        <v>80</v>
      </c>
      <c r="U21">
        <v>65</v>
      </c>
      <c r="V21">
        <v>70</v>
      </c>
      <c r="W21">
        <v>60</v>
      </c>
      <c r="X21">
        <v>40</v>
      </c>
      <c r="Y21">
        <v>75</v>
      </c>
      <c r="Z21">
        <v>50</v>
      </c>
      <c r="AA21">
        <v>75</v>
      </c>
      <c r="AB21">
        <v>80</v>
      </c>
      <c r="AC21">
        <v>65</v>
      </c>
      <c r="AD21">
        <v>40</v>
      </c>
      <c r="AE21">
        <v>60</v>
      </c>
      <c r="AF21">
        <v>90</v>
      </c>
      <c r="AG21">
        <f t="shared" si="4"/>
        <v>71.666666666666671</v>
      </c>
      <c r="AH21">
        <f t="shared" si="5"/>
        <v>76.666666666666671</v>
      </c>
      <c r="AI21">
        <f t="shared" si="6"/>
        <v>63.333333333333336</v>
      </c>
      <c r="AJ21">
        <f t="shared" si="7"/>
        <v>40</v>
      </c>
      <c r="AK21">
        <f t="shared" si="8"/>
        <v>68.333333333333329</v>
      </c>
      <c r="AL21">
        <f t="shared" si="9"/>
        <v>73.333333333333329</v>
      </c>
      <c r="AM21">
        <f t="shared" si="10"/>
        <v>67.777777777777771</v>
      </c>
      <c r="AN21">
        <f t="shared" si="11"/>
        <v>65.555555555555557</v>
      </c>
    </row>
    <row r="22" spans="1:40" x14ac:dyDescent="0.3">
      <c r="A22" t="s">
        <v>83</v>
      </c>
      <c r="B22" t="s">
        <v>84</v>
      </c>
      <c r="C22">
        <v>76</v>
      </c>
      <c r="D22" t="s">
        <v>22</v>
      </c>
      <c r="E22">
        <v>82</v>
      </c>
      <c r="F22" t="s">
        <v>22</v>
      </c>
      <c r="G22">
        <v>77</v>
      </c>
      <c r="H22" t="s">
        <v>22</v>
      </c>
      <c r="I22">
        <f t="shared" si="0"/>
        <v>78.333333333333329</v>
      </c>
      <c r="K22">
        <f t="shared" si="1"/>
        <v>8.3456790123455793</v>
      </c>
      <c r="L22">
        <f t="shared" si="2"/>
        <v>9.6790123456791211</v>
      </c>
      <c r="M22">
        <f t="shared" si="3"/>
        <v>3.5679012345678358</v>
      </c>
      <c r="N22">
        <v>75</v>
      </c>
      <c r="P22">
        <v>80</v>
      </c>
      <c r="Q22">
        <v>70</v>
      </c>
      <c r="R22">
        <v>70</v>
      </c>
      <c r="S22">
        <v>80</v>
      </c>
      <c r="T22">
        <v>85</v>
      </c>
      <c r="U22">
        <v>85</v>
      </c>
      <c r="V22">
        <v>70</v>
      </c>
      <c r="W22">
        <v>75</v>
      </c>
      <c r="X22">
        <v>90</v>
      </c>
      <c r="Y22">
        <v>80</v>
      </c>
      <c r="Z22">
        <v>95</v>
      </c>
      <c r="AA22">
        <v>75</v>
      </c>
      <c r="AB22">
        <v>75</v>
      </c>
      <c r="AC22">
        <v>75</v>
      </c>
      <c r="AD22">
        <v>90</v>
      </c>
      <c r="AE22">
        <v>75</v>
      </c>
      <c r="AF22">
        <v>75</v>
      </c>
      <c r="AG22">
        <f t="shared" si="4"/>
        <v>78.333333333333329</v>
      </c>
      <c r="AH22">
        <f t="shared" si="5"/>
        <v>75</v>
      </c>
      <c r="AI22">
        <f t="shared" si="6"/>
        <v>73.333333333333329</v>
      </c>
      <c r="AJ22">
        <f t="shared" si="7"/>
        <v>83.333333333333329</v>
      </c>
      <c r="AK22">
        <f t="shared" si="8"/>
        <v>78.333333333333329</v>
      </c>
      <c r="AL22">
        <f t="shared" si="9"/>
        <v>85</v>
      </c>
      <c r="AM22">
        <f t="shared" si="10"/>
        <v>76.666666666666671</v>
      </c>
      <c r="AN22">
        <f t="shared" si="11"/>
        <v>78.888888888888872</v>
      </c>
    </row>
    <row r="23" spans="1:40" x14ac:dyDescent="0.3">
      <c r="A23" t="s">
        <v>83</v>
      </c>
      <c r="B23" t="s">
        <v>84</v>
      </c>
      <c r="C23">
        <v>60</v>
      </c>
      <c r="D23" t="s">
        <v>28</v>
      </c>
      <c r="E23">
        <v>79</v>
      </c>
      <c r="F23" t="s">
        <v>22</v>
      </c>
      <c r="G23">
        <v>53</v>
      </c>
      <c r="H23" t="s">
        <v>71</v>
      </c>
      <c r="I23">
        <f t="shared" si="0"/>
        <v>64</v>
      </c>
      <c r="K23">
        <f t="shared" si="1"/>
        <v>19.753086419753071</v>
      </c>
      <c r="L23">
        <f t="shared" si="2"/>
        <v>211.86419753086423</v>
      </c>
      <c r="M23">
        <f t="shared" si="3"/>
        <v>130.97530864197526</v>
      </c>
      <c r="N23">
        <v>50</v>
      </c>
      <c r="P23">
        <v>60</v>
      </c>
      <c r="Q23">
        <v>70</v>
      </c>
      <c r="R23">
        <v>30</v>
      </c>
      <c r="S23">
        <v>80</v>
      </c>
      <c r="T23">
        <v>75</v>
      </c>
      <c r="U23">
        <v>80</v>
      </c>
      <c r="V23">
        <v>85</v>
      </c>
      <c r="W23">
        <v>70</v>
      </c>
      <c r="X23">
        <v>85</v>
      </c>
      <c r="Y23">
        <v>75</v>
      </c>
      <c r="Z23">
        <v>80</v>
      </c>
      <c r="AA23">
        <v>50</v>
      </c>
      <c r="AB23">
        <v>60</v>
      </c>
      <c r="AC23">
        <v>70</v>
      </c>
      <c r="AD23">
        <v>20</v>
      </c>
      <c r="AE23">
        <v>40</v>
      </c>
      <c r="AF23">
        <v>80</v>
      </c>
      <c r="AG23">
        <f t="shared" si="4"/>
        <v>60</v>
      </c>
      <c r="AH23">
        <f t="shared" si="5"/>
        <v>68.333333333333329</v>
      </c>
      <c r="AI23">
        <f t="shared" si="6"/>
        <v>70</v>
      </c>
      <c r="AJ23">
        <f t="shared" si="7"/>
        <v>45</v>
      </c>
      <c r="AK23">
        <f t="shared" si="8"/>
        <v>65</v>
      </c>
      <c r="AL23">
        <f t="shared" si="9"/>
        <v>78.333333333333329</v>
      </c>
      <c r="AM23">
        <f t="shared" si="10"/>
        <v>65</v>
      </c>
      <c r="AN23">
        <f t="shared" si="11"/>
        <v>64.444444444444443</v>
      </c>
    </row>
    <row r="24" spans="1:40" x14ac:dyDescent="0.3">
      <c r="A24" t="s">
        <v>83</v>
      </c>
      <c r="B24" t="s">
        <v>84</v>
      </c>
      <c r="C24">
        <v>57</v>
      </c>
      <c r="D24" t="s">
        <v>71</v>
      </c>
      <c r="E24">
        <v>77</v>
      </c>
      <c r="F24" t="s">
        <v>22</v>
      </c>
      <c r="G24">
        <v>69</v>
      </c>
      <c r="H24" t="s">
        <v>28</v>
      </c>
      <c r="I24">
        <f t="shared" si="0"/>
        <v>67.666666666666671</v>
      </c>
      <c r="K24">
        <f t="shared" si="1"/>
        <v>122.22530864197535</v>
      </c>
      <c r="L24">
        <f t="shared" si="2"/>
        <v>80.00308641975306</v>
      </c>
      <c r="M24">
        <f t="shared" si="3"/>
        <v>0.89197530864197228</v>
      </c>
      <c r="N24">
        <v>65</v>
      </c>
      <c r="P24">
        <v>70</v>
      </c>
      <c r="Q24">
        <v>80</v>
      </c>
      <c r="R24">
        <v>30</v>
      </c>
      <c r="S24">
        <v>40</v>
      </c>
      <c r="T24">
        <v>60</v>
      </c>
      <c r="U24">
        <v>75</v>
      </c>
      <c r="V24">
        <v>75</v>
      </c>
      <c r="W24">
        <v>75</v>
      </c>
      <c r="X24">
        <v>90</v>
      </c>
      <c r="Y24">
        <v>75</v>
      </c>
      <c r="Z24">
        <v>75</v>
      </c>
      <c r="AA24">
        <v>85</v>
      </c>
      <c r="AB24">
        <v>70</v>
      </c>
      <c r="AC24">
        <v>65</v>
      </c>
      <c r="AD24">
        <v>45</v>
      </c>
      <c r="AE24">
        <v>90</v>
      </c>
      <c r="AF24">
        <v>60</v>
      </c>
      <c r="AG24">
        <f t="shared" si="4"/>
        <v>75</v>
      </c>
      <c r="AH24">
        <f t="shared" si="5"/>
        <v>71.666666666666671</v>
      </c>
      <c r="AI24">
        <f t="shared" si="6"/>
        <v>73.333333333333329</v>
      </c>
      <c r="AJ24">
        <f t="shared" si="7"/>
        <v>55</v>
      </c>
      <c r="AK24">
        <f t="shared" si="8"/>
        <v>68.333333333333329</v>
      </c>
      <c r="AL24">
        <f t="shared" si="9"/>
        <v>65</v>
      </c>
      <c r="AM24">
        <f t="shared" si="10"/>
        <v>72.222222222222214</v>
      </c>
      <c r="AN24">
        <f t="shared" si="11"/>
        <v>68.055555555555557</v>
      </c>
    </row>
    <row r="25" spans="1:40" x14ac:dyDescent="0.3">
      <c r="A25" t="s">
        <v>83</v>
      </c>
      <c r="B25" t="s">
        <v>84</v>
      </c>
      <c r="C25">
        <v>81</v>
      </c>
      <c r="D25" t="s">
        <v>22</v>
      </c>
      <c r="E25">
        <v>45</v>
      </c>
      <c r="F25" t="s">
        <v>71</v>
      </c>
      <c r="G25">
        <v>60</v>
      </c>
      <c r="H25" t="s">
        <v>28</v>
      </c>
      <c r="I25">
        <f t="shared" si="0"/>
        <v>62</v>
      </c>
      <c r="K25">
        <f t="shared" si="1"/>
        <v>332.04938271604937</v>
      </c>
      <c r="L25">
        <f t="shared" si="2"/>
        <v>316.04938271604942</v>
      </c>
      <c r="M25">
        <f t="shared" si="3"/>
        <v>7.7160493827160535</v>
      </c>
      <c r="N25">
        <v>80</v>
      </c>
      <c r="P25">
        <v>85</v>
      </c>
      <c r="Q25">
        <v>75</v>
      </c>
      <c r="R25">
        <v>65</v>
      </c>
      <c r="S25">
        <v>90</v>
      </c>
      <c r="T25">
        <v>95</v>
      </c>
      <c r="U25">
        <v>30</v>
      </c>
      <c r="V25">
        <v>45</v>
      </c>
      <c r="W25">
        <v>60</v>
      </c>
      <c r="X25">
        <v>20</v>
      </c>
      <c r="Y25">
        <v>70</v>
      </c>
      <c r="Z25">
        <v>50</v>
      </c>
      <c r="AA25">
        <v>65</v>
      </c>
      <c r="AB25">
        <v>70</v>
      </c>
      <c r="AC25">
        <v>80</v>
      </c>
      <c r="AD25">
        <v>40</v>
      </c>
      <c r="AE25">
        <v>60</v>
      </c>
      <c r="AF25">
        <v>50</v>
      </c>
      <c r="AG25">
        <f t="shared" si="4"/>
        <v>58.333333333333336</v>
      </c>
      <c r="AH25">
        <f t="shared" si="5"/>
        <v>66.666666666666671</v>
      </c>
      <c r="AI25">
        <f t="shared" si="6"/>
        <v>71.666666666666671</v>
      </c>
      <c r="AJ25">
        <f t="shared" si="7"/>
        <v>41.666666666666664</v>
      </c>
      <c r="AK25">
        <f t="shared" si="8"/>
        <v>73.333333333333329</v>
      </c>
      <c r="AL25">
        <f t="shared" si="9"/>
        <v>65</v>
      </c>
      <c r="AM25">
        <f t="shared" si="10"/>
        <v>67.777777777777771</v>
      </c>
      <c r="AN25">
        <f t="shared" si="11"/>
        <v>62.777777777777779</v>
      </c>
    </row>
    <row r="26" spans="1:40" x14ac:dyDescent="0.3">
      <c r="A26" t="s">
        <v>94</v>
      </c>
      <c r="B26" t="s">
        <v>95</v>
      </c>
      <c r="C26">
        <v>35</v>
      </c>
      <c r="D26" t="s">
        <v>99</v>
      </c>
      <c r="E26">
        <v>53</v>
      </c>
      <c r="F26" t="s">
        <v>71</v>
      </c>
      <c r="G26">
        <v>41</v>
      </c>
      <c r="H26" t="s">
        <v>71</v>
      </c>
      <c r="I26">
        <f t="shared" si="0"/>
        <v>43</v>
      </c>
      <c r="K26">
        <f t="shared" si="1"/>
        <v>69.444444444444485</v>
      </c>
      <c r="L26">
        <f t="shared" si="2"/>
        <v>93.4444444444444</v>
      </c>
      <c r="M26">
        <f t="shared" si="3"/>
        <v>5.4444444444444553</v>
      </c>
      <c r="N26">
        <v>20</v>
      </c>
      <c r="P26">
        <v>30</v>
      </c>
      <c r="Q26">
        <v>40</v>
      </c>
      <c r="R26">
        <v>10</v>
      </c>
      <c r="S26">
        <v>60</v>
      </c>
      <c r="T26">
        <v>50</v>
      </c>
      <c r="U26">
        <v>50</v>
      </c>
      <c r="V26">
        <v>60</v>
      </c>
      <c r="W26">
        <v>70</v>
      </c>
      <c r="X26">
        <v>20</v>
      </c>
      <c r="Y26">
        <v>30</v>
      </c>
      <c r="Z26">
        <v>90</v>
      </c>
      <c r="AA26">
        <v>35</v>
      </c>
      <c r="AB26">
        <v>65</v>
      </c>
      <c r="AC26">
        <v>70</v>
      </c>
      <c r="AD26">
        <v>20</v>
      </c>
      <c r="AE26">
        <v>50</v>
      </c>
      <c r="AF26">
        <v>10</v>
      </c>
      <c r="AG26">
        <f t="shared" si="4"/>
        <v>35</v>
      </c>
      <c r="AH26">
        <f t="shared" si="5"/>
        <v>51.666666666666664</v>
      </c>
      <c r="AI26">
        <f t="shared" si="6"/>
        <v>60</v>
      </c>
      <c r="AJ26">
        <f t="shared" si="7"/>
        <v>16.666666666666668</v>
      </c>
      <c r="AK26">
        <f t="shared" si="8"/>
        <v>46.666666666666664</v>
      </c>
      <c r="AL26">
        <f t="shared" si="9"/>
        <v>50</v>
      </c>
      <c r="AM26">
        <f t="shared" si="10"/>
        <v>47.222222222222221</v>
      </c>
      <c r="AN26">
        <f t="shared" si="11"/>
        <v>43.333333333333336</v>
      </c>
    </row>
    <row r="27" spans="1:40" x14ac:dyDescent="0.3">
      <c r="A27" t="s">
        <v>94</v>
      </c>
      <c r="B27" t="s">
        <v>95</v>
      </c>
      <c r="C27">
        <v>76</v>
      </c>
      <c r="D27" t="s">
        <v>22</v>
      </c>
      <c r="E27">
        <v>68</v>
      </c>
      <c r="F27" t="s">
        <v>28</v>
      </c>
      <c r="G27">
        <v>56</v>
      </c>
      <c r="H27" t="s">
        <v>71</v>
      </c>
      <c r="I27">
        <f t="shared" si="0"/>
        <v>66.666666666666671</v>
      </c>
      <c r="K27">
        <f t="shared" si="1"/>
        <v>77.049382716049024</v>
      </c>
      <c r="L27">
        <f t="shared" si="2"/>
        <v>0.60493827160490632</v>
      </c>
      <c r="M27">
        <f t="shared" si="3"/>
        <v>125.93827160493873</v>
      </c>
      <c r="N27">
        <v>85</v>
      </c>
      <c r="P27">
        <v>70</v>
      </c>
      <c r="Q27">
        <v>80</v>
      </c>
      <c r="R27">
        <v>60</v>
      </c>
      <c r="S27">
        <v>90</v>
      </c>
      <c r="T27">
        <v>75</v>
      </c>
      <c r="U27">
        <v>65</v>
      </c>
      <c r="V27">
        <v>70</v>
      </c>
      <c r="W27">
        <v>80</v>
      </c>
      <c r="X27">
        <v>40</v>
      </c>
      <c r="Y27">
        <v>70</v>
      </c>
      <c r="Z27">
        <v>85</v>
      </c>
      <c r="AA27">
        <v>45</v>
      </c>
      <c r="AB27">
        <v>60</v>
      </c>
      <c r="AC27">
        <v>70</v>
      </c>
      <c r="AD27">
        <v>30</v>
      </c>
      <c r="AE27">
        <v>50</v>
      </c>
      <c r="AF27">
        <v>85</v>
      </c>
      <c r="AG27">
        <f t="shared" si="4"/>
        <v>65</v>
      </c>
      <c r="AH27">
        <f t="shared" si="5"/>
        <v>66.666666666666671</v>
      </c>
      <c r="AI27">
        <f t="shared" si="6"/>
        <v>76.666666666666671</v>
      </c>
      <c r="AJ27">
        <f t="shared" si="7"/>
        <v>43.333333333333336</v>
      </c>
      <c r="AK27">
        <f t="shared" si="8"/>
        <v>70</v>
      </c>
      <c r="AL27">
        <f t="shared" si="9"/>
        <v>81.666666666666671</v>
      </c>
      <c r="AM27">
        <f t="shared" si="10"/>
        <v>70.555555555555557</v>
      </c>
      <c r="AN27">
        <f t="shared" si="11"/>
        <v>67.222222222222243</v>
      </c>
    </row>
    <row r="28" spans="1:40" x14ac:dyDescent="0.3">
      <c r="A28" t="s">
        <v>94</v>
      </c>
      <c r="B28" t="s">
        <v>95</v>
      </c>
      <c r="C28">
        <v>75</v>
      </c>
      <c r="D28" t="s">
        <v>22</v>
      </c>
      <c r="E28">
        <v>78</v>
      </c>
      <c r="F28" t="s">
        <v>22</v>
      </c>
      <c r="G28">
        <v>40</v>
      </c>
      <c r="H28" t="s">
        <v>71</v>
      </c>
      <c r="I28">
        <f t="shared" si="0"/>
        <v>64.333333333333329</v>
      </c>
      <c r="K28">
        <f t="shared" si="1"/>
        <v>111.41975308641979</v>
      </c>
      <c r="L28">
        <f t="shared" si="2"/>
        <v>183.75308641975312</v>
      </c>
      <c r="M28">
        <f t="shared" si="3"/>
        <v>597.53086419753083</v>
      </c>
      <c r="N28">
        <v>85</v>
      </c>
      <c r="P28">
        <v>75</v>
      </c>
      <c r="Q28">
        <v>70</v>
      </c>
      <c r="R28">
        <v>60</v>
      </c>
      <c r="S28">
        <v>80</v>
      </c>
      <c r="T28">
        <v>80</v>
      </c>
      <c r="U28">
        <v>75</v>
      </c>
      <c r="V28">
        <v>85</v>
      </c>
      <c r="W28">
        <v>80</v>
      </c>
      <c r="X28">
        <v>60</v>
      </c>
      <c r="Y28">
        <v>80</v>
      </c>
      <c r="Z28">
        <v>90</v>
      </c>
      <c r="AA28">
        <v>30</v>
      </c>
      <c r="AB28">
        <v>45</v>
      </c>
      <c r="AC28">
        <v>60</v>
      </c>
      <c r="AD28">
        <v>15</v>
      </c>
      <c r="AE28">
        <v>70</v>
      </c>
      <c r="AF28">
        <v>20</v>
      </c>
      <c r="AG28">
        <f t="shared" si="4"/>
        <v>63.333333333333336</v>
      </c>
      <c r="AH28">
        <f t="shared" si="5"/>
        <v>68.333333333333329</v>
      </c>
      <c r="AI28">
        <f t="shared" si="6"/>
        <v>70</v>
      </c>
      <c r="AJ28">
        <f t="shared" si="7"/>
        <v>45</v>
      </c>
      <c r="AK28">
        <f t="shared" si="8"/>
        <v>76.666666666666671</v>
      </c>
      <c r="AL28">
        <f t="shared" si="9"/>
        <v>63.333333333333336</v>
      </c>
      <c r="AM28">
        <f t="shared" si="10"/>
        <v>70</v>
      </c>
      <c r="AN28">
        <f t="shared" si="11"/>
        <v>64.444444444444443</v>
      </c>
    </row>
    <row r="29" spans="1:40" x14ac:dyDescent="0.3">
      <c r="A29" t="s">
        <v>94</v>
      </c>
      <c r="B29" t="s">
        <v>95</v>
      </c>
      <c r="C29">
        <v>76</v>
      </c>
      <c r="D29" t="s">
        <v>22</v>
      </c>
      <c r="E29">
        <v>61</v>
      </c>
      <c r="F29" t="s">
        <v>28</v>
      </c>
      <c r="G29">
        <v>52</v>
      </c>
      <c r="H29" t="s">
        <v>71</v>
      </c>
      <c r="I29">
        <f t="shared" si="0"/>
        <v>63</v>
      </c>
      <c r="K29">
        <f t="shared" si="1"/>
        <v>153.48456790123467</v>
      </c>
      <c r="L29">
        <f t="shared" si="2"/>
        <v>6.8179012345678807</v>
      </c>
      <c r="M29">
        <f t="shared" si="3"/>
        <v>134.81790123456781</v>
      </c>
      <c r="N29">
        <v>75</v>
      </c>
      <c r="P29">
        <v>85</v>
      </c>
      <c r="Q29">
        <v>70</v>
      </c>
      <c r="R29">
        <v>60</v>
      </c>
      <c r="S29">
        <v>90</v>
      </c>
      <c r="T29">
        <v>80</v>
      </c>
      <c r="U29">
        <v>60</v>
      </c>
      <c r="V29">
        <v>75</v>
      </c>
      <c r="W29">
        <v>80</v>
      </c>
      <c r="X29">
        <v>30</v>
      </c>
      <c r="Y29">
        <v>40</v>
      </c>
      <c r="Z29">
        <v>85</v>
      </c>
      <c r="AA29">
        <v>45</v>
      </c>
      <c r="AB29">
        <v>60</v>
      </c>
      <c r="AC29">
        <v>70</v>
      </c>
      <c r="AD29">
        <v>25</v>
      </c>
      <c r="AE29">
        <v>30</v>
      </c>
      <c r="AF29">
        <v>85</v>
      </c>
      <c r="AG29">
        <f t="shared" si="4"/>
        <v>60</v>
      </c>
      <c r="AH29">
        <f t="shared" si="5"/>
        <v>73.333333333333329</v>
      </c>
      <c r="AI29">
        <f t="shared" si="6"/>
        <v>73.333333333333329</v>
      </c>
      <c r="AJ29">
        <f t="shared" si="7"/>
        <v>38.333333333333336</v>
      </c>
      <c r="AK29">
        <f t="shared" si="8"/>
        <v>53.333333333333336</v>
      </c>
      <c r="AL29">
        <f t="shared" si="9"/>
        <v>83.333333333333329</v>
      </c>
      <c r="AM29">
        <f t="shared" si="10"/>
        <v>62.222222222222221</v>
      </c>
      <c r="AN29">
        <f t="shared" si="11"/>
        <v>63.611111111111107</v>
      </c>
    </row>
    <row r="30" spans="1:40" x14ac:dyDescent="0.3">
      <c r="A30" t="s">
        <v>106</v>
      </c>
      <c r="B30" t="s">
        <v>107</v>
      </c>
      <c r="C30">
        <v>70</v>
      </c>
      <c r="D30" t="s">
        <v>28</v>
      </c>
      <c r="E30">
        <v>68</v>
      </c>
      <c r="F30" t="s">
        <v>28</v>
      </c>
      <c r="G30">
        <v>69</v>
      </c>
      <c r="H30" t="s">
        <v>28</v>
      </c>
      <c r="I30">
        <f t="shared" si="0"/>
        <v>69</v>
      </c>
      <c r="K30">
        <f t="shared" si="1"/>
        <v>0.30864197530864373</v>
      </c>
      <c r="L30">
        <f t="shared" si="2"/>
        <v>2.0864197530864153</v>
      </c>
      <c r="M30">
        <f t="shared" si="3"/>
        <v>0.19753086419752947</v>
      </c>
      <c r="N30">
        <v>75</v>
      </c>
      <c r="P30">
        <v>85</v>
      </c>
      <c r="Q30">
        <v>90</v>
      </c>
      <c r="R30">
        <v>45</v>
      </c>
      <c r="S30">
        <v>60</v>
      </c>
      <c r="T30">
        <v>70</v>
      </c>
      <c r="U30">
        <v>85</v>
      </c>
      <c r="V30">
        <v>70</v>
      </c>
      <c r="W30">
        <v>65</v>
      </c>
      <c r="X30">
        <v>40</v>
      </c>
      <c r="Y30">
        <v>90</v>
      </c>
      <c r="Z30">
        <v>60</v>
      </c>
      <c r="AA30">
        <v>85</v>
      </c>
      <c r="AB30">
        <v>70</v>
      </c>
      <c r="AC30">
        <v>65</v>
      </c>
      <c r="AD30">
        <v>45</v>
      </c>
      <c r="AE30">
        <v>60</v>
      </c>
      <c r="AF30">
        <v>90</v>
      </c>
      <c r="AG30">
        <f t="shared" si="4"/>
        <v>81.666666666666671</v>
      </c>
      <c r="AH30">
        <f t="shared" si="5"/>
        <v>75</v>
      </c>
      <c r="AI30">
        <f t="shared" si="6"/>
        <v>73.333333333333329</v>
      </c>
      <c r="AJ30">
        <f t="shared" si="7"/>
        <v>43.333333333333336</v>
      </c>
      <c r="AK30">
        <f t="shared" si="8"/>
        <v>70</v>
      </c>
      <c r="AL30">
        <f t="shared" si="9"/>
        <v>73.333333333333329</v>
      </c>
      <c r="AM30">
        <f t="shared" si="10"/>
        <v>75</v>
      </c>
      <c r="AN30">
        <f t="shared" si="11"/>
        <v>69.444444444444443</v>
      </c>
    </row>
    <row r="31" spans="1:40" x14ac:dyDescent="0.3">
      <c r="A31" t="s">
        <v>106</v>
      </c>
      <c r="B31" t="s">
        <v>107</v>
      </c>
      <c r="C31">
        <v>77</v>
      </c>
      <c r="D31" t="s">
        <v>22</v>
      </c>
      <c r="E31">
        <v>68</v>
      </c>
      <c r="F31" t="s">
        <v>28</v>
      </c>
      <c r="G31">
        <v>76</v>
      </c>
      <c r="H31" t="s">
        <v>22</v>
      </c>
      <c r="I31">
        <f t="shared" si="0"/>
        <v>73.666666666666671</v>
      </c>
      <c r="K31">
        <f t="shared" si="1"/>
        <v>8.0277777777777501</v>
      </c>
      <c r="L31">
        <f t="shared" si="2"/>
        <v>38.027777777777835</v>
      </c>
      <c r="M31">
        <f t="shared" si="3"/>
        <v>3.3611111111110938</v>
      </c>
      <c r="N31">
        <v>85</v>
      </c>
      <c r="P31">
        <v>75</v>
      </c>
      <c r="Q31">
        <v>65</v>
      </c>
      <c r="R31">
        <v>90</v>
      </c>
      <c r="S31">
        <v>70</v>
      </c>
      <c r="T31">
        <v>80</v>
      </c>
      <c r="U31">
        <v>75</v>
      </c>
      <c r="V31">
        <v>80</v>
      </c>
      <c r="W31">
        <v>65</v>
      </c>
      <c r="X31">
        <v>40</v>
      </c>
      <c r="Y31">
        <v>90</v>
      </c>
      <c r="Z31">
        <v>60</v>
      </c>
      <c r="AA31">
        <v>85</v>
      </c>
      <c r="AB31">
        <v>90</v>
      </c>
      <c r="AC31">
        <v>70</v>
      </c>
      <c r="AD31">
        <v>65</v>
      </c>
      <c r="AE31">
        <v>80</v>
      </c>
      <c r="AF31">
        <v>70</v>
      </c>
      <c r="AG31">
        <f t="shared" si="4"/>
        <v>81.666666666666671</v>
      </c>
      <c r="AH31">
        <f t="shared" si="5"/>
        <v>81.666666666666671</v>
      </c>
      <c r="AI31">
        <f t="shared" si="6"/>
        <v>66.666666666666671</v>
      </c>
      <c r="AJ31">
        <f t="shared" si="7"/>
        <v>65</v>
      </c>
      <c r="AK31">
        <f t="shared" si="8"/>
        <v>80</v>
      </c>
      <c r="AL31">
        <f t="shared" si="9"/>
        <v>70</v>
      </c>
      <c r="AM31">
        <f t="shared" si="10"/>
        <v>76.111111111111114</v>
      </c>
      <c r="AN31">
        <f t="shared" si="11"/>
        <v>74.166666666666671</v>
      </c>
    </row>
    <row r="32" spans="1:40" x14ac:dyDescent="0.3">
      <c r="A32" t="s">
        <v>106</v>
      </c>
      <c r="B32" t="s">
        <v>107</v>
      </c>
      <c r="C32">
        <v>67</v>
      </c>
      <c r="D32" t="s">
        <v>28</v>
      </c>
      <c r="E32">
        <v>75</v>
      </c>
      <c r="F32" t="s">
        <v>22</v>
      </c>
      <c r="G32">
        <v>77</v>
      </c>
      <c r="H32" t="s">
        <v>22</v>
      </c>
      <c r="I32">
        <f t="shared" si="0"/>
        <v>73</v>
      </c>
      <c r="K32">
        <f t="shared" si="1"/>
        <v>40.11111111111105</v>
      </c>
      <c r="L32">
        <f t="shared" si="2"/>
        <v>2.7777777777777937</v>
      </c>
      <c r="M32">
        <f t="shared" si="3"/>
        <v>13.444444444444478</v>
      </c>
      <c r="N32">
        <v>65</v>
      </c>
      <c r="P32">
        <v>75</v>
      </c>
      <c r="Q32">
        <v>80</v>
      </c>
      <c r="R32">
        <v>45</v>
      </c>
      <c r="S32">
        <v>70</v>
      </c>
      <c r="T32">
        <v>70</v>
      </c>
      <c r="U32">
        <v>75</v>
      </c>
      <c r="V32">
        <v>75</v>
      </c>
      <c r="W32">
        <v>75</v>
      </c>
      <c r="X32">
        <v>75</v>
      </c>
      <c r="Y32">
        <v>75</v>
      </c>
      <c r="Z32">
        <v>75</v>
      </c>
      <c r="AA32">
        <v>75</v>
      </c>
      <c r="AB32">
        <v>75</v>
      </c>
      <c r="AC32">
        <v>75</v>
      </c>
      <c r="AD32">
        <v>90</v>
      </c>
      <c r="AE32">
        <v>75</v>
      </c>
      <c r="AF32">
        <v>75</v>
      </c>
      <c r="AG32">
        <f t="shared" si="4"/>
        <v>71.666666666666671</v>
      </c>
      <c r="AH32">
        <f t="shared" si="5"/>
        <v>75</v>
      </c>
      <c r="AI32">
        <f t="shared" si="6"/>
        <v>76.666666666666671</v>
      </c>
      <c r="AJ32">
        <f t="shared" si="7"/>
        <v>70</v>
      </c>
      <c r="AK32">
        <f t="shared" si="8"/>
        <v>73.333333333333329</v>
      </c>
      <c r="AL32">
        <f t="shared" si="9"/>
        <v>73.333333333333329</v>
      </c>
      <c r="AM32">
        <f t="shared" si="10"/>
        <v>73.8888888888889</v>
      </c>
      <c r="AN32">
        <f t="shared" si="11"/>
        <v>73.333333333333329</v>
      </c>
    </row>
    <row r="33" spans="1:40" x14ac:dyDescent="0.3">
      <c r="A33" t="s">
        <v>106</v>
      </c>
      <c r="B33" t="s">
        <v>107</v>
      </c>
      <c r="C33">
        <v>43</v>
      </c>
      <c r="D33" t="s">
        <v>71</v>
      </c>
      <c r="E33">
        <v>75</v>
      </c>
      <c r="F33" t="s">
        <v>22</v>
      </c>
      <c r="G33">
        <v>75</v>
      </c>
      <c r="H33" t="s">
        <v>22</v>
      </c>
      <c r="I33">
        <f t="shared" si="0"/>
        <v>64.333333333333329</v>
      </c>
      <c r="K33">
        <f t="shared" si="1"/>
        <v>459.86419753086415</v>
      </c>
      <c r="L33">
        <f t="shared" si="2"/>
        <v>111.41975308641979</v>
      </c>
      <c r="M33">
        <f t="shared" si="3"/>
        <v>111.41975308641979</v>
      </c>
      <c r="N33">
        <v>20</v>
      </c>
      <c r="P33">
        <v>40</v>
      </c>
      <c r="Q33">
        <v>60</v>
      </c>
      <c r="R33">
        <v>10</v>
      </c>
      <c r="S33">
        <v>80</v>
      </c>
      <c r="T33">
        <v>50</v>
      </c>
      <c r="U33">
        <v>75</v>
      </c>
      <c r="V33">
        <v>75</v>
      </c>
      <c r="W33">
        <v>75</v>
      </c>
      <c r="X33">
        <v>75</v>
      </c>
      <c r="Y33">
        <v>75</v>
      </c>
      <c r="Z33">
        <v>75</v>
      </c>
      <c r="AA33">
        <v>75</v>
      </c>
      <c r="AB33">
        <v>75</v>
      </c>
      <c r="AC33">
        <v>75</v>
      </c>
      <c r="AD33">
        <v>75</v>
      </c>
      <c r="AE33">
        <v>75</v>
      </c>
      <c r="AF33">
        <v>75</v>
      </c>
      <c r="AG33">
        <f t="shared" si="4"/>
        <v>56.666666666666664</v>
      </c>
      <c r="AH33">
        <f t="shared" si="5"/>
        <v>63.333333333333336</v>
      </c>
      <c r="AI33">
        <f t="shared" si="6"/>
        <v>70</v>
      </c>
      <c r="AJ33">
        <f t="shared" si="7"/>
        <v>53.333333333333336</v>
      </c>
      <c r="AK33">
        <f t="shared" si="8"/>
        <v>76.666666666666671</v>
      </c>
      <c r="AL33">
        <f t="shared" si="9"/>
        <v>66.666666666666671</v>
      </c>
      <c r="AM33">
        <f t="shared" si="10"/>
        <v>67.777777777777771</v>
      </c>
      <c r="AN33">
        <f t="shared" si="11"/>
        <v>64.444444444444443</v>
      </c>
    </row>
    <row r="34" spans="1:40" x14ac:dyDescent="0.3">
      <c r="A34" t="s">
        <v>117</v>
      </c>
      <c r="B34" t="s">
        <v>118</v>
      </c>
      <c r="C34">
        <v>69</v>
      </c>
      <c r="D34" t="s">
        <v>28</v>
      </c>
      <c r="E34">
        <v>75</v>
      </c>
      <c r="F34" t="s">
        <v>22</v>
      </c>
      <c r="G34">
        <v>73</v>
      </c>
      <c r="H34" t="s">
        <v>28</v>
      </c>
      <c r="I34">
        <f t="shared" si="0"/>
        <v>72.333333333333329</v>
      </c>
      <c r="K34">
        <f t="shared" si="1"/>
        <v>14.271604938271665</v>
      </c>
      <c r="L34">
        <f t="shared" si="2"/>
        <v>4.9382716049382367</v>
      </c>
      <c r="M34">
        <f t="shared" si="3"/>
        <v>4.9382716049379209E-2</v>
      </c>
      <c r="N34">
        <v>75</v>
      </c>
      <c r="P34">
        <v>80</v>
      </c>
      <c r="Q34">
        <v>60</v>
      </c>
      <c r="R34">
        <v>40</v>
      </c>
      <c r="S34">
        <v>90</v>
      </c>
      <c r="T34">
        <v>70</v>
      </c>
      <c r="U34">
        <v>85</v>
      </c>
      <c r="V34">
        <v>75</v>
      </c>
      <c r="W34">
        <v>65</v>
      </c>
      <c r="X34">
        <v>60</v>
      </c>
      <c r="Y34">
        <v>80</v>
      </c>
      <c r="Z34">
        <v>90</v>
      </c>
      <c r="AA34">
        <v>85</v>
      </c>
      <c r="AB34">
        <v>70</v>
      </c>
      <c r="AC34">
        <v>65</v>
      </c>
      <c r="AD34">
        <v>90</v>
      </c>
      <c r="AE34">
        <v>70</v>
      </c>
      <c r="AF34">
        <v>60</v>
      </c>
      <c r="AG34">
        <f t="shared" si="4"/>
        <v>81.666666666666671</v>
      </c>
      <c r="AH34">
        <f t="shared" si="5"/>
        <v>75</v>
      </c>
      <c r="AI34">
        <f t="shared" si="6"/>
        <v>63.333333333333336</v>
      </c>
      <c r="AJ34">
        <f t="shared" si="7"/>
        <v>63.333333333333336</v>
      </c>
      <c r="AK34">
        <f t="shared" si="8"/>
        <v>80</v>
      </c>
      <c r="AL34">
        <f t="shared" si="9"/>
        <v>73.333333333333329</v>
      </c>
      <c r="AM34">
        <f t="shared" si="10"/>
        <v>75</v>
      </c>
      <c r="AN34">
        <f t="shared" si="11"/>
        <v>72.777777777777786</v>
      </c>
    </row>
    <row r="35" spans="1:40" x14ac:dyDescent="0.3">
      <c r="A35" t="s">
        <v>117</v>
      </c>
      <c r="B35" t="s">
        <v>118</v>
      </c>
      <c r="C35">
        <v>75</v>
      </c>
      <c r="D35" t="s">
        <v>22</v>
      </c>
      <c r="E35">
        <v>80</v>
      </c>
      <c r="F35" t="s">
        <v>22</v>
      </c>
      <c r="G35">
        <v>81</v>
      </c>
      <c r="H35" t="s">
        <v>22</v>
      </c>
      <c r="I35">
        <f t="shared" si="0"/>
        <v>78.666666666666671</v>
      </c>
      <c r="K35">
        <f t="shared" si="1"/>
        <v>15.123456790123432</v>
      </c>
      <c r="L35">
        <f t="shared" si="2"/>
        <v>1.2345679012345749</v>
      </c>
      <c r="M35">
        <f t="shared" si="3"/>
        <v>4.4567901234568037</v>
      </c>
      <c r="N35">
        <v>75</v>
      </c>
      <c r="P35">
        <v>75</v>
      </c>
      <c r="Q35">
        <v>75</v>
      </c>
      <c r="R35">
        <v>75</v>
      </c>
      <c r="S35">
        <v>75</v>
      </c>
      <c r="T35">
        <v>75</v>
      </c>
      <c r="U35">
        <v>85</v>
      </c>
      <c r="V35">
        <v>90</v>
      </c>
      <c r="W35">
        <v>75</v>
      </c>
      <c r="X35">
        <v>60</v>
      </c>
      <c r="Y35">
        <v>90</v>
      </c>
      <c r="Z35">
        <v>80</v>
      </c>
      <c r="AA35">
        <v>95</v>
      </c>
      <c r="AB35">
        <v>85</v>
      </c>
      <c r="AC35">
        <v>75</v>
      </c>
      <c r="AD35">
        <v>65</v>
      </c>
      <c r="AE35">
        <v>90</v>
      </c>
      <c r="AF35">
        <v>80</v>
      </c>
      <c r="AG35">
        <f t="shared" si="4"/>
        <v>85</v>
      </c>
      <c r="AH35">
        <f t="shared" si="5"/>
        <v>83.333333333333329</v>
      </c>
      <c r="AI35">
        <f t="shared" si="6"/>
        <v>75</v>
      </c>
      <c r="AJ35">
        <f t="shared" si="7"/>
        <v>66.666666666666671</v>
      </c>
      <c r="AK35">
        <f t="shared" si="8"/>
        <v>85</v>
      </c>
      <c r="AL35">
        <f t="shared" si="9"/>
        <v>78.333333333333329</v>
      </c>
      <c r="AM35">
        <f t="shared" si="10"/>
        <v>81.666666666666671</v>
      </c>
      <c r="AN35">
        <f t="shared" si="11"/>
        <v>78.888888888888886</v>
      </c>
    </row>
    <row r="36" spans="1:40" x14ac:dyDescent="0.3">
      <c r="A36" t="s">
        <v>117</v>
      </c>
      <c r="B36" t="s">
        <v>118</v>
      </c>
      <c r="C36">
        <v>67</v>
      </c>
      <c r="D36" t="s">
        <v>28</v>
      </c>
      <c r="E36">
        <v>73</v>
      </c>
      <c r="F36" t="s">
        <v>28</v>
      </c>
      <c r="G36">
        <v>79</v>
      </c>
      <c r="H36" t="s">
        <v>22</v>
      </c>
      <c r="I36">
        <f t="shared" si="0"/>
        <v>73</v>
      </c>
      <c r="K36">
        <f t="shared" si="1"/>
        <v>40.111111111111228</v>
      </c>
      <c r="L36">
        <f t="shared" si="2"/>
        <v>0.11111111111111743</v>
      </c>
      <c r="M36">
        <f t="shared" si="3"/>
        <v>32.111111111111001</v>
      </c>
      <c r="N36">
        <v>75</v>
      </c>
      <c r="P36">
        <v>80</v>
      </c>
      <c r="Q36">
        <v>65</v>
      </c>
      <c r="R36">
        <v>40</v>
      </c>
      <c r="S36">
        <v>60</v>
      </c>
      <c r="T36">
        <v>85</v>
      </c>
      <c r="U36">
        <v>75</v>
      </c>
      <c r="V36">
        <v>75</v>
      </c>
      <c r="W36">
        <v>75</v>
      </c>
      <c r="X36">
        <v>65</v>
      </c>
      <c r="Y36">
        <v>75</v>
      </c>
      <c r="Z36">
        <v>75</v>
      </c>
      <c r="AA36">
        <v>90</v>
      </c>
      <c r="AB36">
        <v>85</v>
      </c>
      <c r="AC36">
        <v>75</v>
      </c>
      <c r="AD36">
        <v>60</v>
      </c>
      <c r="AE36">
        <v>80</v>
      </c>
      <c r="AF36">
        <v>85</v>
      </c>
      <c r="AG36">
        <f t="shared" si="4"/>
        <v>80</v>
      </c>
      <c r="AH36">
        <f t="shared" si="5"/>
        <v>80</v>
      </c>
      <c r="AI36">
        <f t="shared" si="6"/>
        <v>71.666666666666671</v>
      </c>
      <c r="AJ36">
        <f t="shared" si="7"/>
        <v>55</v>
      </c>
      <c r="AK36">
        <f t="shared" si="8"/>
        <v>71.666666666666671</v>
      </c>
      <c r="AL36">
        <f t="shared" si="9"/>
        <v>81.666666666666671</v>
      </c>
      <c r="AM36">
        <f t="shared" si="10"/>
        <v>74.444444444444457</v>
      </c>
      <c r="AN36">
        <f t="shared" si="11"/>
        <v>73.333333333333343</v>
      </c>
    </row>
    <row r="37" spans="1:40" x14ac:dyDescent="0.3">
      <c r="A37" t="s">
        <v>117</v>
      </c>
      <c r="B37" t="s">
        <v>118</v>
      </c>
      <c r="C37">
        <v>75</v>
      </c>
      <c r="D37" t="s">
        <v>22</v>
      </c>
      <c r="E37">
        <v>65</v>
      </c>
      <c r="F37" t="s">
        <v>28</v>
      </c>
      <c r="G37">
        <v>74</v>
      </c>
      <c r="H37" t="s">
        <v>28</v>
      </c>
      <c r="I37">
        <f t="shared" si="0"/>
        <v>71.333333333333329</v>
      </c>
      <c r="K37">
        <f t="shared" si="1"/>
        <v>11.111111111111079</v>
      </c>
      <c r="L37">
        <f t="shared" si="2"/>
        <v>44.444444444444507</v>
      </c>
      <c r="M37">
        <f t="shared" si="3"/>
        <v>5.4444444444444224</v>
      </c>
      <c r="N37">
        <v>75</v>
      </c>
      <c r="P37">
        <v>75</v>
      </c>
      <c r="Q37">
        <v>75</v>
      </c>
      <c r="R37">
        <v>75</v>
      </c>
      <c r="S37">
        <v>75</v>
      </c>
      <c r="T37">
        <v>75</v>
      </c>
      <c r="U37">
        <v>65</v>
      </c>
      <c r="V37">
        <v>70</v>
      </c>
      <c r="W37">
        <v>80</v>
      </c>
      <c r="X37">
        <v>30</v>
      </c>
      <c r="Y37">
        <v>60</v>
      </c>
      <c r="Z37">
        <v>90</v>
      </c>
      <c r="AA37">
        <v>75</v>
      </c>
      <c r="AB37">
        <v>75</v>
      </c>
      <c r="AC37">
        <v>75</v>
      </c>
      <c r="AD37">
        <v>70</v>
      </c>
      <c r="AE37">
        <v>75</v>
      </c>
      <c r="AF37">
        <v>75</v>
      </c>
      <c r="AG37">
        <f t="shared" si="4"/>
        <v>71.666666666666671</v>
      </c>
      <c r="AH37">
        <f t="shared" si="5"/>
        <v>73.333333333333329</v>
      </c>
      <c r="AI37">
        <f t="shared" si="6"/>
        <v>76.666666666666671</v>
      </c>
      <c r="AJ37">
        <f t="shared" si="7"/>
        <v>58.333333333333336</v>
      </c>
      <c r="AK37">
        <f t="shared" si="8"/>
        <v>70</v>
      </c>
      <c r="AL37">
        <f t="shared" si="9"/>
        <v>80</v>
      </c>
      <c r="AM37">
        <f t="shared" si="10"/>
        <v>72.777777777777786</v>
      </c>
      <c r="AN37">
        <f t="shared" si="11"/>
        <v>71.666666666666671</v>
      </c>
    </row>
    <row r="38" spans="1:40" x14ac:dyDescent="0.3">
      <c r="A38" t="s">
        <v>127</v>
      </c>
      <c r="B38" t="s">
        <v>128</v>
      </c>
      <c r="C38">
        <v>70</v>
      </c>
      <c r="D38" t="s">
        <v>28</v>
      </c>
      <c r="E38">
        <v>75</v>
      </c>
      <c r="F38" t="s">
        <v>22</v>
      </c>
      <c r="G38">
        <v>70</v>
      </c>
      <c r="H38" t="s">
        <v>28</v>
      </c>
      <c r="I38">
        <f t="shared" si="0"/>
        <v>71.666666666666671</v>
      </c>
      <c r="K38">
        <f t="shared" si="1"/>
        <v>3.7808641975308581</v>
      </c>
      <c r="L38">
        <f t="shared" si="2"/>
        <v>9.3364197530864299</v>
      </c>
      <c r="M38">
        <f t="shared" si="3"/>
        <v>3.7808641975308581</v>
      </c>
      <c r="N38">
        <v>65</v>
      </c>
      <c r="P38">
        <v>70</v>
      </c>
      <c r="Q38">
        <v>85</v>
      </c>
      <c r="R38">
        <v>60</v>
      </c>
      <c r="S38">
        <v>75</v>
      </c>
      <c r="T38">
        <v>70</v>
      </c>
      <c r="U38">
        <v>75</v>
      </c>
      <c r="V38">
        <v>75</v>
      </c>
      <c r="W38">
        <v>75</v>
      </c>
      <c r="X38">
        <v>75</v>
      </c>
      <c r="Y38">
        <v>75</v>
      </c>
      <c r="Z38">
        <v>75</v>
      </c>
      <c r="AA38">
        <v>85</v>
      </c>
      <c r="AB38">
        <v>70</v>
      </c>
      <c r="AC38">
        <v>60</v>
      </c>
      <c r="AD38">
        <v>40</v>
      </c>
      <c r="AE38">
        <v>75</v>
      </c>
      <c r="AF38">
        <v>90</v>
      </c>
      <c r="AG38">
        <f t="shared" si="4"/>
        <v>75</v>
      </c>
      <c r="AH38">
        <f t="shared" si="5"/>
        <v>71.666666666666671</v>
      </c>
      <c r="AI38">
        <f t="shared" si="6"/>
        <v>73.333333333333329</v>
      </c>
      <c r="AJ38">
        <f t="shared" si="7"/>
        <v>58.333333333333336</v>
      </c>
      <c r="AK38">
        <f t="shared" si="8"/>
        <v>75</v>
      </c>
      <c r="AL38">
        <f t="shared" si="9"/>
        <v>78.333333333333329</v>
      </c>
      <c r="AM38">
        <f t="shared" si="10"/>
        <v>74.444444444444443</v>
      </c>
      <c r="AN38">
        <f t="shared" si="11"/>
        <v>71.944444444444443</v>
      </c>
    </row>
    <row r="39" spans="1:40" x14ac:dyDescent="0.3">
      <c r="A39" t="s">
        <v>127</v>
      </c>
      <c r="B39" t="s">
        <v>128</v>
      </c>
      <c r="C39">
        <v>40</v>
      </c>
      <c r="D39" t="s">
        <v>71</v>
      </c>
      <c r="E39">
        <v>72</v>
      </c>
      <c r="F39" t="s">
        <v>28</v>
      </c>
      <c r="G39">
        <v>57</v>
      </c>
      <c r="H39" t="s">
        <v>71</v>
      </c>
      <c r="I39">
        <f t="shared" si="0"/>
        <v>56.333333333333336</v>
      </c>
      <c r="K39">
        <f t="shared" si="1"/>
        <v>277.77777777777771</v>
      </c>
      <c r="L39">
        <f t="shared" si="2"/>
        <v>235.11111111111117</v>
      </c>
      <c r="M39">
        <f t="shared" si="3"/>
        <v>0.11111111111111269</v>
      </c>
      <c r="N39">
        <v>20</v>
      </c>
      <c r="P39">
        <v>45</v>
      </c>
      <c r="Q39">
        <v>60</v>
      </c>
      <c r="R39">
        <v>10</v>
      </c>
      <c r="S39">
        <v>30</v>
      </c>
      <c r="T39">
        <v>75</v>
      </c>
      <c r="U39">
        <v>75</v>
      </c>
      <c r="V39">
        <v>60</v>
      </c>
      <c r="W39">
        <v>65</v>
      </c>
      <c r="X39">
        <v>85</v>
      </c>
      <c r="Y39">
        <v>70</v>
      </c>
      <c r="Z39">
        <v>80</v>
      </c>
      <c r="AA39">
        <v>65</v>
      </c>
      <c r="AB39">
        <v>70</v>
      </c>
      <c r="AC39">
        <v>60</v>
      </c>
      <c r="AD39">
        <v>30</v>
      </c>
      <c r="AE39">
        <v>80</v>
      </c>
      <c r="AF39">
        <v>40</v>
      </c>
      <c r="AG39">
        <f t="shared" si="4"/>
        <v>53.333333333333336</v>
      </c>
      <c r="AH39">
        <f t="shared" si="5"/>
        <v>58.333333333333336</v>
      </c>
      <c r="AI39">
        <f t="shared" si="6"/>
        <v>61.666666666666664</v>
      </c>
      <c r="AJ39">
        <f t="shared" si="7"/>
        <v>41.666666666666664</v>
      </c>
      <c r="AK39">
        <f t="shared" si="8"/>
        <v>60</v>
      </c>
      <c r="AL39">
        <f t="shared" si="9"/>
        <v>65</v>
      </c>
      <c r="AM39">
        <f t="shared" si="10"/>
        <v>58.333333333333336</v>
      </c>
      <c r="AN39">
        <f t="shared" si="11"/>
        <v>56.666666666666664</v>
      </c>
    </row>
    <row r="40" spans="1:40" x14ac:dyDescent="0.3">
      <c r="A40" t="s">
        <v>127</v>
      </c>
      <c r="B40" t="s">
        <v>128</v>
      </c>
      <c r="C40">
        <v>59</v>
      </c>
      <c r="D40" t="s">
        <v>71</v>
      </c>
      <c r="E40">
        <v>76</v>
      </c>
      <c r="F40" t="s">
        <v>22</v>
      </c>
      <c r="G40">
        <v>75</v>
      </c>
      <c r="H40" t="s">
        <v>22</v>
      </c>
      <c r="I40">
        <f t="shared" si="0"/>
        <v>70</v>
      </c>
      <c r="K40">
        <f t="shared" si="1"/>
        <v>127.18827160493845</v>
      </c>
      <c r="L40">
        <f t="shared" si="2"/>
        <v>32.743827160493737</v>
      </c>
      <c r="M40">
        <f t="shared" si="3"/>
        <v>22.299382716049308</v>
      </c>
      <c r="N40">
        <v>60</v>
      </c>
      <c r="P40">
        <v>75</v>
      </c>
      <c r="Q40">
        <v>80</v>
      </c>
      <c r="R40">
        <v>30</v>
      </c>
      <c r="S40">
        <v>70</v>
      </c>
      <c r="T40">
        <v>40</v>
      </c>
      <c r="U40">
        <v>85</v>
      </c>
      <c r="V40">
        <v>90</v>
      </c>
      <c r="W40">
        <v>75</v>
      </c>
      <c r="X40">
        <v>60</v>
      </c>
      <c r="Y40">
        <v>70</v>
      </c>
      <c r="Z40">
        <v>80</v>
      </c>
      <c r="AA40">
        <v>75</v>
      </c>
      <c r="AB40">
        <v>75</v>
      </c>
      <c r="AC40">
        <v>75</v>
      </c>
      <c r="AD40">
        <v>75</v>
      </c>
      <c r="AE40">
        <v>75</v>
      </c>
      <c r="AF40">
        <v>75</v>
      </c>
      <c r="AG40">
        <f t="shared" si="4"/>
        <v>73.333333333333329</v>
      </c>
      <c r="AH40">
        <f t="shared" si="5"/>
        <v>80</v>
      </c>
      <c r="AI40">
        <f t="shared" si="6"/>
        <v>76.666666666666671</v>
      </c>
      <c r="AJ40">
        <f t="shared" si="7"/>
        <v>55</v>
      </c>
      <c r="AK40">
        <f t="shared" si="8"/>
        <v>71.666666666666671</v>
      </c>
      <c r="AL40">
        <f t="shared" si="9"/>
        <v>65</v>
      </c>
      <c r="AM40">
        <f t="shared" si="10"/>
        <v>73.8888888888889</v>
      </c>
      <c r="AN40">
        <f t="shared" si="11"/>
        <v>70.277777777777786</v>
      </c>
    </row>
    <row r="41" spans="1:40" x14ac:dyDescent="0.3">
      <c r="A41" t="s">
        <v>127</v>
      </c>
      <c r="B41" t="s">
        <v>128</v>
      </c>
      <c r="C41">
        <v>68</v>
      </c>
      <c r="D41" t="s">
        <v>28</v>
      </c>
      <c r="E41">
        <v>78</v>
      </c>
      <c r="F41" t="s">
        <v>22</v>
      </c>
      <c r="G41">
        <v>77</v>
      </c>
      <c r="H41" t="s">
        <v>22</v>
      </c>
      <c r="I41">
        <f t="shared" si="0"/>
        <v>74.333333333333329</v>
      </c>
      <c r="K41">
        <f t="shared" si="1"/>
        <v>45.188271604938166</v>
      </c>
      <c r="L41">
        <f t="shared" si="2"/>
        <v>10.743827160493879</v>
      </c>
      <c r="M41">
        <f t="shared" si="3"/>
        <v>5.1882716049383077</v>
      </c>
      <c r="N41">
        <v>50</v>
      </c>
      <c r="P41">
        <v>70</v>
      </c>
      <c r="Q41">
        <v>85</v>
      </c>
      <c r="R41">
        <v>75</v>
      </c>
      <c r="S41">
        <v>60</v>
      </c>
      <c r="T41">
        <v>70</v>
      </c>
      <c r="U41">
        <v>85</v>
      </c>
      <c r="V41">
        <v>75</v>
      </c>
      <c r="W41">
        <v>80</v>
      </c>
      <c r="X41">
        <v>60</v>
      </c>
      <c r="Y41">
        <v>80</v>
      </c>
      <c r="Z41">
        <v>90</v>
      </c>
      <c r="AA41">
        <v>75</v>
      </c>
      <c r="AB41">
        <v>75</v>
      </c>
      <c r="AC41">
        <v>75</v>
      </c>
      <c r="AD41">
        <v>90</v>
      </c>
      <c r="AE41">
        <v>75</v>
      </c>
      <c r="AF41">
        <v>75</v>
      </c>
      <c r="AG41">
        <f t="shared" si="4"/>
        <v>70</v>
      </c>
      <c r="AH41">
        <f t="shared" si="5"/>
        <v>73.333333333333329</v>
      </c>
      <c r="AI41">
        <f t="shared" si="6"/>
        <v>80</v>
      </c>
      <c r="AJ41">
        <f t="shared" si="7"/>
        <v>75</v>
      </c>
      <c r="AK41">
        <f t="shared" si="8"/>
        <v>71.666666666666671</v>
      </c>
      <c r="AL41">
        <f t="shared" si="9"/>
        <v>78.333333333333329</v>
      </c>
      <c r="AM41">
        <f t="shared" si="10"/>
        <v>73.8888888888889</v>
      </c>
      <c r="AN41">
        <f t="shared" si="11"/>
        <v>74.722222222222214</v>
      </c>
    </row>
    <row r="42" spans="1:40" x14ac:dyDescent="0.3">
      <c r="A42" t="s">
        <v>138</v>
      </c>
      <c r="B42" t="s">
        <v>139</v>
      </c>
      <c r="C42">
        <v>78</v>
      </c>
      <c r="D42" t="s">
        <v>22</v>
      </c>
      <c r="E42">
        <v>77</v>
      </c>
      <c r="F42" t="s">
        <v>22</v>
      </c>
      <c r="G42">
        <v>76</v>
      </c>
      <c r="H42" t="s">
        <v>22</v>
      </c>
      <c r="I42">
        <f t="shared" si="0"/>
        <v>77</v>
      </c>
      <c r="K42">
        <f t="shared" si="1"/>
        <v>0.24999999999998579</v>
      </c>
      <c r="L42">
        <f t="shared" si="2"/>
        <v>0.25000000000001421</v>
      </c>
      <c r="M42">
        <f t="shared" si="3"/>
        <v>2.2500000000000426</v>
      </c>
      <c r="N42">
        <v>85</v>
      </c>
      <c r="P42">
        <v>75</v>
      </c>
      <c r="Q42">
        <v>65</v>
      </c>
      <c r="R42">
        <v>95</v>
      </c>
      <c r="S42">
        <v>70</v>
      </c>
      <c r="T42">
        <v>80</v>
      </c>
      <c r="U42">
        <v>85</v>
      </c>
      <c r="V42">
        <v>70</v>
      </c>
      <c r="W42">
        <v>65</v>
      </c>
      <c r="X42">
        <v>90</v>
      </c>
      <c r="Y42">
        <v>75</v>
      </c>
      <c r="Z42">
        <v>80</v>
      </c>
      <c r="AA42">
        <v>75</v>
      </c>
      <c r="AB42">
        <v>80</v>
      </c>
      <c r="AC42">
        <v>60</v>
      </c>
      <c r="AD42">
        <v>90</v>
      </c>
      <c r="AE42">
        <v>85</v>
      </c>
      <c r="AF42">
        <v>70</v>
      </c>
      <c r="AG42">
        <f t="shared" si="4"/>
        <v>81.666666666666671</v>
      </c>
      <c r="AH42">
        <f t="shared" si="5"/>
        <v>75</v>
      </c>
      <c r="AI42">
        <f t="shared" si="6"/>
        <v>63.333333333333336</v>
      </c>
      <c r="AJ42">
        <f t="shared" si="7"/>
        <v>91.666666666666671</v>
      </c>
      <c r="AK42">
        <f t="shared" si="8"/>
        <v>76.666666666666671</v>
      </c>
      <c r="AL42">
        <f t="shared" si="9"/>
        <v>76.666666666666671</v>
      </c>
      <c r="AM42">
        <f t="shared" si="10"/>
        <v>73.8888888888889</v>
      </c>
      <c r="AN42">
        <f t="shared" si="11"/>
        <v>77.500000000000014</v>
      </c>
    </row>
    <row r="43" spans="1:40" x14ac:dyDescent="0.3">
      <c r="A43" t="s">
        <v>138</v>
      </c>
      <c r="B43" t="s">
        <v>139</v>
      </c>
      <c r="C43">
        <v>76</v>
      </c>
      <c r="D43" t="s">
        <v>22</v>
      </c>
      <c r="E43">
        <v>40</v>
      </c>
      <c r="F43" t="s">
        <v>71</v>
      </c>
      <c r="G43">
        <v>75</v>
      </c>
      <c r="H43" t="s">
        <v>22</v>
      </c>
      <c r="I43">
        <f t="shared" si="0"/>
        <v>63.666666666666664</v>
      </c>
      <c r="K43">
        <f t="shared" si="1"/>
        <v>146.6790123456791</v>
      </c>
      <c r="L43">
        <f t="shared" si="2"/>
        <v>570.67901234567887</v>
      </c>
      <c r="M43">
        <f t="shared" si="3"/>
        <v>123.45679012345686</v>
      </c>
      <c r="N43">
        <v>85</v>
      </c>
      <c r="P43">
        <v>90</v>
      </c>
      <c r="Q43">
        <v>70</v>
      </c>
      <c r="R43">
        <v>60</v>
      </c>
      <c r="S43">
        <v>75</v>
      </c>
      <c r="T43">
        <v>80</v>
      </c>
      <c r="U43">
        <v>35</v>
      </c>
      <c r="V43">
        <v>45</v>
      </c>
      <c r="W43">
        <v>60</v>
      </c>
      <c r="X43">
        <v>20</v>
      </c>
      <c r="Y43">
        <v>70</v>
      </c>
      <c r="Z43">
        <v>10</v>
      </c>
      <c r="AA43">
        <v>75</v>
      </c>
      <c r="AB43">
        <v>75</v>
      </c>
      <c r="AC43">
        <v>75</v>
      </c>
      <c r="AD43">
        <v>75</v>
      </c>
      <c r="AE43">
        <v>75</v>
      </c>
      <c r="AF43">
        <v>75</v>
      </c>
      <c r="AG43">
        <f t="shared" si="4"/>
        <v>65</v>
      </c>
      <c r="AH43">
        <f t="shared" si="5"/>
        <v>70</v>
      </c>
      <c r="AI43">
        <f t="shared" si="6"/>
        <v>68.333333333333329</v>
      </c>
      <c r="AJ43">
        <f t="shared" si="7"/>
        <v>51.666666666666664</v>
      </c>
      <c r="AK43">
        <f t="shared" si="8"/>
        <v>73.333333333333329</v>
      </c>
      <c r="AL43">
        <f t="shared" si="9"/>
        <v>55</v>
      </c>
      <c r="AM43">
        <f t="shared" si="10"/>
        <v>68.888888888888872</v>
      </c>
      <c r="AN43">
        <f t="shared" si="11"/>
        <v>63.888888888888886</v>
      </c>
    </row>
    <row r="44" spans="1:40" x14ac:dyDescent="0.3">
      <c r="A44" t="s">
        <v>138</v>
      </c>
      <c r="B44" t="s">
        <v>139</v>
      </c>
      <c r="C44">
        <v>76</v>
      </c>
      <c r="D44" t="s">
        <v>22</v>
      </c>
      <c r="E44">
        <v>58</v>
      </c>
      <c r="F44" t="s">
        <v>71</v>
      </c>
      <c r="G44">
        <v>65</v>
      </c>
      <c r="H44" t="s">
        <v>28</v>
      </c>
      <c r="I44">
        <f t="shared" si="0"/>
        <v>66.333333333333329</v>
      </c>
      <c r="K44">
        <f t="shared" si="1"/>
        <v>87.111111111111029</v>
      </c>
      <c r="L44">
        <f t="shared" si="2"/>
        <v>75.1111111111112</v>
      </c>
      <c r="M44">
        <f t="shared" si="3"/>
        <v>2.7777777777777937</v>
      </c>
      <c r="N44">
        <v>85</v>
      </c>
      <c r="P44">
        <v>75</v>
      </c>
      <c r="Q44">
        <v>80</v>
      </c>
      <c r="R44">
        <v>60</v>
      </c>
      <c r="S44">
        <v>70</v>
      </c>
      <c r="T44">
        <v>90</v>
      </c>
      <c r="U44">
        <v>60</v>
      </c>
      <c r="V44">
        <v>75</v>
      </c>
      <c r="W44">
        <v>65</v>
      </c>
      <c r="X44">
        <v>40</v>
      </c>
      <c r="Y44">
        <v>80</v>
      </c>
      <c r="Z44">
        <v>30</v>
      </c>
      <c r="AA44">
        <v>75</v>
      </c>
      <c r="AB44">
        <v>80</v>
      </c>
      <c r="AC44">
        <v>65</v>
      </c>
      <c r="AD44">
        <v>40</v>
      </c>
      <c r="AE44">
        <v>70</v>
      </c>
      <c r="AF44">
        <v>60</v>
      </c>
      <c r="AG44">
        <f t="shared" si="4"/>
        <v>73.333333333333329</v>
      </c>
      <c r="AH44">
        <f t="shared" si="5"/>
        <v>76.666666666666671</v>
      </c>
      <c r="AI44">
        <f t="shared" si="6"/>
        <v>70</v>
      </c>
      <c r="AJ44">
        <f t="shared" si="7"/>
        <v>46.666666666666664</v>
      </c>
      <c r="AK44">
        <f t="shared" si="8"/>
        <v>73.333333333333329</v>
      </c>
      <c r="AL44">
        <f t="shared" si="9"/>
        <v>60</v>
      </c>
      <c r="AM44">
        <f t="shared" si="10"/>
        <v>72.222222222222214</v>
      </c>
      <c r="AN44">
        <f t="shared" si="11"/>
        <v>66.666666666666671</v>
      </c>
    </row>
    <row r="45" spans="1:40" x14ac:dyDescent="0.3">
      <c r="A45" t="s">
        <v>138</v>
      </c>
      <c r="B45" t="s">
        <v>139</v>
      </c>
      <c r="C45">
        <v>71</v>
      </c>
      <c r="D45" t="s">
        <v>28</v>
      </c>
      <c r="E45">
        <v>58</v>
      </c>
      <c r="F45" t="s">
        <v>71</v>
      </c>
      <c r="G45">
        <v>65</v>
      </c>
      <c r="H45" t="s">
        <v>28</v>
      </c>
      <c r="I45">
        <f t="shared" si="0"/>
        <v>64.666666666666671</v>
      </c>
      <c r="K45">
        <f t="shared" si="1"/>
        <v>32.743827160493737</v>
      </c>
      <c r="L45">
        <f t="shared" si="2"/>
        <v>52.966049382716164</v>
      </c>
      <c r="M45">
        <f t="shared" si="3"/>
        <v>7.7160493827164875E-2</v>
      </c>
      <c r="N45">
        <v>70</v>
      </c>
      <c r="P45">
        <v>65</v>
      </c>
      <c r="Q45">
        <v>80</v>
      </c>
      <c r="R45">
        <v>50</v>
      </c>
      <c r="S45">
        <v>90</v>
      </c>
      <c r="T45">
        <v>75</v>
      </c>
      <c r="U45">
        <v>75</v>
      </c>
      <c r="V45">
        <v>80</v>
      </c>
      <c r="W45">
        <v>60</v>
      </c>
      <c r="X45">
        <v>30</v>
      </c>
      <c r="Y45">
        <v>65</v>
      </c>
      <c r="Z45">
        <v>40</v>
      </c>
      <c r="AA45">
        <v>75</v>
      </c>
      <c r="AB45">
        <v>80</v>
      </c>
      <c r="AC45">
        <v>60</v>
      </c>
      <c r="AD45">
        <v>40</v>
      </c>
      <c r="AE45">
        <v>70</v>
      </c>
      <c r="AF45">
        <v>70</v>
      </c>
      <c r="AG45">
        <f t="shared" si="4"/>
        <v>73.333333333333329</v>
      </c>
      <c r="AH45">
        <f t="shared" si="5"/>
        <v>75</v>
      </c>
      <c r="AI45">
        <f t="shared" si="6"/>
        <v>66.666666666666671</v>
      </c>
      <c r="AJ45">
        <f t="shared" si="7"/>
        <v>40</v>
      </c>
      <c r="AK45">
        <f t="shared" si="8"/>
        <v>75</v>
      </c>
      <c r="AL45">
        <f t="shared" si="9"/>
        <v>61.666666666666664</v>
      </c>
      <c r="AM45">
        <f t="shared" si="10"/>
        <v>71.666666666666671</v>
      </c>
      <c r="AN45">
        <f t="shared" si="11"/>
        <v>65.277777777777786</v>
      </c>
    </row>
    <row r="46" spans="1:40" x14ac:dyDescent="0.3">
      <c r="A46" t="s">
        <v>150</v>
      </c>
      <c r="B46" t="s">
        <v>151</v>
      </c>
      <c r="C46">
        <v>76</v>
      </c>
      <c r="D46" t="s">
        <v>22</v>
      </c>
      <c r="E46">
        <v>76</v>
      </c>
      <c r="F46" t="s">
        <v>22</v>
      </c>
      <c r="G46">
        <v>80</v>
      </c>
      <c r="H46" t="s">
        <v>22</v>
      </c>
      <c r="I46">
        <f t="shared" si="0"/>
        <v>77.333333333333329</v>
      </c>
      <c r="K46">
        <f t="shared" si="1"/>
        <v>4.2253086419753147</v>
      </c>
      <c r="L46">
        <f t="shared" si="2"/>
        <v>4.2253086419753147</v>
      </c>
      <c r="M46">
        <f t="shared" si="3"/>
        <v>3.7808641975308581</v>
      </c>
      <c r="N46">
        <v>90</v>
      </c>
      <c r="P46">
        <v>85</v>
      </c>
      <c r="Q46">
        <v>75</v>
      </c>
      <c r="R46">
        <v>60</v>
      </c>
      <c r="S46">
        <v>70</v>
      </c>
      <c r="T46">
        <v>80</v>
      </c>
      <c r="U46">
        <v>85</v>
      </c>
      <c r="V46">
        <v>90</v>
      </c>
      <c r="W46">
        <v>70</v>
      </c>
      <c r="X46">
        <v>60</v>
      </c>
      <c r="Y46">
        <v>80</v>
      </c>
      <c r="Z46">
        <v>75</v>
      </c>
      <c r="AA46">
        <v>90</v>
      </c>
      <c r="AB46">
        <v>85</v>
      </c>
      <c r="AC46">
        <v>75</v>
      </c>
      <c r="AD46">
        <v>60</v>
      </c>
      <c r="AE46">
        <v>80</v>
      </c>
      <c r="AF46">
        <v>95</v>
      </c>
      <c r="AG46">
        <f t="shared" si="4"/>
        <v>88.333333333333329</v>
      </c>
      <c r="AH46">
        <f t="shared" si="5"/>
        <v>86.666666666666671</v>
      </c>
      <c r="AI46">
        <f t="shared" si="6"/>
        <v>73.333333333333329</v>
      </c>
      <c r="AJ46">
        <f t="shared" si="7"/>
        <v>60</v>
      </c>
      <c r="AK46">
        <f t="shared" si="8"/>
        <v>76.666666666666671</v>
      </c>
      <c r="AL46">
        <f t="shared" si="9"/>
        <v>83.333333333333329</v>
      </c>
      <c r="AM46">
        <f t="shared" si="10"/>
        <v>79.444444444444443</v>
      </c>
      <c r="AN46">
        <f t="shared" si="11"/>
        <v>78.055555555555557</v>
      </c>
    </row>
    <row r="47" spans="1:40" x14ac:dyDescent="0.3">
      <c r="A47" t="s">
        <v>150</v>
      </c>
      <c r="B47" t="s">
        <v>151</v>
      </c>
      <c r="C47">
        <v>77</v>
      </c>
      <c r="D47" t="s">
        <v>22</v>
      </c>
      <c r="E47">
        <v>69</v>
      </c>
      <c r="F47" t="s">
        <v>28</v>
      </c>
      <c r="G47">
        <v>78</v>
      </c>
      <c r="H47" t="s">
        <v>22</v>
      </c>
      <c r="I47">
        <f t="shared" si="0"/>
        <v>74.666666666666671</v>
      </c>
      <c r="K47">
        <f t="shared" si="1"/>
        <v>4</v>
      </c>
      <c r="L47">
        <f t="shared" si="2"/>
        <v>36</v>
      </c>
      <c r="M47">
        <f t="shared" si="3"/>
        <v>9</v>
      </c>
      <c r="N47">
        <v>85</v>
      </c>
      <c r="P47">
        <v>90</v>
      </c>
      <c r="Q47">
        <v>70</v>
      </c>
      <c r="R47">
        <v>60</v>
      </c>
      <c r="S47">
        <v>80</v>
      </c>
      <c r="T47">
        <v>80</v>
      </c>
      <c r="U47">
        <v>75</v>
      </c>
      <c r="V47">
        <v>80</v>
      </c>
      <c r="W47">
        <v>60</v>
      </c>
      <c r="X47">
        <v>50</v>
      </c>
      <c r="Y47">
        <v>60</v>
      </c>
      <c r="Z47">
        <v>90</v>
      </c>
      <c r="AA47">
        <v>85</v>
      </c>
      <c r="AB47">
        <v>90</v>
      </c>
      <c r="AC47">
        <v>75</v>
      </c>
      <c r="AD47">
        <v>60</v>
      </c>
      <c r="AE47">
        <v>80</v>
      </c>
      <c r="AF47">
        <v>80</v>
      </c>
      <c r="AG47">
        <f t="shared" si="4"/>
        <v>81.666666666666671</v>
      </c>
      <c r="AH47">
        <f t="shared" si="5"/>
        <v>86.666666666666671</v>
      </c>
      <c r="AI47">
        <f t="shared" si="6"/>
        <v>68.333333333333329</v>
      </c>
      <c r="AJ47">
        <f t="shared" si="7"/>
        <v>56.666666666666664</v>
      </c>
      <c r="AK47">
        <f t="shared" si="8"/>
        <v>73.333333333333329</v>
      </c>
      <c r="AL47">
        <f t="shared" si="9"/>
        <v>83.333333333333329</v>
      </c>
      <c r="AM47">
        <f t="shared" si="10"/>
        <v>74.444444444444443</v>
      </c>
      <c r="AN47">
        <f t="shared" si="11"/>
        <v>75</v>
      </c>
    </row>
    <row r="48" spans="1:40" x14ac:dyDescent="0.3">
      <c r="A48" t="s">
        <v>150</v>
      </c>
      <c r="B48" t="s">
        <v>151</v>
      </c>
      <c r="C48">
        <v>74</v>
      </c>
      <c r="D48" t="s">
        <v>28</v>
      </c>
      <c r="E48">
        <v>76</v>
      </c>
      <c r="F48" t="s">
        <v>22</v>
      </c>
      <c r="G48">
        <v>76</v>
      </c>
      <c r="H48" t="s">
        <v>22</v>
      </c>
      <c r="I48">
        <f t="shared" si="0"/>
        <v>75.333333333333329</v>
      </c>
      <c r="K48">
        <f t="shared" si="1"/>
        <v>3.3611111111110938</v>
      </c>
      <c r="L48">
        <f t="shared" si="2"/>
        <v>2.7777777777779358E-2</v>
      </c>
      <c r="M48">
        <f t="shared" si="3"/>
        <v>2.7777777777779358E-2</v>
      </c>
      <c r="N48">
        <v>75</v>
      </c>
      <c r="P48">
        <v>75</v>
      </c>
      <c r="Q48">
        <v>75</v>
      </c>
      <c r="R48">
        <v>70</v>
      </c>
      <c r="S48">
        <v>75</v>
      </c>
      <c r="T48">
        <v>75</v>
      </c>
      <c r="U48">
        <v>85</v>
      </c>
      <c r="V48">
        <v>90</v>
      </c>
      <c r="W48">
        <v>75</v>
      </c>
      <c r="X48">
        <v>60</v>
      </c>
      <c r="Y48">
        <v>70</v>
      </c>
      <c r="Z48">
        <v>80</v>
      </c>
      <c r="AA48">
        <v>85</v>
      </c>
      <c r="AB48">
        <v>90</v>
      </c>
      <c r="AC48">
        <v>75</v>
      </c>
      <c r="AD48">
        <v>60</v>
      </c>
      <c r="AE48">
        <v>80</v>
      </c>
      <c r="AF48">
        <v>70</v>
      </c>
      <c r="AG48">
        <f t="shared" si="4"/>
        <v>81.666666666666671</v>
      </c>
      <c r="AH48">
        <f t="shared" si="5"/>
        <v>85</v>
      </c>
      <c r="AI48">
        <f t="shared" si="6"/>
        <v>75</v>
      </c>
      <c r="AJ48">
        <f t="shared" si="7"/>
        <v>63.333333333333336</v>
      </c>
      <c r="AK48">
        <f t="shared" si="8"/>
        <v>75</v>
      </c>
      <c r="AL48">
        <f t="shared" si="9"/>
        <v>75</v>
      </c>
      <c r="AM48">
        <f t="shared" si="10"/>
        <v>77.222222222222229</v>
      </c>
      <c r="AN48">
        <f t="shared" si="11"/>
        <v>75.833333333333329</v>
      </c>
    </row>
    <row r="49" spans="1:40" x14ac:dyDescent="0.3">
      <c r="A49" t="s">
        <v>150</v>
      </c>
      <c r="B49" t="s">
        <v>151</v>
      </c>
      <c r="C49">
        <v>88</v>
      </c>
      <c r="D49" t="s">
        <v>22</v>
      </c>
      <c r="E49">
        <v>76</v>
      </c>
      <c r="F49" t="s">
        <v>22</v>
      </c>
      <c r="G49">
        <v>75</v>
      </c>
      <c r="H49" t="s">
        <v>22</v>
      </c>
      <c r="I49">
        <f t="shared" si="0"/>
        <v>79.666666666666671</v>
      </c>
      <c r="K49">
        <f t="shared" si="1"/>
        <v>64</v>
      </c>
      <c r="L49">
        <f t="shared" si="2"/>
        <v>16</v>
      </c>
      <c r="M49">
        <f t="shared" si="3"/>
        <v>25</v>
      </c>
      <c r="N49">
        <v>95</v>
      </c>
      <c r="P49">
        <v>95</v>
      </c>
      <c r="Q49">
        <v>85</v>
      </c>
      <c r="R49">
        <v>70</v>
      </c>
      <c r="S49">
        <v>90</v>
      </c>
      <c r="T49">
        <v>95</v>
      </c>
      <c r="U49">
        <v>85</v>
      </c>
      <c r="V49">
        <v>70</v>
      </c>
      <c r="W49">
        <v>80</v>
      </c>
      <c r="X49">
        <v>65</v>
      </c>
      <c r="Y49">
        <v>70</v>
      </c>
      <c r="Z49">
        <v>90</v>
      </c>
      <c r="AA49">
        <v>75</v>
      </c>
      <c r="AB49">
        <v>75</v>
      </c>
      <c r="AC49">
        <v>75</v>
      </c>
      <c r="AD49">
        <v>75</v>
      </c>
      <c r="AE49">
        <v>75</v>
      </c>
      <c r="AF49">
        <v>75</v>
      </c>
      <c r="AG49">
        <f t="shared" si="4"/>
        <v>85</v>
      </c>
      <c r="AH49">
        <f t="shared" si="5"/>
        <v>80</v>
      </c>
      <c r="AI49">
        <f t="shared" si="6"/>
        <v>80</v>
      </c>
      <c r="AJ49">
        <f t="shared" si="7"/>
        <v>70</v>
      </c>
      <c r="AK49">
        <f t="shared" si="8"/>
        <v>78.333333333333329</v>
      </c>
      <c r="AL49">
        <f t="shared" si="9"/>
        <v>86.666666666666671</v>
      </c>
      <c r="AM49">
        <f t="shared" si="10"/>
        <v>81.1111111111111</v>
      </c>
      <c r="AN49">
        <f t="shared" si="11"/>
        <v>80</v>
      </c>
    </row>
    <row r="50" spans="1:40" x14ac:dyDescent="0.3">
      <c r="A50" t="s">
        <v>161</v>
      </c>
      <c r="B50" t="s">
        <v>162</v>
      </c>
      <c r="C50">
        <v>80</v>
      </c>
      <c r="D50" t="s">
        <v>22</v>
      </c>
      <c r="E50">
        <v>80</v>
      </c>
      <c r="F50" t="s">
        <v>22</v>
      </c>
      <c r="G50">
        <v>80</v>
      </c>
      <c r="H50" t="s">
        <v>22</v>
      </c>
      <c r="I50">
        <f t="shared" si="0"/>
        <v>80</v>
      </c>
      <c r="K50">
        <f t="shared" si="1"/>
        <v>0.30864197530864373</v>
      </c>
      <c r="L50">
        <f t="shared" si="2"/>
        <v>0.30864197530864373</v>
      </c>
      <c r="M50">
        <f t="shared" si="3"/>
        <v>0.30864197530864373</v>
      </c>
      <c r="N50">
        <v>70</v>
      </c>
      <c r="P50">
        <v>75</v>
      </c>
      <c r="Q50">
        <v>80</v>
      </c>
      <c r="R50">
        <v>95</v>
      </c>
      <c r="S50">
        <v>70</v>
      </c>
      <c r="T50">
        <v>95</v>
      </c>
      <c r="U50">
        <v>85</v>
      </c>
      <c r="V50">
        <v>90</v>
      </c>
      <c r="W50">
        <v>70</v>
      </c>
      <c r="X50">
        <v>60</v>
      </c>
      <c r="Y50">
        <v>80</v>
      </c>
      <c r="Z50">
        <v>95</v>
      </c>
      <c r="AA50">
        <v>85</v>
      </c>
      <c r="AB50">
        <v>70</v>
      </c>
      <c r="AC50">
        <v>65</v>
      </c>
      <c r="AD50">
        <v>90</v>
      </c>
      <c r="AE50">
        <v>80</v>
      </c>
      <c r="AF50">
        <v>95</v>
      </c>
      <c r="AG50">
        <f t="shared" si="4"/>
        <v>80</v>
      </c>
      <c r="AH50">
        <f t="shared" si="5"/>
        <v>78.333333333333329</v>
      </c>
      <c r="AI50">
        <f t="shared" si="6"/>
        <v>71.666666666666671</v>
      </c>
      <c r="AJ50">
        <f t="shared" si="7"/>
        <v>81.666666666666671</v>
      </c>
      <c r="AK50">
        <f t="shared" si="8"/>
        <v>76.666666666666671</v>
      </c>
      <c r="AL50">
        <f t="shared" si="9"/>
        <v>95</v>
      </c>
      <c r="AM50">
        <f t="shared" si="10"/>
        <v>76.111111111111128</v>
      </c>
      <c r="AN50">
        <f t="shared" si="11"/>
        <v>80.555555555555557</v>
      </c>
    </row>
    <row r="51" spans="1:40" x14ac:dyDescent="0.3">
      <c r="A51" t="s">
        <v>161</v>
      </c>
      <c r="B51" t="s">
        <v>162</v>
      </c>
      <c r="C51">
        <v>75</v>
      </c>
      <c r="D51" t="s">
        <v>22</v>
      </c>
      <c r="E51">
        <v>75</v>
      </c>
      <c r="F51" t="s">
        <v>22</v>
      </c>
      <c r="G51">
        <v>76</v>
      </c>
      <c r="H51" t="s">
        <v>22</v>
      </c>
      <c r="I51">
        <f t="shared" si="0"/>
        <v>75.333333333333329</v>
      </c>
      <c r="K51">
        <f t="shared" si="1"/>
        <v>0.30864197530864373</v>
      </c>
      <c r="L51">
        <f t="shared" si="2"/>
        <v>0.30864197530864373</v>
      </c>
      <c r="M51">
        <f t="shared" si="3"/>
        <v>0.19753086419752947</v>
      </c>
      <c r="N51">
        <v>75</v>
      </c>
      <c r="P51">
        <v>75</v>
      </c>
      <c r="Q51">
        <v>75</v>
      </c>
      <c r="R51">
        <v>75</v>
      </c>
      <c r="S51">
        <v>75</v>
      </c>
      <c r="T51">
        <v>75</v>
      </c>
      <c r="U51">
        <v>75</v>
      </c>
      <c r="V51">
        <v>75</v>
      </c>
      <c r="W51">
        <v>75</v>
      </c>
      <c r="X51">
        <v>75</v>
      </c>
      <c r="Y51">
        <v>75</v>
      </c>
      <c r="Z51">
        <v>75</v>
      </c>
      <c r="AA51">
        <v>75</v>
      </c>
      <c r="AB51">
        <v>80</v>
      </c>
      <c r="AC51">
        <v>65</v>
      </c>
      <c r="AD51">
        <v>80</v>
      </c>
      <c r="AE51">
        <v>70</v>
      </c>
      <c r="AF51">
        <v>90</v>
      </c>
      <c r="AG51">
        <f t="shared" si="4"/>
        <v>75</v>
      </c>
      <c r="AH51">
        <f t="shared" si="5"/>
        <v>76.666666666666671</v>
      </c>
      <c r="AI51">
        <f t="shared" si="6"/>
        <v>71.666666666666671</v>
      </c>
      <c r="AJ51">
        <f t="shared" si="7"/>
        <v>76.666666666666671</v>
      </c>
      <c r="AK51">
        <f t="shared" si="8"/>
        <v>73.333333333333329</v>
      </c>
      <c r="AL51">
        <f t="shared" si="9"/>
        <v>80</v>
      </c>
      <c r="AM51">
        <f t="shared" si="10"/>
        <v>73.333333333333329</v>
      </c>
      <c r="AN51">
        <f t="shared" si="11"/>
        <v>75.555555555555557</v>
      </c>
    </row>
    <row r="52" spans="1:40" x14ac:dyDescent="0.3">
      <c r="A52" t="s">
        <v>161</v>
      </c>
      <c r="B52" t="s">
        <v>162</v>
      </c>
      <c r="C52">
        <v>75</v>
      </c>
      <c r="D52" t="s">
        <v>22</v>
      </c>
      <c r="E52">
        <v>76</v>
      </c>
      <c r="F52" t="s">
        <v>22</v>
      </c>
      <c r="G52">
        <v>71</v>
      </c>
      <c r="H52" t="s">
        <v>28</v>
      </c>
      <c r="I52">
        <f t="shared" si="0"/>
        <v>74</v>
      </c>
      <c r="K52">
        <f t="shared" si="1"/>
        <v>0.30864197530864373</v>
      </c>
      <c r="L52">
        <f t="shared" si="2"/>
        <v>2.4197530864197581</v>
      </c>
      <c r="M52">
        <f t="shared" si="3"/>
        <v>11.864197530864187</v>
      </c>
      <c r="N52">
        <v>75</v>
      </c>
      <c r="P52">
        <v>85</v>
      </c>
      <c r="Q52">
        <v>65</v>
      </c>
      <c r="R52">
        <v>55</v>
      </c>
      <c r="S52">
        <v>90</v>
      </c>
      <c r="T52">
        <v>80</v>
      </c>
      <c r="U52">
        <v>85</v>
      </c>
      <c r="V52">
        <v>80</v>
      </c>
      <c r="W52">
        <v>70</v>
      </c>
      <c r="X52">
        <v>60</v>
      </c>
      <c r="Y52">
        <v>75</v>
      </c>
      <c r="Z52">
        <v>90</v>
      </c>
      <c r="AA52">
        <v>75</v>
      </c>
      <c r="AB52">
        <v>80</v>
      </c>
      <c r="AC52">
        <v>65</v>
      </c>
      <c r="AD52">
        <v>60</v>
      </c>
      <c r="AE52">
        <v>70</v>
      </c>
      <c r="AF52">
        <v>80</v>
      </c>
      <c r="AG52">
        <f t="shared" si="4"/>
        <v>78.333333333333329</v>
      </c>
      <c r="AH52">
        <f t="shared" si="5"/>
        <v>81.666666666666671</v>
      </c>
      <c r="AI52">
        <f t="shared" si="6"/>
        <v>66.666666666666671</v>
      </c>
      <c r="AJ52">
        <f t="shared" si="7"/>
        <v>58.333333333333336</v>
      </c>
      <c r="AK52">
        <f t="shared" si="8"/>
        <v>78.333333333333329</v>
      </c>
      <c r="AL52">
        <f t="shared" si="9"/>
        <v>83.333333333333329</v>
      </c>
      <c r="AM52">
        <f t="shared" si="10"/>
        <v>74.444444444444443</v>
      </c>
      <c r="AN52">
        <f t="shared" si="11"/>
        <v>74.444444444444443</v>
      </c>
    </row>
    <row r="53" spans="1:40" x14ac:dyDescent="0.3">
      <c r="A53" t="s">
        <v>161</v>
      </c>
      <c r="B53" t="s">
        <v>162</v>
      </c>
      <c r="C53">
        <v>81</v>
      </c>
      <c r="D53" t="s">
        <v>22</v>
      </c>
      <c r="E53">
        <v>76</v>
      </c>
      <c r="F53" t="s">
        <v>22</v>
      </c>
      <c r="G53">
        <v>79</v>
      </c>
      <c r="H53" t="s">
        <v>22</v>
      </c>
      <c r="I53">
        <f t="shared" si="0"/>
        <v>78.666666666666671</v>
      </c>
      <c r="K53">
        <f t="shared" si="1"/>
        <v>3.3611111111110938</v>
      </c>
      <c r="L53">
        <f t="shared" si="2"/>
        <v>10.027777777777807</v>
      </c>
      <c r="M53">
        <f t="shared" si="3"/>
        <v>2.7777777777779358E-2</v>
      </c>
      <c r="N53">
        <v>85</v>
      </c>
      <c r="P53">
        <v>90</v>
      </c>
      <c r="Q53">
        <v>75</v>
      </c>
      <c r="R53">
        <v>80</v>
      </c>
      <c r="S53">
        <v>70</v>
      </c>
      <c r="T53">
        <v>90</v>
      </c>
      <c r="U53">
        <v>85</v>
      </c>
      <c r="V53">
        <v>90</v>
      </c>
      <c r="W53">
        <v>75</v>
      </c>
      <c r="X53">
        <v>60</v>
      </c>
      <c r="Y53">
        <v>80</v>
      </c>
      <c r="Z53">
        <v>70</v>
      </c>
      <c r="AA53">
        <v>85</v>
      </c>
      <c r="AB53">
        <v>80</v>
      </c>
      <c r="AC53">
        <v>75</v>
      </c>
      <c r="AD53">
        <v>65</v>
      </c>
      <c r="AE53">
        <v>90</v>
      </c>
      <c r="AF53">
        <v>80</v>
      </c>
      <c r="AG53">
        <f t="shared" si="4"/>
        <v>85</v>
      </c>
      <c r="AH53">
        <f t="shared" si="5"/>
        <v>86.666666666666671</v>
      </c>
      <c r="AI53">
        <f t="shared" si="6"/>
        <v>75</v>
      </c>
      <c r="AJ53">
        <f t="shared" si="7"/>
        <v>68.333333333333329</v>
      </c>
      <c r="AK53">
        <f t="shared" si="8"/>
        <v>80</v>
      </c>
      <c r="AL53">
        <f t="shared" si="9"/>
        <v>80</v>
      </c>
      <c r="AM53">
        <f t="shared" si="10"/>
        <v>80</v>
      </c>
      <c r="AN53">
        <f t="shared" si="11"/>
        <v>79.166666666666671</v>
      </c>
    </row>
    <row r="54" spans="1:40" x14ac:dyDescent="0.3">
      <c r="A54" t="s">
        <v>174</v>
      </c>
      <c r="B54" t="s">
        <v>175</v>
      </c>
      <c r="C54">
        <v>75</v>
      </c>
      <c r="D54" t="s">
        <v>22</v>
      </c>
      <c r="E54">
        <v>76</v>
      </c>
      <c r="F54" t="s">
        <v>22</v>
      </c>
      <c r="G54">
        <v>68</v>
      </c>
      <c r="H54" t="s">
        <v>28</v>
      </c>
      <c r="I54">
        <f t="shared" si="0"/>
        <v>73</v>
      </c>
      <c r="K54">
        <f t="shared" si="1"/>
        <v>2.7777777777777461</v>
      </c>
      <c r="L54">
        <f t="shared" si="2"/>
        <v>7.111111111111061</v>
      </c>
      <c r="M54">
        <f t="shared" si="3"/>
        <v>28.444444444444546</v>
      </c>
      <c r="N54">
        <v>75</v>
      </c>
      <c r="P54">
        <v>80</v>
      </c>
      <c r="Q54">
        <v>65</v>
      </c>
      <c r="R54">
        <v>90</v>
      </c>
      <c r="S54">
        <v>80</v>
      </c>
      <c r="T54">
        <v>60</v>
      </c>
      <c r="U54">
        <v>75</v>
      </c>
      <c r="V54">
        <v>80</v>
      </c>
      <c r="W54">
        <v>70</v>
      </c>
      <c r="X54">
        <v>85</v>
      </c>
      <c r="Y54">
        <v>60</v>
      </c>
      <c r="Z54">
        <v>90</v>
      </c>
      <c r="AA54">
        <v>85</v>
      </c>
      <c r="AB54">
        <v>70</v>
      </c>
      <c r="AC54">
        <v>65</v>
      </c>
      <c r="AD54">
        <v>40</v>
      </c>
      <c r="AE54">
        <v>90</v>
      </c>
      <c r="AF54">
        <v>60</v>
      </c>
      <c r="AG54">
        <f t="shared" si="4"/>
        <v>78.333333333333329</v>
      </c>
      <c r="AH54">
        <f t="shared" si="5"/>
        <v>76.666666666666671</v>
      </c>
      <c r="AI54">
        <f t="shared" si="6"/>
        <v>66.666666666666671</v>
      </c>
      <c r="AJ54">
        <f t="shared" si="7"/>
        <v>71.666666666666671</v>
      </c>
      <c r="AK54">
        <f t="shared" si="8"/>
        <v>76.666666666666671</v>
      </c>
      <c r="AL54">
        <f t="shared" si="9"/>
        <v>70</v>
      </c>
      <c r="AM54">
        <f t="shared" si="10"/>
        <v>73.8888888888889</v>
      </c>
      <c r="AN54">
        <f t="shared" si="11"/>
        <v>73.333333333333343</v>
      </c>
    </row>
    <row r="55" spans="1:40" x14ac:dyDescent="0.3">
      <c r="A55" t="s">
        <v>174</v>
      </c>
      <c r="B55" t="s">
        <v>175</v>
      </c>
      <c r="C55">
        <v>75</v>
      </c>
      <c r="D55" t="s">
        <v>22</v>
      </c>
      <c r="E55">
        <v>84</v>
      </c>
      <c r="F55" t="s">
        <v>22</v>
      </c>
      <c r="G55">
        <v>67</v>
      </c>
      <c r="H55" t="s">
        <v>28</v>
      </c>
      <c r="I55">
        <f t="shared" si="0"/>
        <v>75.333333333333329</v>
      </c>
      <c r="K55">
        <f t="shared" si="1"/>
        <v>0.30864197530864373</v>
      </c>
      <c r="L55">
        <f t="shared" si="2"/>
        <v>71.308641975308618</v>
      </c>
      <c r="M55">
        <f t="shared" si="3"/>
        <v>73.19753086419756</v>
      </c>
      <c r="N55">
        <v>75</v>
      </c>
      <c r="P55">
        <v>75</v>
      </c>
      <c r="Q55">
        <v>75</v>
      </c>
      <c r="R55">
        <v>75</v>
      </c>
      <c r="S55">
        <v>75</v>
      </c>
      <c r="T55">
        <v>75</v>
      </c>
      <c r="U55">
        <v>70</v>
      </c>
      <c r="V55">
        <v>85</v>
      </c>
      <c r="W55">
        <v>90</v>
      </c>
      <c r="X55">
        <v>85</v>
      </c>
      <c r="Y55">
        <v>80</v>
      </c>
      <c r="Z55">
        <v>95</v>
      </c>
      <c r="AA55">
        <v>75</v>
      </c>
      <c r="AB55">
        <v>80</v>
      </c>
      <c r="AC55">
        <v>60</v>
      </c>
      <c r="AD55">
        <v>45</v>
      </c>
      <c r="AE55">
        <v>90</v>
      </c>
      <c r="AF55">
        <v>55</v>
      </c>
      <c r="AG55">
        <f t="shared" si="4"/>
        <v>73.333333333333329</v>
      </c>
      <c r="AH55">
        <f t="shared" si="5"/>
        <v>80</v>
      </c>
      <c r="AI55">
        <f t="shared" si="6"/>
        <v>75</v>
      </c>
      <c r="AJ55">
        <f t="shared" si="7"/>
        <v>68.333333333333329</v>
      </c>
      <c r="AK55">
        <f t="shared" si="8"/>
        <v>81.666666666666671</v>
      </c>
      <c r="AL55">
        <f t="shared" si="9"/>
        <v>75</v>
      </c>
      <c r="AM55">
        <f t="shared" si="10"/>
        <v>76.666666666666671</v>
      </c>
      <c r="AN55">
        <f t="shared" si="11"/>
        <v>75.555555555555557</v>
      </c>
    </row>
    <row r="56" spans="1:40" x14ac:dyDescent="0.3">
      <c r="A56" t="s">
        <v>174</v>
      </c>
      <c r="B56" t="s">
        <v>175</v>
      </c>
      <c r="C56">
        <v>75</v>
      </c>
      <c r="D56" t="s">
        <v>22</v>
      </c>
      <c r="E56">
        <v>53</v>
      </c>
      <c r="F56" t="s">
        <v>71</v>
      </c>
      <c r="G56">
        <v>74</v>
      </c>
      <c r="H56" t="s">
        <v>28</v>
      </c>
      <c r="I56">
        <f t="shared" si="0"/>
        <v>67.333333333333329</v>
      </c>
      <c r="K56">
        <f t="shared" si="1"/>
        <v>56.25</v>
      </c>
      <c r="L56">
        <f t="shared" si="2"/>
        <v>210.25</v>
      </c>
      <c r="M56">
        <f t="shared" si="3"/>
        <v>42.25</v>
      </c>
      <c r="N56">
        <v>85</v>
      </c>
      <c r="P56">
        <v>90</v>
      </c>
      <c r="Q56">
        <v>70</v>
      </c>
      <c r="R56">
        <v>60</v>
      </c>
      <c r="S56">
        <v>80</v>
      </c>
      <c r="T56">
        <v>65</v>
      </c>
      <c r="U56">
        <v>45</v>
      </c>
      <c r="V56">
        <v>65</v>
      </c>
      <c r="W56">
        <v>70</v>
      </c>
      <c r="X56">
        <v>20</v>
      </c>
      <c r="Y56">
        <v>35</v>
      </c>
      <c r="Z56">
        <v>85</v>
      </c>
      <c r="AA56">
        <v>75</v>
      </c>
      <c r="AB56">
        <v>75</v>
      </c>
      <c r="AC56">
        <v>75</v>
      </c>
      <c r="AD56">
        <v>70</v>
      </c>
      <c r="AE56">
        <v>75</v>
      </c>
      <c r="AF56">
        <v>75</v>
      </c>
      <c r="AG56">
        <f t="shared" si="4"/>
        <v>68.333333333333329</v>
      </c>
      <c r="AH56">
        <f t="shared" si="5"/>
        <v>76.666666666666671</v>
      </c>
      <c r="AI56">
        <f t="shared" si="6"/>
        <v>71.666666666666671</v>
      </c>
      <c r="AJ56">
        <f t="shared" si="7"/>
        <v>50</v>
      </c>
      <c r="AK56">
        <f t="shared" si="8"/>
        <v>63.333333333333336</v>
      </c>
      <c r="AL56">
        <f t="shared" si="9"/>
        <v>75</v>
      </c>
      <c r="AM56">
        <f t="shared" si="10"/>
        <v>67.777777777777786</v>
      </c>
      <c r="AN56">
        <f t="shared" si="11"/>
        <v>67.5</v>
      </c>
    </row>
    <row r="57" spans="1:40" x14ac:dyDescent="0.3">
      <c r="A57" t="s">
        <v>174</v>
      </c>
      <c r="B57" t="s">
        <v>175</v>
      </c>
      <c r="C57">
        <v>75</v>
      </c>
      <c r="D57" t="s">
        <v>22</v>
      </c>
      <c r="E57">
        <v>70</v>
      </c>
      <c r="F57" t="s">
        <v>28</v>
      </c>
      <c r="G57">
        <v>71</v>
      </c>
      <c r="H57" t="s">
        <v>28</v>
      </c>
      <c r="I57">
        <f t="shared" si="0"/>
        <v>72</v>
      </c>
      <c r="K57">
        <f t="shared" si="1"/>
        <v>6.2499999999999289</v>
      </c>
      <c r="L57">
        <f t="shared" si="2"/>
        <v>6.2500000000000711</v>
      </c>
      <c r="M57">
        <f t="shared" si="3"/>
        <v>2.2500000000000426</v>
      </c>
      <c r="N57">
        <v>75</v>
      </c>
      <c r="P57">
        <v>75</v>
      </c>
      <c r="Q57">
        <v>75</v>
      </c>
      <c r="R57">
        <v>75</v>
      </c>
      <c r="S57">
        <v>75</v>
      </c>
      <c r="T57">
        <v>75</v>
      </c>
      <c r="U57">
        <v>70</v>
      </c>
      <c r="V57">
        <v>85</v>
      </c>
      <c r="W57">
        <v>65</v>
      </c>
      <c r="X57">
        <v>50</v>
      </c>
      <c r="Y57">
        <v>75</v>
      </c>
      <c r="Z57">
        <v>80</v>
      </c>
      <c r="AA57">
        <v>85</v>
      </c>
      <c r="AB57">
        <v>70</v>
      </c>
      <c r="AC57">
        <v>65</v>
      </c>
      <c r="AD57">
        <v>40</v>
      </c>
      <c r="AE57">
        <v>80</v>
      </c>
      <c r="AF57">
        <v>90</v>
      </c>
      <c r="AG57">
        <f t="shared" si="4"/>
        <v>76.666666666666671</v>
      </c>
      <c r="AH57">
        <f t="shared" si="5"/>
        <v>76.666666666666671</v>
      </c>
      <c r="AI57">
        <f t="shared" si="6"/>
        <v>68.333333333333329</v>
      </c>
      <c r="AJ57">
        <f t="shared" si="7"/>
        <v>55</v>
      </c>
      <c r="AK57">
        <f t="shared" si="8"/>
        <v>76.666666666666671</v>
      </c>
      <c r="AL57">
        <f t="shared" si="9"/>
        <v>81.666666666666671</v>
      </c>
      <c r="AM57">
        <f t="shared" si="10"/>
        <v>73.8888888888889</v>
      </c>
      <c r="AN57">
        <f t="shared" si="11"/>
        <v>72.500000000000014</v>
      </c>
    </row>
    <row r="58" spans="1:40" x14ac:dyDescent="0.3">
      <c r="A58" t="s">
        <v>185</v>
      </c>
      <c r="B58" t="s">
        <v>186</v>
      </c>
      <c r="C58">
        <v>71</v>
      </c>
      <c r="D58" t="s">
        <v>28</v>
      </c>
      <c r="E58">
        <v>76</v>
      </c>
      <c r="F58" t="s">
        <v>22</v>
      </c>
      <c r="G58">
        <v>67</v>
      </c>
      <c r="H58" t="s">
        <v>28</v>
      </c>
      <c r="I58">
        <f t="shared" si="0"/>
        <v>71.333333333333329</v>
      </c>
      <c r="K58">
        <f t="shared" si="1"/>
        <v>0.89197530864197228</v>
      </c>
      <c r="L58">
        <f t="shared" si="2"/>
        <v>16.447530864197542</v>
      </c>
      <c r="M58">
        <f t="shared" si="3"/>
        <v>24.447530864197514</v>
      </c>
      <c r="N58">
        <v>75</v>
      </c>
      <c r="P58">
        <v>80</v>
      </c>
      <c r="Q58">
        <v>80</v>
      </c>
      <c r="R58">
        <v>60</v>
      </c>
      <c r="S58">
        <v>70</v>
      </c>
      <c r="T58">
        <v>65</v>
      </c>
      <c r="U58">
        <v>85</v>
      </c>
      <c r="V58">
        <v>90</v>
      </c>
      <c r="W58">
        <v>70</v>
      </c>
      <c r="X58">
        <v>60</v>
      </c>
      <c r="Y58">
        <v>80</v>
      </c>
      <c r="Z58">
        <v>75</v>
      </c>
      <c r="AA58">
        <v>75</v>
      </c>
      <c r="AB58">
        <v>80</v>
      </c>
      <c r="AC58">
        <v>80</v>
      </c>
      <c r="AD58">
        <v>40</v>
      </c>
      <c r="AE58">
        <v>60</v>
      </c>
      <c r="AF58">
        <v>70</v>
      </c>
      <c r="AG58">
        <f t="shared" si="4"/>
        <v>78.333333333333329</v>
      </c>
      <c r="AH58">
        <f t="shared" si="5"/>
        <v>83.333333333333329</v>
      </c>
      <c r="AI58">
        <f t="shared" si="6"/>
        <v>76.666666666666671</v>
      </c>
      <c r="AJ58">
        <f t="shared" si="7"/>
        <v>53.333333333333336</v>
      </c>
      <c r="AK58">
        <f t="shared" si="8"/>
        <v>70</v>
      </c>
      <c r="AL58">
        <f t="shared" si="9"/>
        <v>70</v>
      </c>
      <c r="AM58">
        <f t="shared" si="10"/>
        <v>75</v>
      </c>
      <c r="AN58">
        <f t="shared" si="11"/>
        <v>71.944444444444443</v>
      </c>
    </row>
    <row r="59" spans="1:40" x14ac:dyDescent="0.3">
      <c r="A59" t="s">
        <v>185</v>
      </c>
      <c r="B59" t="s">
        <v>186</v>
      </c>
      <c r="C59">
        <v>68</v>
      </c>
      <c r="D59" t="s">
        <v>28</v>
      </c>
      <c r="E59">
        <v>70</v>
      </c>
      <c r="F59" t="s">
        <v>28</v>
      </c>
      <c r="G59">
        <v>63</v>
      </c>
      <c r="H59" t="s">
        <v>28</v>
      </c>
      <c r="I59">
        <f t="shared" si="0"/>
        <v>67</v>
      </c>
      <c r="K59">
        <f t="shared" si="1"/>
        <v>0.60493827160492841</v>
      </c>
      <c r="L59">
        <f t="shared" si="2"/>
        <v>7.7160493827160144</v>
      </c>
      <c r="M59">
        <f t="shared" si="3"/>
        <v>17.827160493827215</v>
      </c>
      <c r="N59">
        <v>65</v>
      </c>
      <c r="P59">
        <v>80</v>
      </c>
      <c r="Q59">
        <v>75</v>
      </c>
      <c r="R59">
        <v>40</v>
      </c>
      <c r="S59">
        <v>90</v>
      </c>
      <c r="T59">
        <v>60</v>
      </c>
      <c r="U59">
        <v>85</v>
      </c>
      <c r="V59">
        <v>70</v>
      </c>
      <c r="W59">
        <v>60</v>
      </c>
      <c r="X59">
        <v>40</v>
      </c>
      <c r="Y59">
        <v>90</v>
      </c>
      <c r="Z59">
        <v>75</v>
      </c>
      <c r="AA59">
        <v>75</v>
      </c>
      <c r="AB59">
        <v>80</v>
      </c>
      <c r="AC59">
        <v>60</v>
      </c>
      <c r="AD59">
        <v>40</v>
      </c>
      <c r="AE59">
        <v>65</v>
      </c>
      <c r="AF59">
        <v>60</v>
      </c>
      <c r="AG59">
        <f t="shared" si="4"/>
        <v>75</v>
      </c>
      <c r="AH59">
        <f t="shared" si="5"/>
        <v>76.666666666666671</v>
      </c>
      <c r="AI59">
        <f t="shared" si="6"/>
        <v>65</v>
      </c>
      <c r="AJ59">
        <f t="shared" si="7"/>
        <v>40</v>
      </c>
      <c r="AK59">
        <f t="shared" si="8"/>
        <v>81.666666666666671</v>
      </c>
      <c r="AL59">
        <f t="shared" si="9"/>
        <v>65</v>
      </c>
      <c r="AM59">
        <f t="shared" si="10"/>
        <v>73.8888888888889</v>
      </c>
      <c r="AN59">
        <f t="shared" si="11"/>
        <v>67.222222222222229</v>
      </c>
    </row>
    <row r="60" spans="1:40" x14ac:dyDescent="0.3">
      <c r="A60" t="s">
        <v>185</v>
      </c>
      <c r="B60" t="s">
        <v>186</v>
      </c>
      <c r="C60">
        <v>73</v>
      </c>
      <c r="D60" t="s">
        <v>28</v>
      </c>
      <c r="E60">
        <v>76</v>
      </c>
      <c r="F60" t="s">
        <v>22</v>
      </c>
      <c r="G60">
        <v>76</v>
      </c>
      <c r="H60" t="s">
        <v>22</v>
      </c>
      <c r="I60">
        <f t="shared" si="0"/>
        <v>75</v>
      </c>
      <c r="K60">
        <f t="shared" si="1"/>
        <v>6.5308641975308719</v>
      </c>
      <c r="L60">
        <f t="shared" si="2"/>
        <v>0.19753086419752947</v>
      </c>
      <c r="M60">
        <f t="shared" si="3"/>
        <v>0.19753086419752947</v>
      </c>
      <c r="N60">
        <v>75</v>
      </c>
      <c r="P60">
        <v>75</v>
      </c>
      <c r="Q60">
        <v>75</v>
      </c>
      <c r="R60">
        <v>65</v>
      </c>
      <c r="S60">
        <v>75</v>
      </c>
      <c r="T60">
        <v>75</v>
      </c>
      <c r="U60">
        <v>75</v>
      </c>
      <c r="V60">
        <v>85</v>
      </c>
      <c r="W60">
        <v>90</v>
      </c>
      <c r="X60">
        <v>60</v>
      </c>
      <c r="Y60">
        <v>80</v>
      </c>
      <c r="Z60">
        <v>70</v>
      </c>
      <c r="AA60">
        <v>85</v>
      </c>
      <c r="AB60">
        <v>75</v>
      </c>
      <c r="AC60">
        <v>70</v>
      </c>
      <c r="AD60">
        <v>60</v>
      </c>
      <c r="AE60">
        <v>90</v>
      </c>
      <c r="AF60">
        <v>80</v>
      </c>
      <c r="AG60">
        <f t="shared" si="4"/>
        <v>78.333333333333329</v>
      </c>
      <c r="AH60">
        <f t="shared" si="5"/>
        <v>78.333333333333329</v>
      </c>
      <c r="AI60">
        <f t="shared" si="6"/>
        <v>78.333333333333329</v>
      </c>
      <c r="AJ60">
        <f t="shared" si="7"/>
        <v>61.666666666666664</v>
      </c>
      <c r="AK60">
        <f t="shared" si="8"/>
        <v>81.666666666666671</v>
      </c>
      <c r="AL60">
        <f t="shared" si="9"/>
        <v>75</v>
      </c>
      <c r="AM60">
        <f t="shared" si="10"/>
        <v>79.444444444444443</v>
      </c>
      <c r="AN60">
        <f t="shared" si="11"/>
        <v>75.555555555555557</v>
      </c>
    </row>
    <row r="61" spans="1:40" x14ac:dyDescent="0.3">
      <c r="A61" t="s">
        <v>185</v>
      </c>
      <c r="B61" t="s">
        <v>186</v>
      </c>
      <c r="C61">
        <v>51</v>
      </c>
      <c r="D61" t="s">
        <v>71</v>
      </c>
      <c r="E61">
        <v>66</v>
      </c>
      <c r="F61" t="s">
        <v>28</v>
      </c>
      <c r="G61">
        <v>66</v>
      </c>
      <c r="H61" t="s">
        <v>28</v>
      </c>
      <c r="I61">
        <f t="shared" si="0"/>
        <v>61</v>
      </c>
      <c r="K61">
        <f t="shared" si="1"/>
        <v>113.77777777777757</v>
      </c>
      <c r="L61">
        <f t="shared" si="2"/>
        <v>18.77777777777786</v>
      </c>
      <c r="M61">
        <f t="shared" si="3"/>
        <v>18.77777777777786</v>
      </c>
      <c r="N61">
        <v>50</v>
      </c>
      <c r="P61">
        <v>60</v>
      </c>
      <c r="Q61">
        <v>70</v>
      </c>
      <c r="R61">
        <v>30</v>
      </c>
      <c r="S61">
        <v>40</v>
      </c>
      <c r="T61">
        <v>60</v>
      </c>
      <c r="U61">
        <v>75</v>
      </c>
      <c r="V61">
        <v>65</v>
      </c>
      <c r="W61">
        <v>80</v>
      </c>
      <c r="X61">
        <v>40</v>
      </c>
      <c r="Y61">
        <v>50</v>
      </c>
      <c r="Z61">
        <v>90</v>
      </c>
      <c r="AA61">
        <v>65</v>
      </c>
      <c r="AB61">
        <v>70</v>
      </c>
      <c r="AC61">
        <v>80</v>
      </c>
      <c r="AD61">
        <v>40</v>
      </c>
      <c r="AE61">
        <v>60</v>
      </c>
      <c r="AF61">
        <v>85</v>
      </c>
      <c r="AG61">
        <f t="shared" si="4"/>
        <v>63.333333333333336</v>
      </c>
      <c r="AH61">
        <f t="shared" si="5"/>
        <v>65</v>
      </c>
      <c r="AI61">
        <f t="shared" si="6"/>
        <v>76.666666666666671</v>
      </c>
      <c r="AJ61">
        <f t="shared" si="7"/>
        <v>36.666666666666664</v>
      </c>
      <c r="AK61">
        <f t="shared" si="8"/>
        <v>50</v>
      </c>
      <c r="AL61">
        <f t="shared" si="9"/>
        <v>78.333333333333329</v>
      </c>
      <c r="AM61">
        <f t="shared" si="10"/>
        <v>63.333333333333336</v>
      </c>
      <c r="AN61">
        <f t="shared" si="11"/>
        <v>61.666666666666657</v>
      </c>
    </row>
    <row r="62" spans="1:40" x14ac:dyDescent="0.3">
      <c r="A62" t="s">
        <v>198</v>
      </c>
      <c r="B62" t="s">
        <v>199</v>
      </c>
      <c r="C62">
        <v>68</v>
      </c>
      <c r="D62" t="s">
        <v>28</v>
      </c>
      <c r="E62">
        <v>72</v>
      </c>
      <c r="F62" t="s">
        <v>28</v>
      </c>
      <c r="G62">
        <v>72</v>
      </c>
      <c r="H62" t="s">
        <v>28</v>
      </c>
      <c r="I62">
        <f t="shared" si="0"/>
        <v>70.666666666666671</v>
      </c>
      <c r="K62">
        <f t="shared" si="1"/>
        <v>9.6790123456790322</v>
      </c>
      <c r="L62">
        <f t="shared" si="2"/>
        <v>0.79012345679011786</v>
      </c>
      <c r="M62">
        <f t="shared" si="3"/>
        <v>0.79012345679011786</v>
      </c>
      <c r="N62">
        <v>75</v>
      </c>
      <c r="P62">
        <v>80</v>
      </c>
      <c r="Q62">
        <v>60</v>
      </c>
      <c r="R62">
        <v>40</v>
      </c>
      <c r="S62">
        <v>90</v>
      </c>
      <c r="T62">
        <v>65</v>
      </c>
      <c r="U62">
        <v>75</v>
      </c>
      <c r="V62">
        <v>60</v>
      </c>
      <c r="W62">
        <v>85</v>
      </c>
      <c r="X62">
        <v>70</v>
      </c>
      <c r="Y62">
        <v>65</v>
      </c>
      <c r="Z62">
        <v>80</v>
      </c>
      <c r="AA62">
        <v>75</v>
      </c>
      <c r="AB62">
        <v>75</v>
      </c>
      <c r="AC62">
        <v>75</v>
      </c>
      <c r="AD62">
        <v>60</v>
      </c>
      <c r="AE62">
        <v>75</v>
      </c>
      <c r="AF62">
        <v>75</v>
      </c>
      <c r="AG62">
        <f t="shared" si="4"/>
        <v>75</v>
      </c>
      <c r="AH62">
        <f t="shared" si="5"/>
        <v>71.666666666666671</v>
      </c>
      <c r="AI62">
        <f t="shared" si="6"/>
        <v>73.333333333333329</v>
      </c>
      <c r="AJ62">
        <f t="shared" si="7"/>
        <v>56.666666666666664</v>
      </c>
      <c r="AK62">
        <f t="shared" si="8"/>
        <v>76.666666666666671</v>
      </c>
      <c r="AL62">
        <f t="shared" si="9"/>
        <v>73.333333333333329</v>
      </c>
      <c r="AM62">
        <f t="shared" si="10"/>
        <v>75</v>
      </c>
      <c r="AN62">
        <f t="shared" si="11"/>
        <v>71.111111111111114</v>
      </c>
    </row>
    <row r="63" spans="1:40" x14ac:dyDescent="0.3">
      <c r="A63" t="s">
        <v>198</v>
      </c>
      <c r="B63" t="s">
        <v>199</v>
      </c>
      <c r="C63">
        <v>75</v>
      </c>
      <c r="D63" t="s">
        <v>22</v>
      </c>
      <c r="E63">
        <v>55</v>
      </c>
      <c r="F63" t="s">
        <v>71</v>
      </c>
      <c r="G63">
        <v>55</v>
      </c>
      <c r="H63" t="s">
        <v>71</v>
      </c>
      <c r="I63">
        <f t="shared" si="0"/>
        <v>61.666666666666664</v>
      </c>
      <c r="K63">
        <f t="shared" si="1"/>
        <v>170.44753086419774</v>
      </c>
      <c r="L63">
        <f t="shared" si="2"/>
        <v>48.22530864197519</v>
      </c>
      <c r="M63">
        <f t="shared" si="3"/>
        <v>48.22530864197519</v>
      </c>
      <c r="N63">
        <v>75</v>
      </c>
      <c r="P63">
        <v>75</v>
      </c>
      <c r="Q63">
        <v>75</v>
      </c>
      <c r="R63">
        <v>75</v>
      </c>
      <c r="S63">
        <v>75</v>
      </c>
      <c r="T63">
        <v>75</v>
      </c>
      <c r="U63">
        <v>40</v>
      </c>
      <c r="V63">
        <v>50</v>
      </c>
      <c r="W63">
        <v>70</v>
      </c>
      <c r="X63">
        <v>30</v>
      </c>
      <c r="Y63">
        <v>60</v>
      </c>
      <c r="Z63">
        <v>80</v>
      </c>
      <c r="AA63">
        <v>35</v>
      </c>
      <c r="AB63">
        <v>60</v>
      </c>
      <c r="AC63">
        <v>70</v>
      </c>
      <c r="AD63">
        <v>40</v>
      </c>
      <c r="AE63">
        <v>50</v>
      </c>
      <c r="AF63">
        <v>80</v>
      </c>
      <c r="AG63">
        <f t="shared" si="4"/>
        <v>50</v>
      </c>
      <c r="AH63">
        <f t="shared" si="5"/>
        <v>61.666666666666664</v>
      </c>
      <c r="AI63">
        <f t="shared" si="6"/>
        <v>71.666666666666671</v>
      </c>
      <c r="AJ63">
        <f t="shared" si="7"/>
        <v>48.333333333333336</v>
      </c>
      <c r="AK63">
        <f t="shared" si="8"/>
        <v>61.666666666666664</v>
      </c>
      <c r="AL63">
        <f t="shared" si="9"/>
        <v>78.333333333333329</v>
      </c>
      <c r="AM63">
        <f t="shared" si="10"/>
        <v>61.111111111111114</v>
      </c>
      <c r="AN63">
        <f t="shared" si="11"/>
        <v>61.944444444444436</v>
      </c>
    </row>
    <row r="64" spans="1:40" x14ac:dyDescent="0.3">
      <c r="A64" t="s">
        <v>198</v>
      </c>
      <c r="B64" t="s">
        <v>199</v>
      </c>
      <c r="C64">
        <v>75</v>
      </c>
      <c r="D64" t="s">
        <v>22</v>
      </c>
      <c r="E64">
        <v>75</v>
      </c>
      <c r="F64" t="s">
        <v>22</v>
      </c>
      <c r="G64">
        <v>80</v>
      </c>
      <c r="H64" t="s">
        <v>22</v>
      </c>
      <c r="I64">
        <f t="shared" si="0"/>
        <v>76.666666666666671</v>
      </c>
      <c r="K64">
        <f t="shared" si="1"/>
        <v>3.7808641975308581</v>
      </c>
      <c r="L64">
        <f t="shared" si="2"/>
        <v>3.7808641975308581</v>
      </c>
      <c r="M64">
        <f t="shared" si="3"/>
        <v>9.3364197530864299</v>
      </c>
      <c r="N64">
        <v>75</v>
      </c>
      <c r="P64">
        <v>75</v>
      </c>
      <c r="Q64">
        <v>75</v>
      </c>
      <c r="R64">
        <v>75</v>
      </c>
      <c r="S64">
        <v>75</v>
      </c>
      <c r="T64">
        <v>75</v>
      </c>
      <c r="U64">
        <v>75</v>
      </c>
      <c r="V64">
        <v>75</v>
      </c>
      <c r="W64">
        <v>75</v>
      </c>
      <c r="X64">
        <v>75</v>
      </c>
      <c r="Y64">
        <v>75</v>
      </c>
      <c r="Z64">
        <v>75</v>
      </c>
      <c r="AA64">
        <v>85</v>
      </c>
      <c r="AB64">
        <v>90</v>
      </c>
      <c r="AC64">
        <v>80</v>
      </c>
      <c r="AD64">
        <v>60</v>
      </c>
      <c r="AE64">
        <v>75</v>
      </c>
      <c r="AF64">
        <v>95</v>
      </c>
      <c r="AG64">
        <f t="shared" si="4"/>
        <v>78.333333333333329</v>
      </c>
      <c r="AH64">
        <f t="shared" si="5"/>
        <v>80</v>
      </c>
      <c r="AI64">
        <f t="shared" si="6"/>
        <v>76.666666666666671</v>
      </c>
      <c r="AJ64">
        <f t="shared" si="7"/>
        <v>70</v>
      </c>
      <c r="AK64">
        <f t="shared" si="8"/>
        <v>75</v>
      </c>
      <c r="AL64">
        <f t="shared" si="9"/>
        <v>81.666666666666671</v>
      </c>
      <c r="AM64">
        <f t="shared" si="10"/>
        <v>76.666666666666671</v>
      </c>
      <c r="AN64">
        <f t="shared" si="11"/>
        <v>76.944444444444443</v>
      </c>
    </row>
    <row r="65" spans="1:40" x14ac:dyDescent="0.3">
      <c r="A65" t="s">
        <v>198</v>
      </c>
      <c r="B65" t="s">
        <v>199</v>
      </c>
      <c r="C65">
        <v>75</v>
      </c>
      <c r="D65" t="s">
        <v>22</v>
      </c>
      <c r="E65">
        <v>76</v>
      </c>
      <c r="F65" t="s">
        <v>22</v>
      </c>
      <c r="G65">
        <v>76</v>
      </c>
      <c r="H65" t="s">
        <v>22</v>
      </c>
      <c r="I65">
        <f t="shared" si="0"/>
        <v>75.666666666666671</v>
      </c>
      <c r="K65">
        <f t="shared" si="1"/>
        <v>1.2345679012345749</v>
      </c>
      <c r="L65">
        <f t="shared" si="2"/>
        <v>1.2345679012346381E-2</v>
      </c>
      <c r="M65">
        <f t="shared" si="3"/>
        <v>1.2345679012346381E-2</v>
      </c>
      <c r="N65">
        <v>75</v>
      </c>
      <c r="P65">
        <v>75</v>
      </c>
      <c r="Q65">
        <v>75</v>
      </c>
      <c r="R65">
        <v>75</v>
      </c>
      <c r="S65">
        <v>75</v>
      </c>
      <c r="T65">
        <v>75</v>
      </c>
      <c r="U65">
        <v>85</v>
      </c>
      <c r="V65">
        <v>90</v>
      </c>
      <c r="W65">
        <v>75</v>
      </c>
      <c r="X65">
        <v>60</v>
      </c>
      <c r="Y65">
        <v>80</v>
      </c>
      <c r="Z65">
        <v>70</v>
      </c>
      <c r="AA65">
        <v>85</v>
      </c>
      <c r="AB65">
        <v>75</v>
      </c>
      <c r="AC65">
        <v>60</v>
      </c>
      <c r="AD65">
        <v>90</v>
      </c>
      <c r="AE65">
        <v>80</v>
      </c>
      <c r="AF65">
        <v>70</v>
      </c>
      <c r="AG65">
        <f t="shared" si="4"/>
        <v>81.666666666666671</v>
      </c>
      <c r="AH65">
        <f t="shared" si="5"/>
        <v>80</v>
      </c>
      <c r="AI65">
        <f t="shared" si="6"/>
        <v>70</v>
      </c>
      <c r="AJ65">
        <f t="shared" si="7"/>
        <v>75</v>
      </c>
      <c r="AK65">
        <f t="shared" si="8"/>
        <v>78.333333333333329</v>
      </c>
      <c r="AL65">
        <f t="shared" si="9"/>
        <v>71.666666666666671</v>
      </c>
      <c r="AM65">
        <f t="shared" si="10"/>
        <v>76.666666666666671</v>
      </c>
      <c r="AN65">
        <f t="shared" si="11"/>
        <v>76.111111111111114</v>
      </c>
    </row>
    <row r="66" spans="1:40" x14ac:dyDescent="0.3">
      <c r="A66" t="s">
        <v>209</v>
      </c>
      <c r="B66" t="s">
        <v>210</v>
      </c>
      <c r="C66">
        <v>73</v>
      </c>
      <c r="D66" t="s">
        <v>28</v>
      </c>
      <c r="E66">
        <v>80</v>
      </c>
      <c r="F66" t="s">
        <v>22</v>
      </c>
      <c r="G66">
        <v>78</v>
      </c>
      <c r="H66" t="s">
        <v>22</v>
      </c>
      <c r="I66">
        <f t="shared" si="0"/>
        <v>77</v>
      </c>
      <c r="K66">
        <f t="shared" si="1"/>
        <v>17.827160493827215</v>
      </c>
      <c r="L66">
        <f t="shared" si="2"/>
        <v>7.7160493827160144</v>
      </c>
      <c r="M66">
        <f t="shared" si="3"/>
        <v>0.60493827160492841</v>
      </c>
      <c r="N66">
        <v>75</v>
      </c>
      <c r="P66">
        <v>75</v>
      </c>
      <c r="Q66">
        <v>75</v>
      </c>
      <c r="R66">
        <v>65</v>
      </c>
      <c r="S66">
        <v>75</v>
      </c>
      <c r="T66">
        <v>75</v>
      </c>
      <c r="U66">
        <v>85</v>
      </c>
      <c r="V66">
        <v>90</v>
      </c>
      <c r="W66">
        <v>75</v>
      </c>
      <c r="X66">
        <v>60</v>
      </c>
      <c r="Y66">
        <v>80</v>
      </c>
      <c r="Z66">
        <v>90</v>
      </c>
      <c r="AA66">
        <v>95</v>
      </c>
      <c r="AB66">
        <v>80</v>
      </c>
      <c r="AC66">
        <v>70</v>
      </c>
      <c r="AD66">
        <v>60</v>
      </c>
      <c r="AE66">
        <v>75</v>
      </c>
      <c r="AF66">
        <v>90</v>
      </c>
      <c r="AG66">
        <f t="shared" si="4"/>
        <v>85</v>
      </c>
      <c r="AH66">
        <f t="shared" si="5"/>
        <v>81.666666666666671</v>
      </c>
      <c r="AI66">
        <f t="shared" si="6"/>
        <v>73.333333333333329</v>
      </c>
      <c r="AJ66">
        <f t="shared" si="7"/>
        <v>61.666666666666664</v>
      </c>
      <c r="AK66">
        <f t="shared" si="8"/>
        <v>76.666666666666671</v>
      </c>
      <c r="AL66">
        <f t="shared" si="9"/>
        <v>85</v>
      </c>
      <c r="AM66">
        <f t="shared" si="10"/>
        <v>78.333333333333329</v>
      </c>
      <c r="AN66">
        <f t="shared" si="11"/>
        <v>77.222222222222229</v>
      </c>
    </row>
    <row r="67" spans="1:40" x14ac:dyDescent="0.3">
      <c r="A67" t="s">
        <v>209</v>
      </c>
      <c r="B67" t="s">
        <v>210</v>
      </c>
      <c r="C67">
        <v>65</v>
      </c>
      <c r="D67" t="s">
        <v>28</v>
      </c>
      <c r="E67">
        <v>77</v>
      </c>
      <c r="F67" t="s">
        <v>22</v>
      </c>
      <c r="G67">
        <v>73</v>
      </c>
      <c r="H67" t="s">
        <v>28</v>
      </c>
      <c r="I67">
        <f t="shared" ref="I67:I130" si="12">SUM(C67,E67,G67)/3</f>
        <v>71.666666666666671</v>
      </c>
      <c r="K67">
        <f t="shared" ref="K67:K130" si="13">(C67-AN67)^2</f>
        <v>48.225308641975289</v>
      </c>
      <c r="L67">
        <f t="shared" ref="L67:L130" si="14">(E67-AN67)^2</f>
        <v>25.558641975308657</v>
      </c>
      <c r="M67">
        <f t="shared" ref="M67:M130" si="15">(G67-AN67)^2</f>
        <v>1.1141975308642009</v>
      </c>
      <c r="N67">
        <v>65</v>
      </c>
      <c r="P67">
        <v>70</v>
      </c>
      <c r="Q67">
        <v>60</v>
      </c>
      <c r="R67">
        <v>40</v>
      </c>
      <c r="S67">
        <v>80</v>
      </c>
      <c r="T67">
        <v>75</v>
      </c>
      <c r="U67">
        <v>85</v>
      </c>
      <c r="V67">
        <v>75</v>
      </c>
      <c r="W67">
        <v>80</v>
      </c>
      <c r="X67">
        <v>65</v>
      </c>
      <c r="Y67">
        <v>90</v>
      </c>
      <c r="Z67">
        <v>70</v>
      </c>
      <c r="AA67">
        <v>75</v>
      </c>
      <c r="AB67">
        <v>80</v>
      </c>
      <c r="AC67">
        <v>70</v>
      </c>
      <c r="AD67">
        <v>60</v>
      </c>
      <c r="AE67">
        <v>70</v>
      </c>
      <c r="AF67">
        <v>85</v>
      </c>
      <c r="AG67">
        <f t="shared" ref="AG67:AG130" si="16">AVERAGE(N67,U67,AA67)</f>
        <v>75</v>
      </c>
      <c r="AH67">
        <f t="shared" ref="AH67:AH130" si="17">AVERAGE(P67,V67,AB67)</f>
        <v>75</v>
      </c>
      <c r="AI67">
        <f t="shared" ref="AI67:AI130" si="18">AVERAGE(Q67,W67,AC67)</f>
        <v>70</v>
      </c>
      <c r="AJ67">
        <f t="shared" ref="AJ67:AJ130" si="19">AVERAGE(R67,X67,AD67)</f>
        <v>55</v>
      </c>
      <c r="AK67">
        <f t="shared" ref="AK67:AK130" si="20">AVERAGE(S67,Y67,AE67)</f>
        <v>80</v>
      </c>
      <c r="AL67">
        <f t="shared" ref="AL67:AL130" si="21">AVERAGE(T67,Z67,AF67)</f>
        <v>76.666666666666671</v>
      </c>
      <c r="AM67">
        <f t="shared" ref="AM67:AM130" si="22">SUM(AG67,AI67,AK67)/3</f>
        <v>75</v>
      </c>
      <c r="AN67">
        <f t="shared" ref="AN67:AN130" si="23">AVERAGE(AG67:AL67)</f>
        <v>71.944444444444443</v>
      </c>
    </row>
    <row r="68" spans="1:40" x14ac:dyDescent="0.3">
      <c r="A68" t="s">
        <v>209</v>
      </c>
      <c r="B68" t="s">
        <v>210</v>
      </c>
      <c r="C68">
        <v>76</v>
      </c>
      <c r="D68" t="s">
        <v>22</v>
      </c>
      <c r="E68">
        <v>73</v>
      </c>
      <c r="F68" t="s">
        <v>28</v>
      </c>
      <c r="G68">
        <v>76</v>
      </c>
      <c r="H68" t="s">
        <v>22</v>
      </c>
      <c r="I68">
        <f t="shared" si="12"/>
        <v>75</v>
      </c>
      <c r="K68">
        <f t="shared" si="13"/>
        <v>0.19753086419752947</v>
      </c>
      <c r="L68">
        <f t="shared" si="14"/>
        <v>6.5308641975308719</v>
      </c>
      <c r="M68">
        <f t="shared" si="15"/>
        <v>0.19753086419752947</v>
      </c>
      <c r="N68">
        <v>85</v>
      </c>
      <c r="P68">
        <v>90</v>
      </c>
      <c r="Q68">
        <v>70</v>
      </c>
      <c r="R68">
        <v>60</v>
      </c>
      <c r="S68">
        <v>80</v>
      </c>
      <c r="T68">
        <v>75</v>
      </c>
      <c r="U68">
        <v>75</v>
      </c>
      <c r="V68">
        <v>75</v>
      </c>
      <c r="W68">
        <v>75</v>
      </c>
      <c r="X68">
        <v>65</v>
      </c>
      <c r="Y68">
        <v>75</v>
      </c>
      <c r="Z68">
        <v>75</v>
      </c>
      <c r="AA68">
        <v>85</v>
      </c>
      <c r="AB68">
        <v>75</v>
      </c>
      <c r="AC68">
        <v>60</v>
      </c>
      <c r="AD68">
        <v>90</v>
      </c>
      <c r="AE68">
        <v>80</v>
      </c>
      <c r="AF68">
        <v>70</v>
      </c>
      <c r="AG68">
        <f t="shared" si="16"/>
        <v>81.666666666666671</v>
      </c>
      <c r="AH68">
        <f t="shared" si="17"/>
        <v>80</v>
      </c>
      <c r="AI68">
        <f t="shared" si="18"/>
        <v>68.333333333333329</v>
      </c>
      <c r="AJ68">
        <f t="shared" si="19"/>
        <v>71.666666666666671</v>
      </c>
      <c r="AK68">
        <f t="shared" si="20"/>
        <v>78.333333333333329</v>
      </c>
      <c r="AL68">
        <f t="shared" si="21"/>
        <v>73.333333333333329</v>
      </c>
      <c r="AM68">
        <f t="shared" si="22"/>
        <v>76.1111111111111</v>
      </c>
      <c r="AN68">
        <f t="shared" si="23"/>
        <v>75.555555555555557</v>
      </c>
    </row>
    <row r="69" spans="1:40" x14ac:dyDescent="0.3">
      <c r="A69" t="s">
        <v>209</v>
      </c>
      <c r="B69" t="s">
        <v>210</v>
      </c>
      <c r="C69">
        <v>78</v>
      </c>
      <c r="D69" t="s">
        <v>22</v>
      </c>
      <c r="E69">
        <v>80</v>
      </c>
      <c r="F69" t="s">
        <v>22</v>
      </c>
      <c r="G69">
        <v>78</v>
      </c>
      <c r="H69" t="s">
        <v>22</v>
      </c>
      <c r="I69">
        <f t="shared" si="12"/>
        <v>78.666666666666671</v>
      </c>
      <c r="K69">
        <f t="shared" si="13"/>
        <v>1.3611111111111223</v>
      </c>
      <c r="L69">
        <f t="shared" si="14"/>
        <v>0.69444444444443654</v>
      </c>
      <c r="M69">
        <f t="shared" si="15"/>
        <v>1.3611111111111223</v>
      </c>
      <c r="N69">
        <v>75</v>
      </c>
      <c r="P69">
        <v>75</v>
      </c>
      <c r="Q69">
        <v>75</v>
      </c>
      <c r="R69">
        <v>95</v>
      </c>
      <c r="S69">
        <v>75</v>
      </c>
      <c r="T69">
        <v>75</v>
      </c>
      <c r="U69">
        <v>95</v>
      </c>
      <c r="V69">
        <v>85</v>
      </c>
      <c r="W69">
        <v>80</v>
      </c>
      <c r="X69">
        <v>60</v>
      </c>
      <c r="Y69">
        <v>75</v>
      </c>
      <c r="Z69">
        <v>90</v>
      </c>
      <c r="AA69">
        <v>85</v>
      </c>
      <c r="AB69">
        <v>75</v>
      </c>
      <c r="AC69">
        <v>90</v>
      </c>
      <c r="AD69">
        <v>60</v>
      </c>
      <c r="AE69">
        <v>80</v>
      </c>
      <c r="AF69">
        <v>80</v>
      </c>
      <c r="AG69">
        <f t="shared" si="16"/>
        <v>85</v>
      </c>
      <c r="AH69">
        <f t="shared" si="17"/>
        <v>78.333333333333329</v>
      </c>
      <c r="AI69">
        <f t="shared" si="18"/>
        <v>81.666666666666671</v>
      </c>
      <c r="AJ69">
        <f t="shared" si="19"/>
        <v>71.666666666666671</v>
      </c>
      <c r="AK69">
        <f t="shared" si="20"/>
        <v>76.666666666666671</v>
      </c>
      <c r="AL69">
        <f t="shared" si="21"/>
        <v>81.666666666666671</v>
      </c>
      <c r="AM69">
        <f t="shared" si="22"/>
        <v>81.111111111111128</v>
      </c>
      <c r="AN69">
        <f t="shared" si="23"/>
        <v>79.166666666666671</v>
      </c>
    </row>
    <row r="70" spans="1:40" x14ac:dyDescent="0.3">
      <c r="A70" t="s">
        <v>223</v>
      </c>
      <c r="B70" t="s">
        <v>224</v>
      </c>
      <c r="C70">
        <v>65</v>
      </c>
      <c r="D70" t="s">
        <v>28</v>
      </c>
      <c r="E70">
        <v>64</v>
      </c>
      <c r="F70" t="s">
        <v>28</v>
      </c>
      <c r="G70">
        <v>51</v>
      </c>
      <c r="H70" t="s">
        <v>71</v>
      </c>
      <c r="I70">
        <f t="shared" si="12"/>
        <v>60</v>
      </c>
      <c r="K70">
        <f t="shared" si="13"/>
        <v>22.299382716049376</v>
      </c>
      <c r="L70">
        <f t="shared" si="14"/>
        <v>13.854938271604933</v>
      </c>
      <c r="M70">
        <f t="shared" si="15"/>
        <v>86.077160493827179</v>
      </c>
      <c r="N70">
        <v>65</v>
      </c>
      <c r="P70">
        <v>70</v>
      </c>
      <c r="Q70">
        <v>85</v>
      </c>
      <c r="R70">
        <v>60</v>
      </c>
      <c r="S70">
        <v>70</v>
      </c>
      <c r="T70">
        <v>40</v>
      </c>
      <c r="U70">
        <v>75</v>
      </c>
      <c r="V70">
        <v>80</v>
      </c>
      <c r="W70">
        <v>80</v>
      </c>
      <c r="X70">
        <v>40</v>
      </c>
      <c r="Y70">
        <v>60</v>
      </c>
      <c r="Z70">
        <v>50</v>
      </c>
      <c r="AA70">
        <v>30</v>
      </c>
      <c r="AB70">
        <v>50</v>
      </c>
      <c r="AC70">
        <v>60</v>
      </c>
      <c r="AD70">
        <v>20</v>
      </c>
      <c r="AE70">
        <v>80</v>
      </c>
      <c r="AF70">
        <v>70</v>
      </c>
      <c r="AG70">
        <f t="shared" si="16"/>
        <v>56.666666666666664</v>
      </c>
      <c r="AH70">
        <f t="shared" si="17"/>
        <v>66.666666666666671</v>
      </c>
      <c r="AI70">
        <f t="shared" si="18"/>
        <v>75</v>
      </c>
      <c r="AJ70">
        <f t="shared" si="19"/>
        <v>40</v>
      </c>
      <c r="AK70">
        <f t="shared" si="20"/>
        <v>70</v>
      </c>
      <c r="AL70">
        <f t="shared" si="21"/>
        <v>53.333333333333336</v>
      </c>
      <c r="AM70">
        <f t="shared" si="22"/>
        <v>67.222222222222214</v>
      </c>
      <c r="AN70">
        <f t="shared" si="23"/>
        <v>60.277777777777779</v>
      </c>
    </row>
    <row r="71" spans="1:40" x14ac:dyDescent="0.3">
      <c r="A71" t="s">
        <v>223</v>
      </c>
      <c r="B71" t="s">
        <v>224</v>
      </c>
      <c r="C71">
        <v>75</v>
      </c>
      <c r="D71" t="s">
        <v>22</v>
      </c>
      <c r="E71">
        <v>53</v>
      </c>
      <c r="F71" t="s">
        <v>71</v>
      </c>
      <c r="G71">
        <v>50</v>
      </c>
      <c r="H71" t="s">
        <v>71</v>
      </c>
      <c r="I71">
        <f t="shared" si="12"/>
        <v>59.333333333333336</v>
      </c>
      <c r="K71">
        <f t="shared" si="13"/>
        <v>233.41049382716031</v>
      </c>
      <c r="L71">
        <f t="shared" si="14"/>
        <v>45.188271604938357</v>
      </c>
      <c r="M71">
        <f t="shared" si="15"/>
        <v>94.521604938271722</v>
      </c>
      <c r="N71">
        <v>85</v>
      </c>
      <c r="P71">
        <v>90</v>
      </c>
      <c r="Q71">
        <v>70</v>
      </c>
      <c r="R71">
        <v>60</v>
      </c>
      <c r="S71">
        <v>80</v>
      </c>
      <c r="T71">
        <v>65</v>
      </c>
      <c r="U71">
        <v>50</v>
      </c>
      <c r="V71">
        <v>60</v>
      </c>
      <c r="W71">
        <v>70</v>
      </c>
      <c r="X71">
        <v>20</v>
      </c>
      <c r="Y71">
        <v>40</v>
      </c>
      <c r="Z71">
        <v>80</v>
      </c>
      <c r="AA71">
        <v>45</v>
      </c>
      <c r="AB71">
        <v>60</v>
      </c>
      <c r="AC71">
        <v>70</v>
      </c>
      <c r="AD71">
        <v>20</v>
      </c>
      <c r="AE71">
        <v>30</v>
      </c>
      <c r="AF71">
        <v>80</v>
      </c>
      <c r="AG71">
        <f t="shared" si="16"/>
        <v>60</v>
      </c>
      <c r="AH71">
        <f t="shared" si="17"/>
        <v>70</v>
      </c>
      <c r="AI71">
        <f t="shared" si="18"/>
        <v>70</v>
      </c>
      <c r="AJ71">
        <f t="shared" si="19"/>
        <v>33.333333333333336</v>
      </c>
      <c r="AK71">
        <f t="shared" si="20"/>
        <v>50</v>
      </c>
      <c r="AL71">
        <f t="shared" si="21"/>
        <v>75</v>
      </c>
      <c r="AM71">
        <f t="shared" si="22"/>
        <v>60</v>
      </c>
      <c r="AN71">
        <f t="shared" si="23"/>
        <v>59.722222222222229</v>
      </c>
    </row>
    <row r="72" spans="1:40" x14ac:dyDescent="0.3">
      <c r="A72" t="s">
        <v>223</v>
      </c>
      <c r="B72" t="s">
        <v>224</v>
      </c>
      <c r="C72">
        <v>63</v>
      </c>
      <c r="D72" t="s">
        <v>28</v>
      </c>
      <c r="E72">
        <v>40</v>
      </c>
      <c r="F72" t="s">
        <v>71</v>
      </c>
      <c r="G72">
        <v>59</v>
      </c>
      <c r="H72" t="s">
        <v>71</v>
      </c>
      <c r="I72">
        <f t="shared" si="12"/>
        <v>54</v>
      </c>
      <c r="K72">
        <f t="shared" si="13"/>
        <v>78.027777777777814</v>
      </c>
      <c r="L72">
        <f t="shared" si="14"/>
        <v>200.69444444444437</v>
      </c>
      <c r="M72">
        <f t="shared" si="15"/>
        <v>23.361111111111136</v>
      </c>
      <c r="N72">
        <v>65</v>
      </c>
      <c r="P72">
        <v>80</v>
      </c>
      <c r="Q72">
        <v>70</v>
      </c>
      <c r="R72">
        <v>40</v>
      </c>
      <c r="S72">
        <v>75</v>
      </c>
      <c r="T72">
        <v>50</v>
      </c>
      <c r="U72">
        <v>25</v>
      </c>
      <c r="V72">
        <v>30</v>
      </c>
      <c r="W72">
        <v>40</v>
      </c>
      <c r="X72">
        <v>10</v>
      </c>
      <c r="Y72">
        <v>60</v>
      </c>
      <c r="Z72">
        <v>75</v>
      </c>
      <c r="AA72">
        <v>65</v>
      </c>
      <c r="AB72">
        <v>70</v>
      </c>
      <c r="AC72">
        <v>70</v>
      </c>
      <c r="AD72">
        <v>30</v>
      </c>
      <c r="AE72">
        <v>80</v>
      </c>
      <c r="AF72">
        <v>40</v>
      </c>
      <c r="AG72">
        <f t="shared" si="16"/>
        <v>51.666666666666664</v>
      </c>
      <c r="AH72">
        <f t="shared" si="17"/>
        <v>60</v>
      </c>
      <c r="AI72">
        <f t="shared" si="18"/>
        <v>60</v>
      </c>
      <c r="AJ72">
        <f t="shared" si="19"/>
        <v>26.666666666666668</v>
      </c>
      <c r="AK72">
        <f t="shared" si="20"/>
        <v>71.666666666666671</v>
      </c>
      <c r="AL72">
        <f t="shared" si="21"/>
        <v>55</v>
      </c>
      <c r="AM72">
        <f t="shared" si="22"/>
        <v>61.111111111111107</v>
      </c>
      <c r="AN72">
        <f t="shared" si="23"/>
        <v>54.166666666666664</v>
      </c>
    </row>
    <row r="73" spans="1:40" x14ac:dyDescent="0.3">
      <c r="A73" t="s">
        <v>223</v>
      </c>
      <c r="B73" t="s">
        <v>224</v>
      </c>
      <c r="C73">
        <v>51</v>
      </c>
      <c r="D73" t="s">
        <v>71</v>
      </c>
      <c r="E73">
        <v>46</v>
      </c>
      <c r="F73" t="s">
        <v>71</v>
      </c>
      <c r="G73">
        <v>50</v>
      </c>
      <c r="H73" t="s">
        <v>71</v>
      </c>
      <c r="I73">
        <f t="shared" si="12"/>
        <v>49</v>
      </c>
      <c r="K73">
        <f t="shared" si="13"/>
        <v>1.6327160493827</v>
      </c>
      <c r="L73">
        <f t="shared" si="14"/>
        <v>13.854938271604984</v>
      </c>
      <c r="M73">
        <f t="shared" si="15"/>
        <v>7.7160493827156978E-2</v>
      </c>
      <c r="N73">
        <v>25</v>
      </c>
      <c r="P73">
        <v>30</v>
      </c>
      <c r="Q73">
        <v>45</v>
      </c>
      <c r="R73">
        <v>60</v>
      </c>
      <c r="S73">
        <v>70</v>
      </c>
      <c r="T73">
        <v>80</v>
      </c>
      <c r="U73">
        <v>35</v>
      </c>
      <c r="V73">
        <v>45</v>
      </c>
      <c r="W73">
        <v>60</v>
      </c>
      <c r="X73">
        <v>20</v>
      </c>
      <c r="Y73">
        <v>70</v>
      </c>
      <c r="Z73">
        <v>50</v>
      </c>
      <c r="AA73">
        <v>30</v>
      </c>
      <c r="AB73">
        <v>60</v>
      </c>
      <c r="AC73">
        <v>75</v>
      </c>
      <c r="AD73">
        <v>20</v>
      </c>
      <c r="AE73">
        <v>80</v>
      </c>
      <c r="AF73">
        <v>40</v>
      </c>
      <c r="AG73">
        <f t="shared" si="16"/>
        <v>30</v>
      </c>
      <c r="AH73">
        <f t="shared" si="17"/>
        <v>45</v>
      </c>
      <c r="AI73">
        <f t="shared" si="18"/>
        <v>60</v>
      </c>
      <c r="AJ73">
        <f t="shared" si="19"/>
        <v>33.333333333333336</v>
      </c>
      <c r="AK73">
        <f t="shared" si="20"/>
        <v>73.333333333333329</v>
      </c>
      <c r="AL73">
        <f t="shared" si="21"/>
        <v>56.666666666666664</v>
      </c>
      <c r="AM73">
        <f t="shared" si="22"/>
        <v>54.444444444444436</v>
      </c>
      <c r="AN73">
        <f t="shared" si="23"/>
        <v>49.722222222222229</v>
      </c>
    </row>
    <row r="74" spans="1:40" x14ac:dyDescent="0.3">
      <c r="A74" t="s">
        <v>235</v>
      </c>
      <c r="B74" t="s">
        <v>236</v>
      </c>
      <c r="C74">
        <v>76</v>
      </c>
      <c r="D74" t="s">
        <v>22</v>
      </c>
      <c r="E74">
        <v>75</v>
      </c>
      <c r="F74" t="s">
        <v>22</v>
      </c>
      <c r="G74">
        <v>75</v>
      </c>
      <c r="H74" t="s">
        <v>22</v>
      </c>
      <c r="I74">
        <f t="shared" si="12"/>
        <v>75.333333333333329</v>
      </c>
      <c r="K74">
        <f t="shared" si="13"/>
        <v>0.19753086419752947</v>
      </c>
      <c r="L74">
        <f t="shared" si="14"/>
        <v>0.30864197530864373</v>
      </c>
      <c r="M74">
        <f t="shared" si="15"/>
        <v>0.30864197530864373</v>
      </c>
      <c r="N74">
        <v>85</v>
      </c>
      <c r="P74">
        <v>90</v>
      </c>
      <c r="Q74">
        <v>75</v>
      </c>
      <c r="R74">
        <v>60</v>
      </c>
      <c r="S74">
        <v>80</v>
      </c>
      <c r="T74">
        <v>70</v>
      </c>
      <c r="U74">
        <v>85</v>
      </c>
      <c r="V74">
        <v>75</v>
      </c>
      <c r="W74">
        <v>80</v>
      </c>
      <c r="X74">
        <v>60</v>
      </c>
      <c r="Y74">
        <v>90</v>
      </c>
      <c r="Z74">
        <v>60</v>
      </c>
      <c r="AA74">
        <v>75</v>
      </c>
      <c r="AB74">
        <v>75</v>
      </c>
      <c r="AC74">
        <v>75</v>
      </c>
      <c r="AD74">
        <v>75</v>
      </c>
      <c r="AE74">
        <v>75</v>
      </c>
      <c r="AF74">
        <v>75</v>
      </c>
      <c r="AG74">
        <f t="shared" si="16"/>
        <v>81.666666666666671</v>
      </c>
      <c r="AH74">
        <f t="shared" si="17"/>
        <v>80</v>
      </c>
      <c r="AI74">
        <f t="shared" si="18"/>
        <v>76.666666666666671</v>
      </c>
      <c r="AJ74">
        <f t="shared" si="19"/>
        <v>65</v>
      </c>
      <c r="AK74">
        <f t="shared" si="20"/>
        <v>81.666666666666671</v>
      </c>
      <c r="AL74">
        <f t="shared" si="21"/>
        <v>68.333333333333329</v>
      </c>
      <c r="AM74">
        <f t="shared" si="22"/>
        <v>80</v>
      </c>
      <c r="AN74">
        <f t="shared" si="23"/>
        <v>75.555555555555557</v>
      </c>
    </row>
    <row r="75" spans="1:40" x14ac:dyDescent="0.3">
      <c r="A75" t="s">
        <v>235</v>
      </c>
      <c r="B75" t="s">
        <v>236</v>
      </c>
      <c r="C75">
        <v>77</v>
      </c>
      <c r="D75" t="s">
        <v>22</v>
      </c>
      <c r="E75">
        <v>76</v>
      </c>
      <c r="F75" t="s">
        <v>22</v>
      </c>
      <c r="G75">
        <v>75</v>
      </c>
      <c r="H75" t="s">
        <v>22</v>
      </c>
      <c r="I75">
        <f t="shared" si="12"/>
        <v>76</v>
      </c>
      <c r="K75">
        <f t="shared" si="13"/>
        <v>0.37345679012344329</v>
      </c>
      <c r="L75">
        <f t="shared" si="14"/>
        <v>0.15123456790124318</v>
      </c>
      <c r="M75">
        <f t="shared" si="15"/>
        <v>1.9290123456790431</v>
      </c>
      <c r="N75">
        <v>85</v>
      </c>
      <c r="P75">
        <v>70</v>
      </c>
      <c r="Q75">
        <v>75</v>
      </c>
      <c r="R75">
        <v>65</v>
      </c>
      <c r="S75">
        <v>80</v>
      </c>
      <c r="T75">
        <v>90</v>
      </c>
      <c r="U75">
        <v>85</v>
      </c>
      <c r="V75">
        <v>90</v>
      </c>
      <c r="W75">
        <v>75</v>
      </c>
      <c r="X75">
        <v>60</v>
      </c>
      <c r="Y75">
        <v>70</v>
      </c>
      <c r="Z75">
        <v>80</v>
      </c>
      <c r="AA75">
        <v>75</v>
      </c>
      <c r="AB75">
        <v>75</v>
      </c>
      <c r="AC75">
        <v>75</v>
      </c>
      <c r="AD75">
        <v>75</v>
      </c>
      <c r="AE75">
        <v>75</v>
      </c>
      <c r="AF75">
        <v>75</v>
      </c>
      <c r="AG75">
        <f t="shared" si="16"/>
        <v>81.666666666666671</v>
      </c>
      <c r="AH75">
        <f t="shared" si="17"/>
        <v>78.333333333333329</v>
      </c>
      <c r="AI75">
        <f t="shared" si="18"/>
        <v>75</v>
      </c>
      <c r="AJ75">
        <f t="shared" si="19"/>
        <v>66.666666666666671</v>
      </c>
      <c r="AK75">
        <f t="shared" si="20"/>
        <v>75</v>
      </c>
      <c r="AL75">
        <f t="shared" si="21"/>
        <v>81.666666666666671</v>
      </c>
      <c r="AM75">
        <f t="shared" si="22"/>
        <v>77.222222222222229</v>
      </c>
      <c r="AN75">
        <f t="shared" si="23"/>
        <v>76.3888888888889</v>
      </c>
    </row>
    <row r="76" spans="1:40" x14ac:dyDescent="0.3">
      <c r="A76" t="s">
        <v>235</v>
      </c>
      <c r="B76" t="s">
        <v>236</v>
      </c>
      <c r="C76">
        <v>82</v>
      </c>
      <c r="D76" t="s">
        <v>22</v>
      </c>
      <c r="E76">
        <v>77</v>
      </c>
      <c r="F76" t="s">
        <v>22</v>
      </c>
      <c r="G76">
        <v>80</v>
      </c>
      <c r="H76" t="s">
        <v>22</v>
      </c>
      <c r="I76">
        <f t="shared" si="12"/>
        <v>79.666666666666671</v>
      </c>
      <c r="K76">
        <f t="shared" si="13"/>
        <v>4.0000000000000568</v>
      </c>
      <c r="L76">
        <f t="shared" si="14"/>
        <v>8.9999999999999147</v>
      </c>
      <c r="M76">
        <f t="shared" si="15"/>
        <v>2.0194839173657902E-28</v>
      </c>
      <c r="N76">
        <v>85</v>
      </c>
      <c r="P76">
        <v>90</v>
      </c>
      <c r="Q76">
        <v>80</v>
      </c>
      <c r="R76">
        <v>80</v>
      </c>
      <c r="S76">
        <v>70</v>
      </c>
      <c r="T76">
        <v>90</v>
      </c>
      <c r="U76">
        <v>65</v>
      </c>
      <c r="V76">
        <v>70</v>
      </c>
      <c r="W76">
        <v>85</v>
      </c>
      <c r="X76">
        <v>70</v>
      </c>
      <c r="Y76">
        <v>80</v>
      </c>
      <c r="Z76">
        <v>95</v>
      </c>
      <c r="AA76">
        <v>85</v>
      </c>
      <c r="AB76">
        <v>80</v>
      </c>
      <c r="AC76">
        <v>75</v>
      </c>
      <c r="AD76">
        <v>90</v>
      </c>
      <c r="AE76">
        <v>70</v>
      </c>
      <c r="AF76">
        <v>80</v>
      </c>
      <c r="AG76">
        <f t="shared" si="16"/>
        <v>78.333333333333329</v>
      </c>
      <c r="AH76">
        <f t="shared" si="17"/>
        <v>80</v>
      </c>
      <c r="AI76">
        <f t="shared" si="18"/>
        <v>80</v>
      </c>
      <c r="AJ76">
        <f t="shared" si="19"/>
        <v>80</v>
      </c>
      <c r="AK76">
        <f t="shared" si="20"/>
        <v>73.333333333333329</v>
      </c>
      <c r="AL76">
        <f t="shared" si="21"/>
        <v>88.333333333333329</v>
      </c>
      <c r="AM76">
        <f t="shared" si="22"/>
        <v>77.222222222222214</v>
      </c>
      <c r="AN76">
        <f t="shared" si="23"/>
        <v>79.999999999999986</v>
      </c>
    </row>
    <row r="77" spans="1:40" x14ac:dyDescent="0.3">
      <c r="A77" t="s">
        <v>235</v>
      </c>
      <c r="B77" t="s">
        <v>236</v>
      </c>
      <c r="C77">
        <v>63</v>
      </c>
      <c r="D77" t="s">
        <v>28</v>
      </c>
      <c r="E77">
        <v>80</v>
      </c>
      <c r="F77" t="s">
        <v>22</v>
      </c>
      <c r="G77">
        <v>75</v>
      </c>
      <c r="H77" t="s">
        <v>22</v>
      </c>
      <c r="I77">
        <f t="shared" si="12"/>
        <v>72.666666666666671</v>
      </c>
      <c r="K77">
        <f t="shared" si="13"/>
        <v>95.604938271604539</v>
      </c>
      <c r="L77">
        <f t="shared" si="14"/>
        <v>52.160493827160792</v>
      </c>
      <c r="M77">
        <f t="shared" si="15"/>
        <v>4.9382716049383628</v>
      </c>
      <c r="N77">
        <v>65</v>
      </c>
      <c r="P77">
        <v>70</v>
      </c>
      <c r="Q77">
        <v>80</v>
      </c>
      <c r="R77">
        <v>40</v>
      </c>
      <c r="S77">
        <v>70</v>
      </c>
      <c r="T77">
        <v>55</v>
      </c>
      <c r="U77">
        <v>85</v>
      </c>
      <c r="V77">
        <v>75</v>
      </c>
      <c r="W77">
        <v>80</v>
      </c>
      <c r="X77">
        <v>60</v>
      </c>
      <c r="Y77">
        <v>90</v>
      </c>
      <c r="Z77">
        <v>90</v>
      </c>
      <c r="AA77">
        <v>75</v>
      </c>
      <c r="AB77">
        <v>75</v>
      </c>
      <c r="AC77">
        <v>75</v>
      </c>
      <c r="AD77">
        <v>75</v>
      </c>
      <c r="AE77">
        <v>75</v>
      </c>
      <c r="AF77">
        <v>75</v>
      </c>
      <c r="AG77">
        <f t="shared" si="16"/>
        <v>75</v>
      </c>
      <c r="AH77">
        <f t="shared" si="17"/>
        <v>73.333333333333329</v>
      </c>
      <c r="AI77">
        <f t="shared" si="18"/>
        <v>78.333333333333329</v>
      </c>
      <c r="AJ77">
        <f t="shared" si="19"/>
        <v>58.333333333333336</v>
      </c>
      <c r="AK77">
        <f t="shared" si="20"/>
        <v>78.333333333333329</v>
      </c>
      <c r="AL77">
        <f t="shared" si="21"/>
        <v>73.333333333333329</v>
      </c>
      <c r="AM77">
        <f t="shared" si="22"/>
        <v>77.222222222222214</v>
      </c>
      <c r="AN77">
        <f t="shared" si="23"/>
        <v>72.777777777777757</v>
      </c>
    </row>
    <row r="78" spans="1:40" x14ac:dyDescent="0.3">
      <c r="A78" t="s">
        <v>249</v>
      </c>
      <c r="B78" t="s">
        <v>250</v>
      </c>
      <c r="C78">
        <v>75</v>
      </c>
      <c r="D78" t="s">
        <v>22</v>
      </c>
      <c r="E78">
        <v>77</v>
      </c>
      <c r="F78" t="s">
        <v>22</v>
      </c>
      <c r="G78">
        <v>76</v>
      </c>
      <c r="H78" t="s">
        <v>22</v>
      </c>
      <c r="I78">
        <f t="shared" si="12"/>
        <v>76</v>
      </c>
      <c r="K78">
        <f t="shared" si="13"/>
        <v>1.9290123456790431</v>
      </c>
      <c r="L78">
        <f t="shared" si="14"/>
        <v>0.37345679012344329</v>
      </c>
      <c r="M78">
        <f t="shared" si="15"/>
        <v>0.15123456790124318</v>
      </c>
      <c r="N78">
        <v>75</v>
      </c>
      <c r="P78">
        <v>75</v>
      </c>
      <c r="Q78">
        <v>75</v>
      </c>
      <c r="R78">
        <v>75</v>
      </c>
      <c r="S78">
        <v>75</v>
      </c>
      <c r="T78">
        <v>75</v>
      </c>
      <c r="U78">
        <v>85</v>
      </c>
      <c r="V78">
        <v>75</v>
      </c>
      <c r="W78">
        <v>80</v>
      </c>
      <c r="X78">
        <v>65</v>
      </c>
      <c r="Y78">
        <v>90</v>
      </c>
      <c r="Z78">
        <v>70</v>
      </c>
      <c r="AA78">
        <v>85</v>
      </c>
      <c r="AB78">
        <v>75</v>
      </c>
      <c r="AC78">
        <v>90</v>
      </c>
      <c r="AD78">
        <v>60</v>
      </c>
      <c r="AE78">
        <v>80</v>
      </c>
      <c r="AF78">
        <v>70</v>
      </c>
      <c r="AG78">
        <f t="shared" si="16"/>
        <v>81.666666666666671</v>
      </c>
      <c r="AH78">
        <f t="shared" si="17"/>
        <v>75</v>
      </c>
      <c r="AI78">
        <f t="shared" si="18"/>
        <v>81.666666666666671</v>
      </c>
      <c r="AJ78">
        <f t="shared" si="19"/>
        <v>66.666666666666671</v>
      </c>
      <c r="AK78">
        <f t="shared" si="20"/>
        <v>81.666666666666671</v>
      </c>
      <c r="AL78">
        <f t="shared" si="21"/>
        <v>71.666666666666671</v>
      </c>
      <c r="AM78">
        <f t="shared" si="22"/>
        <v>81.666666666666671</v>
      </c>
      <c r="AN78">
        <f t="shared" si="23"/>
        <v>76.3888888888889</v>
      </c>
    </row>
    <row r="79" spans="1:40" x14ac:dyDescent="0.3">
      <c r="A79" t="s">
        <v>249</v>
      </c>
      <c r="B79" t="s">
        <v>250</v>
      </c>
      <c r="C79">
        <v>75</v>
      </c>
      <c r="D79" t="s">
        <v>22</v>
      </c>
      <c r="E79">
        <v>76</v>
      </c>
      <c r="F79" t="s">
        <v>22</v>
      </c>
      <c r="G79">
        <v>75</v>
      </c>
      <c r="H79" t="s">
        <v>22</v>
      </c>
      <c r="I79">
        <f t="shared" si="12"/>
        <v>75.333333333333329</v>
      </c>
      <c r="K79">
        <f t="shared" si="13"/>
        <v>0.30864197530864373</v>
      </c>
      <c r="L79">
        <f t="shared" si="14"/>
        <v>0.19753086419752947</v>
      </c>
      <c r="M79">
        <f t="shared" si="15"/>
        <v>0.30864197530864373</v>
      </c>
      <c r="N79">
        <v>75</v>
      </c>
      <c r="P79">
        <v>75</v>
      </c>
      <c r="Q79">
        <v>75</v>
      </c>
      <c r="R79">
        <v>75</v>
      </c>
      <c r="S79">
        <v>75</v>
      </c>
      <c r="T79">
        <v>75</v>
      </c>
      <c r="U79">
        <v>85</v>
      </c>
      <c r="V79">
        <v>75</v>
      </c>
      <c r="W79">
        <v>80</v>
      </c>
      <c r="X79">
        <v>60</v>
      </c>
      <c r="Y79">
        <v>90</v>
      </c>
      <c r="Z79">
        <v>70</v>
      </c>
      <c r="AA79">
        <v>75</v>
      </c>
      <c r="AB79">
        <v>75</v>
      </c>
      <c r="AC79">
        <v>75</v>
      </c>
      <c r="AD79">
        <v>75</v>
      </c>
      <c r="AE79">
        <v>75</v>
      </c>
      <c r="AF79">
        <v>75</v>
      </c>
      <c r="AG79">
        <f t="shared" si="16"/>
        <v>78.333333333333329</v>
      </c>
      <c r="AH79">
        <f t="shared" si="17"/>
        <v>75</v>
      </c>
      <c r="AI79">
        <f t="shared" si="18"/>
        <v>76.666666666666671</v>
      </c>
      <c r="AJ79">
        <f t="shared" si="19"/>
        <v>70</v>
      </c>
      <c r="AK79">
        <f t="shared" si="20"/>
        <v>80</v>
      </c>
      <c r="AL79">
        <f t="shared" si="21"/>
        <v>73.333333333333329</v>
      </c>
      <c r="AM79">
        <f t="shared" si="22"/>
        <v>78.333333333333329</v>
      </c>
      <c r="AN79">
        <f t="shared" si="23"/>
        <v>75.555555555555557</v>
      </c>
    </row>
    <row r="80" spans="1:40" x14ac:dyDescent="0.3">
      <c r="A80" t="s">
        <v>249</v>
      </c>
      <c r="B80" t="s">
        <v>250</v>
      </c>
      <c r="C80">
        <v>79</v>
      </c>
      <c r="D80" t="s">
        <v>22</v>
      </c>
      <c r="E80">
        <v>63</v>
      </c>
      <c r="F80" t="s">
        <v>28</v>
      </c>
      <c r="G80">
        <v>76</v>
      </c>
      <c r="H80" t="s">
        <v>22</v>
      </c>
      <c r="I80">
        <f t="shared" si="12"/>
        <v>72.666666666666671</v>
      </c>
      <c r="K80">
        <f t="shared" si="13"/>
        <v>35.336419753086403</v>
      </c>
      <c r="L80">
        <f t="shared" si="14"/>
        <v>101.11419753086423</v>
      </c>
      <c r="M80">
        <f t="shared" si="15"/>
        <v>8.6697530864197443</v>
      </c>
      <c r="N80">
        <v>85</v>
      </c>
      <c r="P80">
        <v>75</v>
      </c>
      <c r="Q80">
        <v>65</v>
      </c>
      <c r="R80">
        <v>90</v>
      </c>
      <c r="S80">
        <v>80</v>
      </c>
      <c r="T80">
        <v>80</v>
      </c>
      <c r="U80">
        <v>75</v>
      </c>
      <c r="V80">
        <v>80</v>
      </c>
      <c r="W80">
        <v>65</v>
      </c>
      <c r="X80">
        <v>30</v>
      </c>
      <c r="Y80">
        <v>60</v>
      </c>
      <c r="Z80">
        <v>70</v>
      </c>
      <c r="AA80">
        <v>85</v>
      </c>
      <c r="AB80">
        <v>75</v>
      </c>
      <c r="AC80">
        <v>80</v>
      </c>
      <c r="AD80">
        <v>60</v>
      </c>
      <c r="AE80">
        <v>70</v>
      </c>
      <c r="AF80">
        <v>90</v>
      </c>
      <c r="AG80">
        <f t="shared" si="16"/>
        <v>81.666666666666671</v>
      </c>
      <c r="AH80">
        <f t="shared" si="17"/>
        <v>76.666666666666671</v>
      </c>
      <c r="AI80">
        <f t="shared" si="18"/>
        <v>70</v>
      </c>
      <c r="AJ80">
        <f t="shared" si="19"/>
        <v>60</v>
      </c>
      <c r="AK80">
        <f t="shared" si="20"/>
        <v>70</v>
      </c>
      <c r="AL80">
        <f t="shared" si="21"/>
        <v>80</v>
      </c>
      <c r="AM80">
        <f t="shared" si="22"/>
        <v>73.8888888888889</v>
      </c>
      <c r="AN80">
        <f t="shared" si="23"/>
        <v>73.055555555555557</v>
      </c>
    </row>
    <row r="81" spans="1:40" x14ac:dyDescent="0.3">
      <c r="A81" t="s">
        <v>249</v>
      </c>
      <c r="B81" t="s">
        <v>250</v>
      </c>
      <c r="C81">
        <v>75</v>
      </c>
      <c r="D81" t="s">
        <v>22</v>
      </c>
      <c r="E81">
        <v>69</v>
      </c>
      <c r="F81" t="s">
        <v>28</v>
      </c>
      <c r="G81">
        <v>83</v>
      </c>
      <c r="H81" t="s">
        <v>22</v>
      </c>
      <c r="I81">
        <f t="shared" si="12"/>
        <v>75.666666666666671</v>
      </c>
      <c r="K81">
        <f t="shared" si="13"/>
        <v>0.69444444444443654</v>
      </c>
      <c r="L81">
        <f t="shared" si="14"/>
        <v>46.694444444444379</v>
      </c>
      <c r="M81">
        <f t="shared" si="15"/>
        <v>51.361111111111178</v>
      </c>
      <c r="N81">
        <v>75</v>
      </c>
      <c r="P81">
        <v>75</v>
      </c>
      <c r="Q81">
        <v>75</v>
      </c>
      <c r="R81">
        <v>75</v>
      </c>
      <c r="S81">
        <v>75</v>
      </c>
      <c r="T81">
        <v>75</v>
      </c>
      <c r="U81">
        <v>65</v>
      </c>
      <c r="V81">
        <v>70</v>
      </c>
      <c r="W81">
        <v>80</v>
      </c>
      <c r="X81">
        <v>40</v>
      </c>
      <c r="Y81">
        <v>75</v>
      </c>
      <c r="Z81">
        <v>85</v>
      </c>
      <c r="AA81">
        <v>85</v>
      </c>
      <c r="AB81">
        <v>90</v>
      </c>
      <c r="AC81">
        <v>75</v>
      </c>
      <c r="AD81">
        <v>80</v>
      </c>
      <c r="AE81">
        <v>90</v>
      </c>
      <c r="AF81">
        <v>80</v>
      </c>
      <c r="AG81">
        <f t="shared" si="16"/>
        <v>75</v>
      </c>
      <c r="AH81">
        <f t="shared" si="17"/>
        <v>78.333333333333329</v>
      </c>
      <c r="AI81">
        <f t="shared" si="18"/>
        <v>76.666666666666671</v>
      </c>
      <c r="AJ81">
        <f t="shared" si="19"/>
        <v>65</v>
      </c>
      <c r="AK81">
        <f t="shared" si="20"/>
        <v>80</v>
      </c>
      <c r="AL81">
        <f t="shared" si="21"/>
        <v>80</v>
      </c>
      <c r="AM81">
        <f t="shared" si="22"/>
        <v>77.222222222222229</v>
      </c>
      <c r="AN81">
        <f t="shared" si="23"/>
        <v>75.833333333333329</v>
      </c>
    </row>
    <row r="82" spans="1:40" x14ac:dyDescent="0.3">
      <c r="A82" t="s">
        <v>261</v>
      </c>
      <c r="B82" t="s">
        <v>262</v>
      </c>
      <c r="C82">
        <v>75</v>
      </c>
      <c r="D82" t="s">
        <v>22</v>
      </c>
      <c r="E82">
        <v>75</v>
      </c>
      <c r="F82" t="s">
        <v>22</v>
      </c>
      <c r="G82">
        <v>61</v>
      </c>
      <c r="H82" t="s">
        <v>28</v>
      </c>
      <c r="I82">
        <f t="shared" si="12"/>
        <v>70.333333333333329</v>
      </c>
      <c r="K82">
        <f t="shared" si="13"/>
        <v>19.753086419753071</v>
      </c>
      <c r="L82">
        <f t="shared" si="14"/>
        <v>19.753086419753071</v>
      </c>
      <c r="M82">
        <f t="shared" si="15"/>
        <v>91.308641975308674</v>
      </c>
      <c r="N82">
        <v>75</v>
      </c>
      <c r="P82">
        <v>75</v>
      </c>
      <c r="Q82">
        <v>75</v>
      </c>
      <c r="R82">
        <v>75</v>
      </c>
      <c r="S82">
        <v>75</v>
      </c>
      <c r="T82">
        <v>75</v>
      </c>
      <c r="U82">
        <v>75</v>
      </c>
      <c r="V82">
        <v>75</v>
      </c>
      <c r="W82">
        <v>75</v>
      </c>
      <c r="X82">
        <v>75</v>
      </c>
      <c r="Y82">
        <v>75</v>
      </c>
      <c r="Z82">
        <v>75</v>
      </c>
      <c r="AA82">
        <v>60</v>
      </c>
      <c r="AB82">
        <v>70</v>
      </c>
      <c r="AC82">
        <v>85</v>
      </c>
      <c r="AD82">
        <v>30</v>
      </c>
      <c r="AE82">
        <v>45</v>
      </c>
      <c r="AF82">
        <v>80</v>
      </c>
      <c r="AG82">
        <f t="shared" si="16"/>
        <v>70</v>
      </c>
      <c r="AH82">
        <f t="shared" si="17"/>
        <v>73.333333333333329</v>
      </c>
      <c r="AI82">
        <f t="shared" si="18"/>
        <v>78.333333333333329</v>
      </c>
      <c r="AJ82">
        <f t="shared" si="19"/>
        <v>60</v>
      </c>
      <c r="AK82">
        <f t="shared" si="20"/>
        <v>65</v>
      </c>
      <c r="AL82">
        <f t="shared" si="21"/>
        <v>76.666666666666671</v>
      </c>
      <c r="AM82">
        <f t="shared" si="22"/>
        <v>71.1111111111111</v>
      </c>
      <c r="AN82">
        <f t="shared" si="23"/>
        <v>70.555555555555557</v>
      </c>
    </row>
    <row r="83" spans="1:40" x14ac:dyDescent="0.3">
      <c r="A83" t="s">
        <v>261</v>
      </c>
      <c r="B83" t="s">
        <v>262</v>
      </c>
      <c r="C83">
        <v>68</v>
      </c>
      <c r="D83" t="s">
        <v>28</v>
      </c>
      <c r="E83">
        <v>82</v>
      </c>
      <c r="F83" t="s">
        <v>22</v>
      </c>
      <c r="G83">
        <v>78</v>
      </c>
      <c r="H83" t="s">
        <v>22</v>
      </c>
      <c r="I83">
        <f t="shared" si="12"/>
        <v>76</v>
      </c>
      <c r="K83">
        <f t="shared" si="13"/>
        <v>70.373456790123399</v>
      </c>
      <c r="L83">
        <f t="shared" si="14"/>
        <v>31.484567901234602</v>
      </c>
      <c r="M83">
        <f t="shared" si="15"/>
        <v>2.595679012345689</v>
      </c>
      <c r="N83">
        <v>75</v>
      </c>
      <c r="P83">
        <v>80</v>
      </c>
      <c r="Q83">
        <v>60</v>
      </c>
      <c r="R83">
        <v>40</v>
      </c>
      <c r="S83">
        <v>85</v>
      </c>
      <c r="T83">
        <v>70</v>
      </c>
      <c r="U83">
        <v>85</v>
      </c>
      <c r="V83">
        <v>90</v>
      </c>
      <c r="W83">
        <v>80</v>
      </c>
      <c r="X83">
        <v>70</v>
      </c>
      <c r="Y83">
        <v>95</v>
      </c>
      <c r="Z83">
        <v>75</v>
      </c>
      <c r="AA83">
        <v>75</v>
      </c>
      <c r="AB83">
        <v>75</v>
      </c>
      <c r="AC83">
        <v>75</v>
      </c>
      <c r="AD83">
        <v>95</v>
      </c>
      <c r="AE83">
        <v>75</v>
      </c>
      <c r="AF83">
        <v>75</v>
      </c>
      <c r="AG83">
        <f t="shared" si="16"/>
        <v>78.333333333333329</v>
      </c>
      <c r="AH83">
        <f t="shared" si="17"/>
        <v>81.666666666666671</v>
      </c>
      <c r="AI83">
        <f t="shared" si="18"/>
        <v>71.666666666666671</v>
      </c>
      <c r="AJ83">
        <f t="shared" si="19"/>
        <v>68.333333333333329</v>
      </c>
      <c r="AK83">
        <f t="shared" si="20"/>
        <v>85</v>
      </c>
      <c r="AL83">
        <f t="shared" si="21"/>
        <v>73.333333333333329</v>
      </c>
      <c r="AM83">
        <f t="shared" si="22"/>
        <v>78.333333333333329</v>
      </c>
      <c r="AN83">
        <f t="shared" si="23"/>
        <v>76.388888888888886</v>
      </c>
    </row>
    <row r="84" spans="1:40" x14ac:dyDescent="0.3">
      <c r="A84" t="s">
        <v>261</v>
      </c>
      <c r="B84" t="s">
        <v>262</v>
      </c>
      <c r="C84">
        <v>77</v>
      </c>
      <c r="D84" t="s">
        <v>22</v>
      </c>
      <c r="E84">
        <v>75</v>
      </c>
      <c r="F84" t="s">
        <v>22</v>
      </c>
      <c r="G84">
        <v>75</v>
      </c>
      <c r="H84" t="s">
        <v>22</v>
      </c>
      <c r="I84">
        <f t="shared" si="12"/>
        <v>75.666666666666671</v>
      </c>
      <c r="K84">
        <f t="shared" si="13"/>
        <v>1.3611111111111223</v>
      </c>
      <c r="L84">
        <f t="shared" si="14"/>
        <v>0.69444444444443654</v>
      </c>
      <c r="M84">
        <f t="shared" si="15"/>
        <v>0.69444444444443654</v>
      </c>
      <c r="N84">
        <v>75</v>
      </c>
      <c r="P84">
        <v>75</v>
      </c>
      <c r="Q84">
        <v>75</v>
      </c>
      <c r="R84">
        <v>90</v>
      </c>
      <c r="S84">
        <v>75</v>
      </c>
      <c r="T84">
        <v>75</v>
      </c>
      <c r="U84">
        <v>75</v>
      </c>
      <c r="V84">
        <v>75</v>
      </c>
      <c r="W84">
        <v>75</v>
      </c>
      <c r="X84">
        <v>75</v>
      </c>
      <c r="Y84">
        <v>75</v>
      </c>
      <c r="Z84">
        <v>75</v>
      </c>
      <c r="AA84">
        <v>75</v>
      </c>
      <c r="AB84">
        <v>75</v>
      </c>
      <c r="AC84">
        <v>75</v>
      </c>
      <c r="AD84">
        <v>75</v>
      </c>
      <c r="AE84">
        <v>75</v>
      </c>
      <c r="AF84">
        <v>75</v>
      </c>
      <c r="AG84">
        <f t="shared" si="16"/>
        <v>75</v>
      </c>
      <c r="AH84">
        <f t="shared" si="17"/>
        <v>75</v>
      </c>
      <c r="AI84">
        <f t="shared" si="18"/>
        <v>75</v>
      </c>
      <c r="AJ84">
        <f t="shared" si="19"/>
        <v>80</v>
      </c>
      <c r="AK84">
        <f t="shared" si="20"/>
        <v>75</v>
      </c>
      <c r="AL84">
        <f t="shared" si="21"/>
        <v>75</v>
      </c>
      <c r="AM84">
        <f t="shared" si="22"/>
        <v>75</v>
      </c>
      <c r="AN84">
        <f t="shared" si="23"/>
        <v>75.833333333333329</v>
      </c>
    </row>
    <row r="85" spans="1:40" x14ac:dyDescent="0.3">
      <c r="A85" t="s">
        <v>261</v>
      </c>
      <c r="B85" t="s">
        <v>262</v>
      </c>
      <c r="C85">
        <v>65</v>
      </c>
      <c r="D85" t="s">
        <v>28</v>
      </c>
      <c r="E85">
        <v>76</v>
      </c>
      <c r="F85" t="s">
        <v>22</v>
      </c>
      <c r="G85">
        <v>65</v>
      </c>
      <c r="H85" t="s">
        <v>28</v>
      </c>
      <c r="I85">
        <f t="shared" si="12"/>
        <v>68.666666666666671</v>
      </c>
      <c r="K85">
        <f t="shared" si="13"/>
        <v>19.753086419753071</v>
      </c>
      <c r="L85">
        <f t="shared" si="14"/>
        <v>42.975308641975332</v>
      </c>
      <c r="M85">
        <f t="shared" si="15"/>
        <v>19.753086419753071</v>
      </c>
      <c r="N85">
        <v>65</v>
      </c>
      <c r="P85">
        <v>70</v>
      </c>
      <c r="Q85">
        <v>80</v>
      </c>
      <c r="R85">
        <v>40</v>
      </c>
      <c r="S85">
        <v>50</v>
      </c>
      <c r="T85">
        <v>90</v>
      </c>
      <c r="U85">
        <v>75</v>
      </c>
      <c r="V85">
        <v>85</v>
      </c>
      <c r="W85">
        <v>70</v>
      </c>
      <c r="X85">
        <v>60</v>
      </c>
      <c r="Y85">
        <v>80</v>
      </c>
      <c r="Z85">
        <v>90</v>
      </c>
      <c r="AA85">
        <v>75</v>
      </c>
      <c r="AB85">
        <v>75</v>
      </c>
      <c r="AC85">
        <v>75</v>
      </c>
      <c r="AD85">
        <v>20</v>
      </c>
      <c r="AE85">
        <v>75</v>
      </c>
      <c r="AF85">
        <v>75</v>
      </c>
      <c r="AG85">
        <f t="shared" si="16"/>
        <v>71.666666666666671</v>
      </c>
      <c r="AH85">
        <f t="shared" si="17"/>
        <v>76.666666666666671</v>
      </c>
      <c r="AI85">
        <f t="shared" si="18"/>
        <v>75</v>
      </c>
      <c r="AJ85">
        <f t="shared" si="19"/>
        <v>40</v>
      </c>
      <c r="AK85">
        <f t="shared" si="20"/>
        <v>68.333333333333329</v>
      </c>
      <c r="AL85">
        <f t="shared" si="21"/>
        <v>85</v>
      </c>
      <c r="AM85">
        <f t="shared" si="22"/>
        <v>71.666666666666671</v>
      </c>
      <c r="AN85">
        <f t="shared" si="23"/>
        <v>69.444444444444443</v>
      </c>
    </row>
    <row r="86" spans="1:40" x14ac:dyDescent="0.3">
      <c r="A86" t="s">
        <v>272</v>
      </c>
      <c r="B86" t="s">
        <v>273</v>
      </c>
      <c r="C86">
        <v>76</v>
      </c>
      <c r="D86" t="s">
        <v>22</v>
      </c>
      <c r="E86">
        <v>76</v>
      </c>
      <c r="F86" t="s">
        <v>22</v>
      </c>
      <c r="G86">
        <v>63</v>
      </c>
      <c r="H86" t="s">
        <v>28</v>
      </c>
      <c r="I86">
        <f t="shared" si="12"/>
        <v>71.666666666666671</v>
      </c>
      <c r="K86">
        <f t="shared" si="13"/>
        <v>14.271604938271556</v>
      </c>
      <c r="L86">
        <f t="shared" si="14"/>
        <v>14.271604938271556</v>
      </c>
      <c r="M86">
        <f t="shared" si="15"/>
        <v>85.049382716049493</v>
      </c>
      <c r="N86">
        <v>85</v>
      </c>
      <c r="P86">
        <v>90</v>
      </c>
      <c r="Q86">
        <v>75</v>
      </c>
      <c r="R86">
        <v>60</v>
      </c>
      <c r="S86">
        <v>80</v>
      </c>
      <c r="T86">
        <v>70</v>
      </c>
      <c r="U86">
        <v>85</v>
      </c>
      <c r="V86">
        <v>70</v>
      </c>
      <c r="W86">
        <v>65</v>
      </c>
      <c r="X86">
        <v>90</v>
      </c>
      <c r="Y86">
        <v>80</v>
      </c>
      <c r="Z86">
        <v>70</v>
      </c>
      <c r="AA86">
        <v>75</v>
      </c>
      <c r="AB86">
        <v>80</v>
      </c>
      <c r="AC86">
        <v>60</v>
      </c>
      <c r="AD86">
        <v>40</v>
      </c>
      <c r="AE86">
        <v>65</v>
      </c>
      <c r="AF86">
        <v>60</v>
      </c>
      <c r="AG86">
        <f t="shared" si="16"/>
        <v>81.666666666666671</v>
      </c>
      <c r="AH86">
        <f t="shared" si="17"/>
        <v>80</v>
      </c>
      <c r="AI86">
        <f t="shared" si="18"/>
        <v>66.666666666666671</v>
      </c>
      <c r="AJ86">
        <f t="shared" si="19"/>
        <v>63.333333333333336</v>
      </c>
      <c r="AK86">
        <f t="shared" si="20"/>
        <v>75</v>
      </c>
      <c r="AL86">
        <f t="shared" si="21"/>
        <v>66.666666666666671</v>
      </c>
      <c r="AM86">
        <f t="shared" si="22"/>
        <v>74.444444444444443</v>
      </c>
      <c r="AN86">
        <f t="shared" si="23"/>
        <v>72.222222222222229</v>
      </c>
    </row>
    <row r="87" spans="1:40" x14ac:dyDescent="0.3">
      <c r="A87" t="s">
        <v>272</v>
      </c>
      <c r="B87" t="s">
        <v>273</v>
      </c>
      <c r="C87">
        <v>76</v>
      </c>
      <c r="D87" t="s">
        <v>22</v>
      </c>
      <c r="E87">
        <v>78</v>
      </c>
      <c r="F87" t="s">
        <v>22</v>
      </c>
      <c r="G87">
        <v>76</v>
      </c>
      <c r="H87" t="s">
        <v>22</v>
      </c>
      <c r="I87">
        <f t="shared" si="12"/>
        <v>76.666666666666671</v>
      </c>
      <c r="K87">
        <f t="shared" si="13"/>
        <v>1.1141975308642009</v>
      </c>
      <c r="L87">
        <f t="shared" si="14"/>
        <v>0.89197530864197228</v>
      </c>
      <c r="M87">
        <f t="shared" si="15"/>
        <v>1.1141975308642009</v>
      </c>
      <c r="N87">
        <v>85</v>
      </c>
      <c r="P87">
        <v>75</v>
      </c>
      <c r="Q87">
        <v>90</v>
      </c>
      <c r="R87">
        <v>60</v>
      </c>
      <c r="S87">
        <v>80</v>
      </c>
      <c r="T87">
        <v>70</v>
      </c>
      <c r="U87">
        <v>85</v>
      </c>
      <c r="V87">
        <v>70</v>
      </c>
      <c r="W87">
        <v>65</v>
      </c>
      <c r="X87">
        <v>90</v>
      </c>
      <c r="Y87">
        <v>80</v>
      </c>
      <c r="Z87">
        <v>80</v>
      </c>
      <c r="AA87">
        <v>75</v>
      </c>
      <c r="AB87">
        <v>80</v>
      </c>
      <c r="AC87">
        <v>82</v>
      </c>
      <c r="AD87">
        <v>60</v>
      </c>
      <c r="AE87">
        <v>90</v>
      </c>
      <c r="AF87">
        <v>70</v>
      </c>
      <c r="AG87">
        <f t="shared" si="16"/>
        <v>81.666666666666671</v>
      </c>
      <c r="AH87">
        <f t="shared" si="17"/>
        <v>75</v>
      </c>
      <c r="AI87">
        <f t="shared" si="18"/>
        <v>79</v>
      </c>
      <c r="AJ87">
        <f t="shared" si="19"/>
        <v>70</v>
      </c>
      <c r="AK87">
        <f t="shared" si="20"/>
        <v>83.333333333333329</v>
      </c>
      <c r="AL87">
        <f t="shared" si="21"/>
        <v>73.333333333333329</v>
      </c>
      <c r="AM87">
        <f t="shared" si="22"/>
        <v>81.333333333333329</v>
      </c>
      <c r="AN87">
        <f t="shared" si="23"/>
        <v>77.055555555555557</v>
      </c>
    </row>
    <row r="88" spans="1:40" x14ac:dyDescent="0.3">
      <c r="A88" t="s">
        <v>272</v>
      </c>
      <c r="B88" t="s">
        <v>273</v>
      </c>
      <c r="C88">
        <v>70</v>
      </c>
      <c r="D88" t="s">
        <v>28</v>
      </c>
      <c r="E88">
        <v>65</v>
      </c>
      <c r="F88" t="s">
        <v>28</v>
      </c>
      <c r="G88">
        <v>75</v>
      </c>
      <c r="H88" t="s">
        <v>22</v>
      </c>
      <c r="I88">
        <f t="shared" si="12"/>
        <v>70</v>
      </c>
      <c r="K88">
        <f t="shared" si="13"/>
        <v>0.69444444444443654</v>
      </c>
      <c r="L88">
        <f t="shared" si="14"/>
        <v>34.027777777777722</v>
      </c>
      <c r="M88">
        <f t="shared" si="15"/>
        <v>17.36111111111115</v>
      </c>
      <c r="N88">
        <v>75</v>
      </c>
      <c r="P88">
        <v>80</v>
      </c>
      <c r="Q88">
        <v>80</v>
      </c>
      <c r="R88">
        <v>60</v>
      </c>
      <c r="S88">
        <v>70</v>
      </c>
      <c r="T88">
        <v>60</v>
      </c>
      <c r="U88">
        <v>75</v>
      </c>
      <c r="V88">
        <v>80</v>
      </c>
      <c r="W88">
        <v>60</v>
      </c>
      <c r="X88">
        <v>40</v>
      </c>
      <c r="Y88">
        <v>90</v>
      </c>
      <c r="Z88">
        <v>50</v>
      </c>
      <c r="AA88">
        <v>85</v>
      </c>
      <c r="AB88">
        <v>90</v>
      </c>
      <c r="AC88">
        <v>75</v>
      </c>
      <c r="AD88">
        <v>60</v>
      </c>
      <c r="AE88">
        <v>80</v>
      </c>
      <c r="AF88">
        <v>65</v>
      </c>
      <c r="AG88">
        <f t="shared" si="16"/>
        <v>78.333333333333329</v>
      </c>
      <c r="AH88">
        <f t="shared" si="17"/>
        <v>83.333333333333329</v>
      </c>
      <c r="AI88">
        <f t="shared" si="18"/>
        <v>71.666666666666671</v>
      </c>
      <c r="AJ88">
        <f t="shared" si="19"/>
        <v>53.333333333333336</v>
      </c>
      <c r="AK88">
        <f t="shared" si="20"/>
        <v>80</v>
      </c>
      <c r="AL88">
        <f t="shared" si="21"/>
        <v>58.333333333333336</v>
      </c>
      <c r="AM88">
        <f t="shared" si="22"/>
        <v>76.666666666666671</v>
      </c>
      <c r="AN88">
        <f t="shared" si="23"/>
        <v>70.833333333333329</v>
      </c>
    </row>
    <row r="89" spans="1:40" x14ac:dyDescent="0.3">
      <c r="A89" t="s">
        <v>272</v>
      </c>
      <c r="B89" t="s">
        <v>273</v>
      </c>
      <c r="C89">
        <v>75</v>
      </c>
      <c r="D89" t="s">
        <v>22</v>
      </c>
      <c r="E89">
        <v>65</v>
      </c>
      <c r="F89" t="s">
        <v>28</v>
      </c>
      <c r="G89">
        <v>80</v>
      </c>
      <c r="H89" t="s">
        <v>22</v>
      </c>
      <c r="I89">
        <f t="shared" si="12"/>
        <v>73.333333333333329</v>
      </c>
      <c r="K89">
        <f t="shared" si="13"/>
        <v>1.9290123456790036</v>
      </c>
      <c r="L89">
        <f t="shared" si="14"/>
        <v>74.151234567901284</v>
      </c>
      <c r="M89">
        <f t="shared" si="15"/>
        <v>40.817901234567863</v>
      </c>
      <c r="N89">
        <v>70</v>
      </c>
      <c r="P89">
        <v>85</v>
      </c>
      <c r="Q89">
        <v>80</v>
      </c>
      <c r="R89">
        <v>65</v>
      </c>
      <c r="S89">
        <v>70</v>
      </c>
      <c r="T89">
        <v>80</v>
      </c>
      <c r="U89">
        <v>65</v>
      </c>
      <c r="V89">
        <v>70</v>
      </c>
      <c r="W89">
        <v>80</v>
      </c>
      <c r="X89">
        <v>40</v>
      </c>
      <c r="Y89">
        <v>60</v>
      </c>
      <c r="Z89">
        <v>75</v>
      </c>
      <c r="AA89">
        <v>85</v>
      </c>
      <c r="AB89">
        <v>90</v>
      </c>
      <c r="AC89">
        <v>80</v>
      </c>
      <c r="AD89">
        <v>65</v>
      </c>
      <c r="AE89">
        <v>70</v>
      </c>
      <c r="AF89">
        <v>95</v>
      </c>
      <c r="AG89">
        <f t="shared" si="16"/>
        <v>73.333333333333329</v>
      </c>
      <c r="AH89">
        <f t="shared" si="17"/>
        <v>81.666666666666671</v>
      </c>
      <c r="AI89">
        <f t="shared" si="18"/>
        <v>80</v>
      </c>
      <c r="AJ89">
        <f t="shared" si="19"/>
        <v>56.666666666666664</v>
      </c>
      <c r="AK89">
        <f t="shared" si="20"/>
        <v>66.666666666666671</v>
      </c>
      <c r="AL89">
        <f t="shared" si="21"/>
        <v>83.333333333333329</v>
      </c>
      <c r="AM89">
        <f t="shared" si="22"/>
        <v>73.333333333333329</v>
      </c>
      <c r="AN89">
        <f t="shared" si="23"/>
        <v>73.611111111111114</v>
      </c>
    </row>
    <row r="90" spans="1:40" x14ac:dyDescent="0.3">
      <c r="A90" t="s">
        <v>283</v>
      </c>
      <c r="B90" t="s">
        <v>284</v>
      </c>
      <c r="C90">
        <v>70</v>
      </c>
      <c r="D90" t="s">
        <v>28</v>
      </c>
      <c r="E90">
        <v>75</v>
      </c>
      <c r="F90" t="s">
        <v>22</v>
      </c>
      <c r="G90">
        <v>78</v>
      </c>
      <c r="H90" t="s">
        <v>22</v>
      </c>
      <c r="I90">
        <f t="shared" si="12"/>
        <v>74.333333333333329</v>
      </c>
      <c r="K90">
        <f t="shared" si="13"/>
        <v>22.299382716049443</v>
      </c>
      <c r="L90">
        <f t="shared" si="14"/>
        <v>7.7160493827156978E-2</v>
      </c>
      <c r="M90">
        <f t="shared" si="15"/>
        <v>10.743827160493785</v>
      </c>
      <c r="N90">
        <v>75</v>
      </c>
      <c r="P90">
        <v>75</v>
      </c>
      <c r="Q90">
        <v>75</v>
      </c>
      <c r="R90">
        <v>50</v>
      </c>
      <c r="S90">
        <v>75</v>
      </c>
      <c r="T90">
        <v>75</v>
      </c>
      <c r="U90">
        <v>75</v>
      </c>
      <c r="V90">
        <v>75</v>
      </c>
      <c r="W90">
        <v>75</v>
      </c>
      <c r="X90">
        <v>75</v>
      </c>
      <c r="Y90">
        <v>75</v>
      </c>
      <c r="Z90">
        <v>75</v>
      </c>
      <c r="AA90">
        <v>85</v>
      </c>
      <c r="AB90">
        <v>75</v>
      </c>
      <c r="AC90">
        <v>80</v>
      </c>
      <c r="AD90">
        <v>60</v>
      </c>
      <c r="AE90">
        <v>80</v>
      </c>
      <c r="AF90">
        <v>90</v>
      </c>
      <c r="AG90">
        <f t="shared" si="16"/>
        <v>78.333333333333329</v>
      </c>
      <c r="AH90">
        <f t="shared" si="17"/>
        <v>75</v>
      </c>
      <c r="AI90">
        <f t="shared" si="18"/>
        <v>76.666666666666671</v>
      </c>
      <c r="AJ90">
        <f t="shared" si="19"/>
        <v>61.666666666666664</v>
      </c>
      <c r="AK90">
        <f t="shared" si="20"/>
        <v>76.666666666666671</v>
      </c>
      <c r="AL90">
        <f t="shared" si="21"/>
        <v>80</v>
      </c>
      <c r="AM90">
        <f t="shared" si="22"/>
        <v>77.222222222222229</v>
      </c>
      <c r="AN90">
        <f t="shared" si="23"/>
        <v>74.722222222222229</v>
      </c>
    </row>
    <row r="91" spans="1:40" x14ac:dyDescent="0.3">
      <c r="A91" t="s">
        <v>283</v>
      </c>
      <c r="B91" t="s">
        <v>284</v>
      </c>
      <c r="C91">
        <v>71</v>
      </c>
      <c r="D91" t="s">
        <v>28</v>
      </c>
      <c r="E91">
        <v>80</v>
      </c>
      <c r="F91" t="s">
        <v>22</v>
      </c>
      <c r="G91">
        <v>69</v>
      </c>
      <c r="H91" t="s">
        <v>28</v>
      </c>
      <c r="I91">
        <f t="shared" si="12"/>
        <v>73.333333333333329</v>
      </c>
      <c r="K91">
        <f t="shared" si="13"/>
        <v>6.817901234567918</v>
      </c>
      <c r="L91">
        <f t="shared" si="14"/>
        <v>40.817901234567863</v>
      </c>
      <c r="M91">
        <f t="shared" si="15"/>
        <v>21.262345679012373</v>
      </c>
      <c r="N91">
        <v>85</v>
      </c>
      <c r="P91">
        <v>80</v>
      </c>
      <c r="Q91">
        <v>75</v>
      </c>
      <c r="R91">
        <v>50</v>
      </c>
      <c r="S91">
        <v>60</v>
      </c>
      <c r="T91">
        <v>80</v>
      </c>
      <c r="U91">
        <v>85</v>
      </c>
      <c r="V91">
        <v>90</v>
      </c>
      <c r="W91">
        <v>70</v>
      </c>
      <c r="X91">
        <v>60</v>
      </c>
      <c r="Y91">
        <v>80</v>
      </c>
      <c r="Z91">
        <v>95</v>
      </c>
      <c r="AA91">
        <v>85</v>
      </c>
      <c r="AB91">
        <v>90</v>
      </c>
      <c r="AC91">
        <v>70</v>
      </c>
      <c r="AD91">
        <v>30</v>
      </c>
      <c r="AE91">
        <v>80</v>
      </c>
      <c r="AF91">
        <v>60</v>
      </c>
      <c r="AG91">
        <f t="shared" si="16"/>
        <v>85</v>
      </c>
      <c r="AH91">
        <f t="shared" si="17"/>
        <v>86.666666666666671</v>
      </c>
      <c r="AI91">
        <f t="shared" si="18"/>
        <v>71.666666666666671</v>
      </c>
      <c r="AJ91">
        <f t="shared" si="19"/>
        <v>46.666666666666664</v>
      </c>
      <c r="AK91">
        <f t="shared" si="20"/>
        <v>73.333333333333329</v>
      </c>
      <c r="AL91">
        <f t="shared" si="21"/>
        <v>78.333333333333329</v>
      </c>
      <c r="AM91">
        <f t="shared" si="22"/>
        <v>76.666666666666671</v>
      </c>
      <c r="AN91">
        <f t="shared" si="23"/>
        <v>73.611111111111114</v>
      </c>
    </row>
    <row r="92" spans="1:40" x14ac:dyDescent="0.3">
      <c r="A92" t="s">
        <v>283</v>
      </c>
      <c r="B92" t="s">
        <v>284</v>
      </c>
      <c r="C92">
        <v>72</v>
      </c>
      <c r="D92" t="s">
        <v>28</v>
      </c>
      <c r="E92">
        <v>75</v>
      </c>
      <c r="F92" t="s">
        <v>22</v>
      </c>
      <c r="G92">
        <v>53</v>
      </c>
      <c r="H92" t="s">
        <v>71</v>
      </c>
      <c r="I92">
        <f t="shared" si="12"/>
        <v>66.666666666666671</v>
      </c>
      <c r="K92">
        <f t="shared" si="13"/>
        <v>25.558641975308657</v>
      </c>
      <c r="L92">
        <f t="shared" si="14"/>
        <v>64.891975308642003</v>
      </c>
      <c r="M92">
        <f t="shared" si="15"/>
        <v>194.44753086419749</v>
      </c>
      <c r="N92">
        <v>75</v>
      </c>
      <c r="P92">
        <v>75</v>
      </c>
      <c r="Q92">
        <v>75</v>
      </c>
      <c r="R92">
        <v>60</v>
      </c>
      <c r="S92">
        <v>75</v>
      </c>
      <c r="T92">
        <v>75</v>
      </c>
      <c r="U92">
        <v>75</v>
      </c>
      <c r="V92">
        <v>75</v>
      </c>
      <c r="W92">
        <v>75</v>
      </c>
      <c r="X92">
        <v>75</v>
      </c>
      <c r="Y92">
        <v>75</v>
      </c>
      <c r="Z92">
        <v>75</v>
      </c>
      <c r="AA92">
        <v>50</v>
      </c>
      <c r="AB92">
        <v>60</v>
      </c>
      <c r="AC92">
        <v>70</v>
      </c>
      <c r="AD92">
        <v>20</v>
      </c>
      <c r="AE92">
        <v>40</v>
      </c>
      <c r="AF92">
        <v>80</v>
      </c>
      <c r="AG92">
        <f t="shared" si="16"/>
        <v>66.666666666666671</v>
      </c>
      <c r="AH92">
        <f t="shared" si="17"/>
        <v>70</v>
      </c>
      <c r="AI92">
        <f t="shared" si="18"/>
        <v>73.333333333333329</v>
      </c>
      <c r="AJ92">
        <f t="shared" si="19"/>
        <v>51.666666666666664</v>
      </c>
      <c r="AK92">
        <f t="shared" si="20"/>
        <v>63.333333333333336</v>
      </c>
      <c r="AL92">
        <f t="shared" si="21"/>
        <v>76.666666666666671</v>
      </c>
      <c r="AM92">
        <f t="shared" si="22"/>
        <v>67.777777777777786</v>
      </c>
      <c r="AN92">
        <f t="shared" si="23"/>
        <v>66.944444444444443</v>
      </c>
    </row>
    <row r="93" spans="1:40" x14ac:dyDescent="0.3">
      <c r="A93" t="s">
        <v>283</v>
      </c>
      <c r="B93" t="s">
        <v>284</v>
      </c>
      <c r="C93">
        <v>76</v>
      </c>
      <c r="D93" t="s">
        <v>22</v>
      </c>
      <c r="E93">
        <v>76</v>
      </c>
      <c r="F93" t="s">
        <v>22</v>
      </c>
      <c r="G93">
        <v>75</v>
      </c>
      <c r="H93" t="s">
        <v>22</v>
      </c>
      <c r="I93">
        <f t="shared" si="12"/>
        <v>75.666666666666671</v>
      </c>
      <c r="K93">
        <f t="shared" si="13"/>
        <v>1.2345679012346381E-2</v>
      </c>
      <c r="L93">
        <f t="shared" si="14"/>
        <v>1.2345679012346381E-2</v>
      </c>
      <c r="M93">
        <f t="shared" si="15"/>
        <v>1.2345679012345749</v>
      </c>
      <c r="N93">
        <v>70</v>
      </c>
      <c r="P93">
        <v>80</v>
      </c>
      <c r="Q93">
        <v>75</v>
      </c>
      <c r="R93">
        <v>60</v>
      </c>
      <c r="S93">
        <v>85</v>
      </c>
      <c r="T93">
        <v>90</v>
      </c>
      <c r="U93">
        <v>85</v>
      </c>
      <c r="V93">
        <v>90</v>
      </c>
      <c r="W93">
        <v>70</v>
      </c>
      <c r="X93">
        <v>60</v>
      </c>
      <c r="Y93">
        <v>80</v>
      </c>
      <c r="Z93">
        <v>75</v>
      </c>
      <c r="AA93">
        <v>75</v>
      </c>
      <c r="AB93">
        <v>75</v>
      </c>
      <c r="AC93">
        <v>75</v>
      </c>
      <c r="AD93">
        <v>75</v>
      </c>
      <c r="AE93">
        <v>75</v>
      </c>
      <c r="AF93">
        <v>75</v>
      </c>
      <c r="AG93">
        <f t="shared" si="16"/>
        <v>76.666666666666671</v>
      </c>
      <c r="AH93">
        <f t="shared" si="17"/>
        <v>81.666666666666671</v>
      </c>
      <c r="AI93">
        <f t="shared" si="18"/>
        <v>73.333333333333329</v>
      </c>
      <c r="AJ93">
        <f t="shared" si="19"/>
        <v>65</v>
      </c>
      <c r="AK93">
        <f t="shared" si="20"/>
        <v>80</v>
      </c>
      <c r="AL93">
        <f t="shared" si="21"/>
        <v>80</v>
      </c>
      <c r="AM93">
        <f t="shared" si="22"/>
        <v>76.666666666666671</v>
      </c>
      <c r="AN93">
        <f t="shared" si="23"/>
        <v>76.111111111111114</v>
      </c>
    </row>
    <row r="94" spans="1:40" x14ac:dyDescent="0.3">
      <c r="A94" t="s">
        <v>294</v>
      </c>
      <c r="B94" t="s">
        <v>295</v>
      </c>
      <c r="C94">
        <v>68</v>
      </c>
      <c r="D94" t="s">
        <v>28</v>
      </c>
      <c r="E94">
        <v>69</v>
      </c>
      <c r="F94" t="s">
        <v>28</v>
      </c>
      <c r="G94">
        <v>78</v>
      </c>
      <c r="H94" t="s">
        <v>22</v>
      </c>
      <c r="I94">
        <f t="shared" si="12"/>
        <v>71.666666666666671</v>
      </c>
      <c r="K94">
        <f t="shared" si="13"/>
        <v>15.55864197530863</v>
      </c>
      <c r="L94">
        <f t="shared" si="14"/>
        <v>8.6697530864197443</v>
      </c>
      <c r="M94">
        <f t="shared" si="15"/>
        <v>36.669753086419774</v>
      </c>
      <c r="N94">
        <v>75</v>
      </c>
      <c r="P94">
        <v>80</v>
      </c>
      <c r="Q94">
        <v>60</v>
      </c>
      <c r="R94">
        <v>40</v>
      </c>
      <c r="S94">
        <v>90</v>
      </c>
      <c r="T94">
        <v>65</v>
      </c>
      <c r="U94">
        <v>75</v>
      </c>
      <c r="V94">
        <v>80</v>
      </c>
      <c r="W94">
        <v>60</v>
      </c>
      <c r="X94">
        <v>40</v>
      </c>
      <c r="Y94">
        <v>90</v>
      </c>
      <c r="Z94">
        <v>70</v>
      </c>
      <c r="AA94">
        <v>85</v>
      </c>
      <c r="AB94">
        <v>90</v>
      </c>
      <c r="AC94">
        <v>75</v>
      </c>
      <c r="AD94">
        <v>60</v>
      </c>
      <c r="AE94">
        <v>80</v>
      </c>
      <c r="AF94">
        <v>80</v>
      </c>
      <c r="AG94">
        <f t="shared" si="16"/>
        <v>78.333333333333329</v>
      </c>
      <c r="AH94">
        <f t="shared" si="17"/>
        <v>83.333333333333329</v>
      </c>
      <c r="AI94">
        <f t="shared" si="18"/>
        <v>65</v>
      </c>
      <c r="AJ94">
        <f t="shared" si="19"/>
        <v>46.666666666666664</v>
      </c>
      <c r="AK94">
        <f t="shared" si="20"/>
        <v>86.666666666666671</v>
      </c>
      <c r="AL94">
        <f t="shared" si="21"/>
        <v>71.666666666666671</v>
      </c>
      <c r="AM94">
        <f t="shared" si="22"/>
        <v>76.666666666666671</v>
      </c>
      <c r="AN94">
        <f t="shared" si="23"/>
        <v>71.944444444444443</v>
      </c>
    </row>
    <row r="95" spans="1:40" x14ac:dyDescent="0.3">
      <c r="A95" t="s">
        <v>294</v>
      </c>
      <c r="B95" t="s">
        <v>295</v>
      </c>
      <c r="C95">
        <v>79</v>
      </c>
      <c r="D95" t="s">
        <v>22</v>
      </c>
      <c r="E95">
        <v>75</v>
      </c>
      <c r="F95" t="s">
        <v>22</v>
      </c>
      <c r="G95">
        <v>51</v>
      </c>
      <c r="H95" t="s">
        <v>71</v>
      </c>
      <c r="I95">
        <f t="shared" si="12"/>
        <v>68.333333333333329</v>
      </c>
      <c r="K95">
        <f t="shared" si="13"/>
        <v>107.92901234567894</v>
      </c>
      <c r="L95">
        <f t="shared" si="14"/>
        <v>40.817901234567863</v>
      </c>
      <c r="M95">
        <f t="shared" si="15"/>
        <v>310.15123456790133</v>
      </c>
      <c r="N95">
        <v>85</v>
      </c>
      <c r="P95">
        <v>90</v>
      </c>
      <c r="Q95">
        <v>70</v>
      </c>
      <c r="R95">
        <v>60</v>
      </c>
      <c r="S95">
        <v>80</v>
      </c>
      <c r="T95">
        <v>90</v>
      </c>
      <c r="U95">
        <v>75</v>
      </c>
      <c r="V95">
        <v>75</v>
      </c>
      <c r="W95">
        <v>75</v>
      </c>
      <c r="X95">
        <v>75</v>
      </c>
      <c r="Y95">
        <v>75</v>
      </c>
      <c r="Z95">
        <v>75</v>
      </c>
      <c r="AA95">
        <v>45</v>
      </c>
      <c r="AB95">
        <v>60</v>
      </c>
      <c r="AC95">
        <v>70</v>
      </c>
      <c r="AD95">
        <v>25</v>
      </c>
      <c r="AE95">
        <v>30</v>
      </c>
      <c r="AF95">
        <v>80</v>
      </c>
      <c r="AG95">
        <f t="shared" si="16"/>
        <v>68.333333333333329</v>
      </c>
      <c r="AH95">
        <f t="shared" si="17"/>
        <v>75</v>
      </c>
      <c r="AI95">
        <f t="shared" si="18"/>
        <v>71.666666666666671</v>
      </c>
      <c r="AJ95">
        <f t="shared" si="19"/>
        <v>53.333333333333336</v>
      </c>
      <c r="AK95">
        <f t="shared" si="20"/>
        <v>61.666666666666664</v>
      </c>
      <c r="AL95">
        <f t="shared" si="21"/>
        <v>81.666666666666671</v>
      </c>
      <c r="AM95">
        <f t="shared" si="22"/>
        <v>67.222222222222214</v>
      </c>
      <c r="AN95">
        <f t="shared" si="23"/>
        <v>68.611111111111114</v>
      </c>
    </row>
    <row r="96" spans="1:40" x14ac:dyDescent="0.3">
      <c r="A96" t="s">
        <v>294</v>
      </c>
      <c r="B96" t="s">
        <v>295</v>
      </c>
      <c r="C96">
        <v>80</v>
      </c>
      <c r="D96" t="s">
        <v>22</v>
      </c>
      <c r="E96">
        <v>75</v>
      </c>
      <c r="F96" t="s">
        <v>22</v>
      </c>
      <c r="G96">
        <v>75</v>
      </c>
      <c r="H96" t="s">
        <v>22</v>
      </c>
      <c r="I96">
        <f t="shared" si="12"/>
        <v>76.666666666666671</v>
      </c>
      <c r="K96">
        <f t="shared" si="13"/>
        <v>7.7160493827160934</v>
      </c>
      <c r="L96">
        <f t="shared" si="14"/>
        <v>4.9382716049382367</v>
      </c>
      <c r="M96">
        <f t="shared" si="15"/>
        <v>4.9382716049382367</v>
      </c>
      <c r="N96">
        <v>85</v>
      </c>
      <c r="P96">
        <v>90</v>
      </c>
      <c r="Q96">
        <v>70</v>
      </c>
      <c r="R96">
        <v>65</v>
      </c>
      <c r="S96">
        <v>80</v>
      </c>
      <c r="T96">
        <v>95</v>
      </c>
      <c r="U96">
        <v>75</v>
      </c>
      <c r="V96">
        <v>75</v>
      </c>
      <c r="W96">
        <v>75</v>
      </c>
      <c r="X96">
        <v>75</v>
      </c>
      <c r="Y96">
        <v>75</v>
      </c>
      <c r="Z96">
        <v>75</v>
      </c>
      <c r="AA96">
        <v>75</v>
      </c>
      <c r="AB96">
        <v>75</v>
      </c>
      <c r="AC96">
        <v>75</v>
      </c>
      <c r="AD96">
        <v>80</v>
      </c>
      <c r="AE96">
        <v>75</v>
      </c>
      <c r="AF96">
        <v>75</v>
      </c>
      <c r="AG96">
        <f t="shared" si="16"/>
        <v>78.333333333333329</v>
      </c>
      <c r="AH96">
        <f t="shared" si="17"/>
        <v>80</v>
      </c>
      <c r="AI96">
        <f t="shared" si="18"/>
        <v>73.333333333333329</v>
      </c>
      <c r="AJ96">
        <f t="shared" si="19"/>
        <v>73.333333333333329</v>
      </c>
      <c r="AK96">
        <f t="shared" si="20"/>
        <v>76.666666666666671</v>
      </c>
      <c r="AL96">
        <f t="shared" si="21"/>
        <v>81.666666666666671</v>
      </c>
      <c r="AM96">
        <f t="shared" si="22"/>
        <v>76.1111111111111</v>
      </c>
      <c r="AN96">
        <f t="shared" si="23"/>
        <v>77.222222222222214</v>
      </c>
    </row>
    <row r="97" spans="1:40" x14ac:dyDescent="0.3">
      <c r="A97" t="s">
        <v>294</v>
      </c>
      <c r="B97" t="s">
        <v>295</v>
      </c>
      <c r="C97">
        <v>77</v>
      </c>
      <c r="D97" t="s">
        <v>22</v>
      </c>
      <c r="E97">
        <v>75</v>
      </c>
      <c r="F97" t="s">
        <v>22</v>
      </c>
      <c r="G97">
        <v>73</v>
      </c>
      <c r="H97" t="s">
        <v>28</v>
      </c>
      <c r="I97">
        <f t="shared" si="12"/>
        <v>75</v>
      </c>
      <c r="K97">
        <f t="shared" si="13"/>
        <v>2.9660493827160224</v>
      </c>
      <c r="L97">
        <f t="shared" si="14"/>
        <v>7.7160493827164875E-2</v>
      </c>
      <c r="M97">
        <f t="shared" si="15"/>
        <v>5.1882716049383077</v>
      </c>
      <c r="N97">
        <v>85</v>
      </c>
      <c r="P97">
        <v>90</v>
      </c>
      <c r="Q97">
        <v>70</v>
      </c>
      <c r="R97">
        <v>60</v>
      </c>
      <c r="S97">
        <v>80</v>
      </c>
      <c r="T97">
        <v>80</v>
      </c>
      <c r="U97">
        <v>75</v>
      </c>
      <c r="V97">
        <v>75</v>
      </c>
      <c r="W97">
        <v>75</v>
      </c>
      <c r="X97">
        <v>75</v>
      </c>
      <c r="Y97">
        <v>75</v>
      </c>
      <c r="Z97">
        <v>75</v>
      </c>
      <c r="AA97">
        <v>75</v>
      </c>
      <c r="AB97">
        <v>75</v>
      </c>
      <c r="AC97">
        <v>75</v>
      </c>
      <c r="AD97">
        <v>65</v>
      </c>
      <c r="AE97">
        <v>75</v>
      </c>
      <c r="AF97">
        <v>75</v>
      </c>
      <c r="AG97">
        <f t="shared" si="16"/>
        <v>78.333333333333329</v>
      </c>
      <c r="AH97">
        <f t="shared" si="17"/>
        <v>80</v>
      </c>
      <c r="AI97">
        <f t="shared" si="18"/>
        <v>73.333333333333329</v>
      </c>
      <c r="AJ97">
        <f t="shared" si="19"/>
        <v>66.666666666666671</v>
      </c>
      <c r="AK97">
        <f t="shared" si="20"/>
        <v>76.666666666666671</v>
      </c>
      <c r="AL97">
        <f t="shared" si="21"/>
        <v>76.666666666666671</v>
      </c>
      <c r="AM97">
        <f t="shared" si="22"/>
        <v>76.1111111111111</v>
      </c>
      <c r="AN97">
        <f t="shared" si="23"/>
        <v>75.277777777777786</v>
      </c>
    </row>
    <row r="98" spans="1:40" x14ac:dyDescent="0.3">
      <c r="A98" t="s">
        <v>305</v>
      </c>
      <c r="B98" t="s">
        <v>306</v>
      </c>
      <c r="C98">
        <v>76</v>
      </c>
      <c r="D98" t="s">
        <v>22</v>
      </c>
      <c r="E98">
        <v>56</v>
      </c>
      <c r="F98" t="s">
        <v>71</v>
      </c>
      <c r="G98">
        <v>60</v>
      </c>
      <c r="H98" t="s">
        <v>28</v>
      </c>
      <c r="I98">
        <f t="shared" si="12"/>
        <v>64</v>
      </c>
      <c r="K98">
        <f t="shared" si="13"/>
        <v>127.18827160493812</v>
      </c>
      <c r="L98">
        <f t="shared" si="14"/>
        <v>76.077160493827265</v>
      </c>
      <c r="M98">
        <f t="shared" si="15"/>
        <v>22.299382716049443</v>
      </c>
      <c r="N98">
        <v>85</v>
      </c>
      <c r="P98">
        <v>75</v>
      </c>
      <c r="Q98">
        <v>90</v>
      </c>
      <c r="R98">
        <v>60</v>
      </c>
      <c r="S98">
        <v>80</v>
      </c>
      <c r="T98">
        <v>70</v>
      </c>
      <c r="U98">
        <v>65</v>
      </c>
      <c r="V98">
        <v>75</v>
      </c>
      <c r="W98">
        <v>80</v>
      </c>
      <c r="X98">
        <v>30</v>
      </c>
      <c r="Y98">
        <v>40</v>
      </c>
      <c r="Z98">
        <v>50</v>
      </c>
      <c r="AA98">
        <v>70</v>
      </c>
      <c r="AB98">
        <v>80</v>
      </c>
      <c r="AC98">
        <v>60</v>
      </c>
      <c r="AD98">
        <v>50</v>
      </c>
      <c r="AE98">
        <v>65</v>
      </c>
      <c r="AF98">
        <v>40</v>
      </c>
      <c r="AG98">
        <f t="shared" si="16"/>
        <v>73.333333333333329</v>
      </c>
      <c r="AH98">
        <f t="shared" si="17"/>
        <v>76.666666666666671</v>
      </c>
      <c r="AI98">
        <f t="shared" si="18"/>
        <v>76.666666666666671</v>
      </c>
      <c r="AJ98">
        <f t="shared" si="19"/>
        <v>46.666666666666664</v>
      </c>
      <c r="AK98">
        <f t="shared" si="20"/>
        <v>61.666666666666664</v>
      </c>
      <c r="AL98">
        <f t="shared" si="21"/>
        <v>53.333333333333336</v>
      </c>
      <c r="AM98">
        <f t="shared" si="22"/>
        <v>70.555555555555557</v>
      </c>
      <c r="AN98">
        <f t="shared" si="23"/>
        <v>64.722222222222229</v>
      </c>
    </row>
    <row r="99" spans="1:40" x14ac:dyDescent="0.3">
      <c r="A99" t="s">
        <v>305</v>
      </c>
      <c r="B99" t="s">
        <v>306</v>
      </c>
      <c r="C99">
        <v>66</v>
      </c>
      <c r="D99" t="s">
        <v>28</v>
      </c>
      <c r="E99">
        <v>76</v>
      </c>
      <c r="F99" t="s">
        <v>22</v>
      </c>
      <c r="G99">
        <v>76</v>
      </c>
      <c r="H99" t="s">
        <v>22</v>
      </c>
      <c r="I99">
        <f t="shared" si="12"/>
        <v>72.666666666666671</v>
      </c>
      <c r="K99">
        <f t="shared" si="13"/>
        <v>53.777777777777708</v>
      </c>
      <c r="L99">
        <f t="shared" si="14"/>
        <v>7.1111111111111365</v>
      </c>
      <c r="M99">
        <f t="shared" si="15"/>
        <v>7.1111111111111365</v>
      </c>
      <c r="N99">
        <v>85</v>
      </c>
      <c r="P99">
        <v>70</v>
      </c>
      <c r="Q99">
        <v>65</v>
      </c>
      <c r="R99">
        <v>40</v>
      </c>
      <c r="S99">
        <v>80</v>
      </c>
      <c r="T99">
        <v>60</v>
      </c>
      <c r="U99">
        <v>85</v>
      </c>
      <c r="V99">
        <v>90</v>
      </c>
      <c r="W99">
        <v>75</v>
      </c>
      <c r="X99">
        <v>60</v>
      </c>
      <c r="Y99">
        <v>70</v>
      </c>
      <c r="Z99">
        <v>80</v>
      </c>
      <c r="AA99">
        <v>85</v>
      </c>
      <c r="AB99">
        <v>90</v>
      </c>
      <c r="AC99">
        <v>75</v>
      </c>
      <c r="AD99">
        <v>60</v>
      </c>
      <c r="AE99">
        <v>80</v>
      </c>
      <c r="AF99">
        <v>70</v>
      </c>
      <c r="AG99">
        <f t="shared" si="16"/>
        <v>85</v>
      </c>
      <c r="AH99">
        <f t="shared" si="17"/>
        <v>83.333333333333329</v>
      </c>
      <c r="AI99">
        <f t="shared" si="18"/>
        <v>71.666666666666671</v>
      </c>
      <c r="AJ99">
        <f t="shared" si="19"/>
        <v>53.333333333333336</v>
      </c>
      <c r="AK99">
        <f t="shared" si="20"/>
        <v>76.666666666666671</v>
      </c>
      <c r="AL99">
        <f t="shared" si="21"/>
        <v>70</v>
      </c>
      <c r="AM99">
        <f t="shared" si="22"/>
        <v>77.777777777777786</v>
      </c>
      <c r="AN99">
        <f t="shared" si="23"/>
        <v>73.333333333333329</v>
      </c>
    </row>
    <row r="100" spans="1:40" x14ac:dyDescent="0.3">
      <c r="A100" t="s">
        <v>305</v>
      </c>
      <c r="B100" t="s">
        <v>306</v>
      </c>
      <c r="C100">
        <v>80</v>
      </c>
      <c r="D100" t="s">
        <v>22</v>
      </c>
      <c r="E100">
        <v>76</v>
      </c>
      <c r="F100" t="s">
        <v>22</v>
      </c>
      <c r="G100">
        <v>74</v>
      </c>
      <c r="H100" t="s">
        <v>28</v>
      </c>
      <c r="I100">
        <f t="shared" si="12"/>
        <v>76.666666666666671</v>
      </c>
      <c r="K100">
        <f t="shared" si="13"/>
        <v>9.3364197530864299</v>
      </c>
      <c r="L100">
        <f t="shared" si="14"/>
        <v>0.89197530864197228</v>
      </c>
      <c r="M100">
        <f t="shared" si="15"/>
        <v>8.6697530864197443</v>
      </c>
      <c r="N100">
        <v>85</v>
      </c>
      <c r="P100">
        <v>90</v>
      </c>
      <c r="Q100">
        <v>75</v>
      </c>
      <c r="R100">
        <v>60</v>
      </c>
      <c r="S100">
        <v>80</v>
      </c>
      <c r="T100">
        <v>90</v>
      </c>
      <c r="U100">
        <v>85</v>
      </c>
      <c r="V100">
        <v>70</v>
      </c>
      <c r="W100">
        <v>60</v>
      </c>
      <c r="X100">
        <v>90</v>
      </c>
      <c r="Y100">
        <v>75</v>
      </c>
      <c r="Z100">
        <v>80</v>
      </c>
      <c r="AA100">
        <v>85</v>
      </c>
      <c r="AB100">
        <v>75</v>
      </c>
      <c r="AC100">
        <v>70</v>
      </c>
      <c r="AD100">
        <v>60</v>
      </c>
      <c r="AE100">
        <v>90</v>
      </c>
      <c r="AF100">
        <v>65</v>
      </c>
      <c r="AG100">
        <f t="shared" si="16"/>
        <v>85</v>
      </c>
      <c r="AH100">
        <f t="shared" si="17"/>
        <v>78.333333333333329</v>
      </c>
      <c r="AI100">
        <f t="shared" si="18"/>
        <v>68.333333333333329</v>
      </c>
      <c r="AJ100">
        <f t="shared" si="19"/>
        <v>70</v>
      </c>
      <c r="AK100">
        <f t="shared" si="20"/>
        <v>81.666666666666671</v>
      </c>
      <c r="AL100">
        <f t="shared" si="21"/>
        <v>78.333333333333329</v>
      </c>
      <c r="AM100">
        <f t="shared" si="22"/>
        <v>78.333333333333329</v>
      </c>
      <c r="AN100">
        <f t="shared" si="23"/>
        <v>76.944444444444443</v>
      </c>
    </row>
    <row r="101" spans="1:40" x14ac:dyDescent="0.3">
      <c r="A101" t="s">
        <v>305</v>
      </c>
      <c r="B101" t="s">
        <v>306</v>
      </c>
      <c r="C101">
        <v>75</v>
      </c>
      <c r="D101" t="s">
        <v>22</v>
      </c>
      <c r="E101">
        <v>75</v>
      </c>
      <c r="F101" t="s">
        <v>22</v>
      </c>
      <c r="G101">
        <v>81</v>
      </c>
      <c r="H101" t="s">
        <v>22</v>
      </c>
      <c r="I101">
        <f t="shared" si="12"/>
        <v>77</v>
      </c>
      <c r="K101">
        <f t="shared" si="13"/>
        <v>4.9382716049382367</v>
      </c>
      <c r="L101">
        <f t="shared" si="14"/>
        <v>4.9382716049382367</v>
      </c>
      <c r="M101">
        <f t="shared" si="15"/>
        <v>14.271604938271665</v>
      </c>
      <c r="N101">
        <v>75</v>
      </c>
      <c r="P101">
        <v>75</v>
      </c>
      <c r="Q101">
        <v>75</v>
      </c>
      <c r="R101">
        <v>75</v>
      </c>
      <c r="S101">
        <v>75</v>
      </c>
      <c r="T101">
        <v>75</v>
      </c>
      <c r="U101">
        <v>75</v>
      </c>
      <c r="V101">
        <v>85</v>
      </c>
      <c r="W101">
        <v>80</v>
      </c>
      <c r="X101">
        <v>60</v>
      </c>
      <c r="Y101">
        <v>80</v>
      </c>
      <c r="Z101">
        <v>70</v>
      </c>
      <c r="AA101">
        <v>75</v>
      </c>
      <c r="AB101">
        <v>80</v>
      </c>
      <c r="AC101">
        <v>70</v>
      </c>
      <c r="AD101">
        <v>95</v>
      </c>
      <c r="AE101">
        <v>80</v>
      </c>
      <c r="AF101">
        <v>90</v>
      </c>
      <c r="AG101">
        <f t="shared" si="16"/>
        <v>75</v>
      </c>
      <c r="AH101">
        <f t="shared" si="17"/>
        <v>80</v>
      </c>
      <c r="AI101">
        <f t="shared" si="18"/>
        <v>75</v>
      </c>
      <c r="AJ101">
        <f t="shared" si="19"/>
        <v>76.666666666666671</v>
      </c>
      <c r="AK101">
        <f t="shared" si="20"/>
        <v>78.333333333333329</v>
      </c>
      <c r="AL101">
        <f t="shared" si="21"/>
        <v>78.333333333333329</v>
      </c>
      <c r="AM101">
        <f t="shared" si="22"/>
        <v>76.1111111111111</v>
      </c>
      <c r="AN101">
        <f t="shared" si="23"/>
        <v>77.222222222222214</v>
      </c>
    </row>
    <row r="102" spans="1:40" x14ac:dyDescent="0.3">
      <c r="A102" t="s">
        <v>316</v>
      </c>
      <c r="B102" t="s">
        <v>317</v>
      </c>
      <c r="C102">
        <v>78</v>
      </c>
      <c r="D102" t="s">
        <v>22</v>
      </c>
      <c r="E102">
        <v>67</v>
      </c>
      <c r="F102" t="s">
        <v>28</v>
      </c>
      <c r="G102">
        <v>70</v>
      </c>
      <c r="H102" t="s">
        <v>28</v>
      </c>
      <c r="I102">
        <f t="shared" si="12"/>
        <v>71.666666666666671</v>
      </c>
      <c r="K102">
        <f t="shared" si="13"/>
        <v>36.669753086419774</v>
      </c>
      <c r="L102">
        <f t="shared" si="14"/>
        <v>24.447530864197514</v>
      </c>
      <c r="M102">
        <f t="shared" si="15"/>
        <v>3.7808641975308581</v>
      </c>
      <c r="N102">
        <v>90</v>
      </c>
      <c r="P102">
        <v>85</v>
      </c>
      <c r="Q102">
        <v>70</v>
      </c>
      <c r="R102">
        <v>60</v>
      </c>
      <c r="S102">
        <v>80</v>
      </c>
      <c r="T102">
        <v>85</v>
      </c>
      <c r="U102">
        <v>60</v>
      </c>
      <c r="V102">
        <v>70</v>
      </c>
      <c r="W102">
        <v>80</v>
      </c>
      <c r="X102">
        <v>50</v>
      </c>
      <c r="Y102">
        <v>70</v>
      </c>
      <c r="Z102">
        <v>75</v>
      </c>
      <c r="AA102">
        <v>70</v>
      </c>
      <c r="AB102">
        <v>60</v>
      </c>
      <c r="AC102">
        <v>80</v>
      </c>
      <c r="AD102">
        <v>50</v>
      </c>
      <c r="AE102">
        <v>75</v>
      </c>
      <c r="AF102">
        <v>85</v>
      </c>
      <c r="AG102">
        <f t="shared" si="16"/>
        <v>73.333333333333329</v>
      </c>
      <c r="AH102">
        <f t="shared" si="17"/>
        <v>71.666666666666671</v>
      </c>
      <c r="AI102">
        <f t="shared" si="18"/>
        <v>76.666666666666671</v>
      </c>
      <c r="AJ102">
        <f t="shared" si="19"/>
        <v>53.333333333333336</v>
      </c>
      <c r="AK102">
        <f t="shared" si="20"/>
        <v>75</v>
      </c>
      <c r="AL102">
        <f t="shared" si="21"/>
        <v>81.666666666666671</v>
      </c>
      <c r="AM102">
        <f t="shared" si="22"/>
        <v>75</v>
      </c>
      <c r="AN102">
        <f t="shared" si="23"/>
        <v>71.944444444444443</v>
      </c>
    </row>
    <row r="103" spans="1:40" x14ac:dyDescent="0.3">
      <c r="A103" t="s">
        <v>316</v>
      </c>
      <c r="B103" t="s">
        <v>317</v>
      </c>
      <c r="C103">
        <v>76</v>
      </c>
      <c r="D103" t="s">
        <v>22</v>
      </c>
      <c r="E103">
        <v>78</v>
      </c>
      <c r="F103" t="s">
        <v>22</v>
      </c>
      <c r="G103">
        <v>81</v>
      </c>
      <c r="H103" t="s">
        <v>22</v>
      </c>
      <c r="I103">
        <f t="shared" si="12"/>
        <v>78.333333333333329</v>
      </c>
      <c r="K103">
        <f t="shared" si="13"/>
        <v>8.3456790123457427</v>
      </c>
      <c r="L103">
        <f t="shared" si="14"/>
        <v>0.79012345679014306</v>
      </c>
      <c r="M103">
        <f t="shared" si="15"/>
        <v>4.4567901234567433</v>
      </c>
      <c r="N103">
        <v>85</v>
      </c>
      <c r="P103">
        <v>75</v>
      </c>
      <c r="Q103">
        <v>90</v>
      </c>
      <c r="R103">
        <v>60</v>
      </c>
      <c r="S103">
        <v>70</v>
      </c>
      <c r="T103">
        <v>80</v>
      </c>
      <c r="U103">
        <v>85</v>
      </c>
      <c r="V103">
        <v>90</v>
      </c>
      <c r="W103">
        <v>75</v>
      </c>
      <c r="X103">
        <v>60</v>
      </c>
      <c r="Y103">
        <v>80</v>
      </c>
      <c r="Z103">
        <v>80</v>
      </c>
      <c r="AA103">
        <v>90</v>
      </c>
      <c r="AB103">
        <v>85</v>
      </c>
      <c r="AC103">
        <v>75</v>
      </c>
      <c r="AD103">
        <v>65</v>
      </c>
      <c r="AE103">
        <v>80</v>
      </c>
      <c r="AF103">
        <v>95</v>
      </c>
      <c r="AG103">
        <f t="shared" si="16"/>
        <v>86.666666666666671</v>
      </c>
      <c r="AH103">
        <f t="shared" si="17"/>
        <v>83.333333333333329</v>
      </c>
      <c r="AI103">
        <f t="shared" si="18"/>
        <v>80</v>
      </c>
      <c r="AJ103">
        <f t="shared" si="19"/>
        <v>61.666666666666664</v>
      </c>
      <c r="AK103">
        <f t="shared" si="20"/>
        <v>76.666666666666671</v>
      </c>
      <c r="AL103">
        <f t="shared" si="21"/>
        <v>85</v>
      </c>
      <c r="AM103">
        <f t="shared" si="22"/>
        <v>81.111111111111128</v>
      </c>
      <c r="AN103">
        <f t="shared" si="23"/>
        <v>78.8888888888889</v>
      </c>
    </row>
    <row r="104" spans="1:40" x14ac:dyDescent="0.3">
      <c r="A104" t="s">
        <v>316</v>
      </c>
      <c r="B104" t="s">
        <v>317</v>
      </c>
      <c r="C104">
        <v>80</v>
      </c>
      <c r="D104" t="s">
        <v>22</v>
      </c>
      <c r="E104">
        <v>77</v>
      </c>
      <c r="F104" t="s">
        <v>22</v>
      </c>
      <c r="G104">
        <v>80</v>
      </c>
      <c r="H104" t="s">
        <v>22</v>
      </c>
      <c r="I104">
        <f t="shared" si="12"/>
        <v>79</v>
      </c>
      <c r="K104">
        <f t="shared" si="13"/>
        <v>0.3086419753086595</v>
      </c>
      <c r="L104">
        <f t="shared" si="14"/>
        <v>5.9753086419752313</v>
      </c>
      <c r="M104">
        <f t="shared" si="15"/>
        <v>0.3086419753086595</v>
      </c>
      <c r="N104">
        <v>85</v>
      </c>
      <c r="P104">
        <v>70</v>
      </c>
      <c r="Q104">
        <v>60</v>
      </c>
      <c r="R104">
        <v>80</v>
      </c>
      <c r="S104">
        <v>90</v>
      </c>
      <c r="T104">
        <v>95</v>
      </c>
      <c r="U104">
        <v>85</v>
      </c>
      <c r="V104">
        <v>90</v>
      </c>
      <c r="W104">
        <v>70</v>
      </c>
      <c r="X104">
        <v>60</v>
      </c>
      <c r="Y104">
        <v>95</v>
      </c>
      <c r="Z104">
        <v>65</v>
      </c>
      <c r="AA104">
        <v>95</v>
      </c>
      <c r="AB104">
        <v>80</v>
      </c>
      <c r="AC104">
        <v>75</v>
      </c>
      <c r="AD104">
        <v>65</v>
      </c>
      <c r="AE104">
        <v>80</v>
      </c>
      <c r="AF104">
        <v>90</v>
      </c>
      <c r="AG104">
        <f t="shared" si="16"/>
        <v>88.333333333333329</v>
      </c>
      <c r="AH104">
        <f t="shared" si="17"/>
        <v>80</v>
      </c>
      <c r="AI104">
        <f t="shared" si="18"/>
        <v>68.333333333333329</v>
      </c>
      <c r="AJ104">
        <f t="shared" si="19"/>
        <v>68.333333333333329</v>
      </c>
      <c r="AK104">
        <f t="shared" si="20"/>
        <v>88.333333333333329</v>
      </c>
      <c r="AL104">
        <f t="shared" si="21"/>
        <v>83.333333333333329</v>
      </c>
      <c r="AM104">
        <f t="shared" si="22"/>
        <v>81.666666666666671</v>
      </c>
      <c r="AN104">
        <f t="shared" si="23"/>
        <v>79.444444444444429</v>
      </c>
    </row>
    <row r="105" spans="1:40" x14ac:dyDescent="0.3">
      <c r="A105" t="s">
        <v>316</v>
      </c>
      <c r="B105" t="s">
        <v>317</v>
      </c>
      <c r="C105">
        <v>77</v>
      </c>
      <c r="D105" t="s">
        <v>22</v>
      </c>
      <c r="E105">
        <v>78</v>
      </c>
      <c r="F105" t="s">
        <v>22</v>
      </c>
      <c r="G105">
        <v>75</v>
      </c>
      <c r="H105" t="s">
        <v>22</v>
      </c>
      <c r="I105">
        <f t="shared" si="12"/>
        <v>76.666666666666671</v>
      </c>
      <c r="K105">
        <f t="shared" si="13"/>
        <v>3.0864197530865952E-3</v>
      </c>
      <c r="L105">
        <f t="shared" si="14"/>
        <v>1.1141975308642009</v>
      </c>
      <c r="M105">
        <f t="shared" si="15"/>
        <v>3.7808641975308581</v>
      </c>
      <c r="N105">
        <v>70</v>
      </c>
      <c r="P105">
        <v>85</v>
      </c>
      <c r="Q105">
        <v>65</v>
      </c>
      <c r="R105">
        <v>90</v>
      </c>
      <c r="S105">
        <v>80</v>
      </c>
      <c r="T105">
        <v>75</v>
      </c>
      <c r="U105">
        <v>75</v>
      </c>
      <c r="V105">
        <v>75</v>
      </c>
      <c r="W105">
        <v>75</v>
      </c>
      <c r="X105">
        <v>95</v>
      </c>
      <c r="Y105">
        <v>75</v>
      </c>
      <c r="Z105">
        <v>75</v>
      </c>
      <c r="AA105">
        <v>75</v>
      </c>
      <c r="AB105">
        <v>75</v>
      </c>
      <c r="AC105">
        <v>75</v>
      </c>
      <c r="AD105">
        <v>75</v>
      </c>
      <c r="AE105">
        <v>75</v>
      </c>
      <c r="AF105">
        <v>75</v>
      </c>
      <c r="AG105">
        <f t="shared" si="16"/>
        <v>73.333333333333329</v>
      </c>
      <c r="AH105">
        <f t="shared" si="17"/>
        <v>78.333333333333329</v>
      </c>
      <c r="AI105">
        <f t="shared" si="18"/>
        <v>71.666666666666671</v>
      </c>
      <c r="AJ105">
        <f t="shared" si="19"/>
        <v>86.666666666666671</v>
      </c>
      <c r="AK105">
        <f t="shared" si="20"/>
        <v>76.666666666666671</v>
      </c>
      <c r="AL105">
        <f t="shared" si="21"/>
        <v>75</v>
      </c>
      <c r="AM105">
        <f t="shared" si="22"/>
        <v>73.8888888888889</v>
      </c>
      <c r="AN105">
        <f t="shared" si="23"/>
        <v>76.944444444444443</v>
      </c>
    </row>
    <row r="106" spans="1:40" x14ac:dyDescent="0.3">
      <c r="A106" t="s">
        <v>330</v>
      </c>
      <c r="B106" t="s">
        <v>331</v>
      </c>
      <c r="C106">
        <v>75</v>
      </c>
      <c r="D106" t="s">
        <v>22</v>
      </c>
      <c r="E106">
        <v>69</v>
      </c>
      <c r="F106" t="s">
        <v>28</v>
      </c>
      <c r="G106">
        <v>74</v>
      </c>
      <c r="H106" t="s">
        <v>28</v>
      </c>
      <c r="I106">
        <f t="shared" si="12"/>
        <v>72.666666666666671</v>
      </c>
      <c r="K106">
        <f t="shared" si="13"/>
        <v>4.9382716049382998</v>
      </c>
      <c r="L106">
        <f t="shared" si="14"/>
        <v>14.271604938271556</v>
      </c>
      <c r="M106">
        <f t="shared" si="15"/>
        <v>1.4938271604938427</v>
      </c>
      <c r="N106">
        <v>75</v>
      </c>
      <c r="P106">
        <v>80</v>
      </c>
      <c r="Q106">
        <v>60</v>
      </c>
      <c r="R106">
        <v>65</v>
      </c>
      <c r="S106">
        <v>90</v>
      </c>
      <c r="T106">
        <v>80</v>
      </c>
      <c r="U106">
        <v>75</v>
      </c>
      <c r="V106">
        <v>80</v>
      </c>
      <c r="W106">
        <v>60</v>
      </c>
      <c r="X106">
        <v>40</v>
      </c>
      <c r="Y106">
        <v>70</v>
      </c>
      <c r="Z106">
        <v>90</v>
      </c>
      <c r="AA106">
        <v>75</v>
      </c>
      <c r="AB106">
        <v>80</v>
      </c>
      <c r="AC106">
        <v>65</v>
      </c>
      <c r="AD106">
        <v>60</v>
      </c>
      <c r="AE106">
        <v>80</v>
      </c>
      <c r="AF106">
        <v>85</v>
      </c>
      <c r="AG106">
        <f t="shared" si="16"/>
        <v>75</v>
      </c>
      <c r="AH106">
        <f t="shared" si="17"/>
        <v>80</v>
      </c>
      <c r="AI106">
        <f t="shared" si="18"/>
        <v>61.666666666666664</v>
      </c>
      <c r="AJ106">
        <f t="shared" si="19"/>
        <v>55</v>
      </c>
      <c r="AK106">
        <f t="shared" si="20"/>
        <v>80</v>
      </c>
      <c r="AL106">
        <f t="shared" si="21"/>
        <v>85</v>
      </c>
      <c r="AM106">
        <f t="shared" si="22"/>
        <v>72.222222222222214</v>
      </c>
      <c r="AN106">
        <f t="shared" si="23"/>
        <v>72.777777777777771</v>
      </c>
    </row>
    <row r="107" spans="1:40" x14ac:dyDescent="0.3">
      <c r="A107" t="s">
        <v>330</v>
      </c>
      <c r="B107" t="s">
        <v>331</v>
      </c>
      <c r="C107">
        <v>80</v>
      </c>
      <c r="D107" t="s">
        <v>22</v>
      </c>
      <c r="E107">
        <v>75</v>
      </c>
      <c r="F107" t="s">
        <v>22</v>
      </c>
      <c r="G107">
        <v>68</v>
      </c>
      <c r="H107" t="s">
        <v>28</v>
      </c>
      <c r="I107">
        <f t="shared" si="12"/>
        <v>74.333333333333329</v>
      </c>
      <c r="K107">
        <f t="shared" si="13"/>
        <v>27.854938271604873</v>
      </c>
      <c r="L107">
        <f t="shared" si="14"/>
        <v>7.7160493827156978E-2</v>
      </c>
      <c r="M107">
        <f t="shared" si="15"/>
        <v>45.188271604938357</v>
      </c>
      <c r="N107">
        <v>90</v>
      </c>
      <c r="P107">
        <v>85</v>
      </c>
      <c r="Q107">
        <v>75</v>
      </c>
      <c r="R107">
        <v>60</v>
      </c>
      <c r="S107">
        <v>80</v>
      </c>
      <c r="T107">
        <v>95</v>
      </c>
      <c r="U107">
        <v>75</v>
      </c>
      <c r="V107">
        <v>75</v>
      </c>
      <c r="W107">
        <v>75</v>
      </c>
      <c r="X107">
        <v>75</v>
      </c>
      <c r="Y107">
        <v>75</v>
      </c>
      <c r="Z107">
        <v>75</v>
      </c>
      <c r="AA107">
        <v>75</v>
      </c>
      <c r="AB107">
        <v>80</v>
      </c>
      <c r="AC107">
        <v>65</v>
      </c>
      <c r="AD107">
        <v>40</v>
      </c>
      <c r="AE107">
        <v>60</v>
      </c>
      <c r="AF107">
        <v>90</v>
      </c>
      <c r="AG107">
        <f t="shared" si="16"/>
        <v>80</v>
      </c>
      <c r="AH107">
        <f t="shared" si="17"/>
        <v>80</v>
      </c>
      <c r="AI107">
        <f t="shared" si="18"/>
        <v>71.666666666666671</v>
      </c>
      <c r="AJ107">
        <f t="shared" si="19"/>
        <v>58.333333333333336</v>
      </c>
      <c r="AK107">
        <f t="shared" si="20"/>
        <v>71.666666666666671</v>
      </c>
      <c r="AL107">
        <f t="shared" si="21"/>
        <v>86.666666666666671</v>
      </c>
      <c r="AM107">
        <f t="shared" si="22"/>
        <v>74.444444444444457</v>
      </c>
      <c r="AN107">
        <f t="shared" si="23"/>
        <v>74.722222222222229</v>
      </c>
    </row>
    <row r="108" spans="1:40" x14ac:dyDescent="0.3">
      <c r="A108" t="s">
        <v>330</v>
      </c>
      <c r="B108" t="s">
        <v>331</v>
      </c>
      <c r="C108">
        <v>75</v>
      </c>
      <c r="D108" t="s">
        <v>22</v>
      </c>
      <c r="E108">
        <v>75</v>
      </c>
      <c r="F108" t="s">
        <v>22</v>
      </c>
      <c r="G108">
        <v>77</v>
      </c>
      <c r="H108" t="s">
        <v>22</v>
      </c>
      <c r="I108">
        <f t="shared" si="12"/>
        <v>75.666666666666671</v>
      </c>
      <c r="K108">
        <f t="shared" si="13"/>
        <v>1.2345679012345749</v>
      </c>
      <c r="L108">
        <f t="shared" si="14"/>
        <v>1.2345679012345749</v>
      </c>
      <c r="M108">
        <f t="shared" si="15"/>
        <v>0.79012345679011786</v>
      </c>
      <c r="N108">
        <v>75</v>
      </c>
      <c r="P108">
        <v>75</v>
      </c>
      <c r="Q108">
        <v>75</v>
      </c>
      <c r="R108">
        <v>80</v>
      </c>
      <c r="S108">
        <v>75</v>
      </c>
      <c r="T108">
        <v>75</v>
      </c>
      <c r="U108">
        <v>75</v>
      </c>
      <c r="V108">
        <v>75</v>
      </c>
      <c r="W108">
        <v>75</v>
      </c>
      <c r="X108">
        <v>75</v>
      </c>
      <c r="Y108">
        <v>75</v>
      </c>
      <c r="Z108">
        <v>75</v>
      </c>
      <c r="AA108">
        <v>80</v>
      </c>
      <c r="AB108">
        <v>75</v>
      </c>
      <c r="AC108">
        <v>65</v>
      </c>
      <c r="AD108">
        <v>90</v>
      </c>
      <c r="AE108">
        <v>70</v>
      </c>
      <c r="AF108">
        <v>85</v>
      </c>
      <c r="AG108">
        <f t="shared" si="16"/>
        <v>76.666666666666671</v>
      </c>
      <c r="AH108">
        <f t="shared" si="17"/>
        <v>75</v>
      </c>
      <c r="AI108">
        <f t="shared" si="18"/>
        <v>71.666666666666671</v>
      </c>
      <c r="AJ108">
        <f t="shared" si="19"/>
        <v>81.666666666666671</v>
      </c>
      <c r="AK108">
        <f t="shared" si="20"/>
        <v>73.333333333333329</v>
      </c>
      <c r="AL108">
        <f t="shared" si="21"/>
        <v>78.333333333333329</v>
      </c>
      <c r="AM108">
        <f t="shared" si="22"/>
        <v>73.8888888888889</v>
      </c>
      <c r="AN108">
        <f t="shared" si="23"/>
        <v>76.111111111111114</v>
      </c>
    </row>
    <row r="109" spans="1:40" x14ac:dyDescent="0.3">
      <c r="A109" t="s">
        <v>330</v>
      </c>
      <c r="B109" t="s">
        <v>331</v>
      </c>
      <c r="C109">
        <v>36</v>
      </c>
      <c r="D109" t="s">
        <v>99</v>
      </c>
      <c r="E109">
        <v>60</v>
      </c>
      <c r="F109" t="s">
        <v>28</v>
      </c>
      <c r="G109">
        <v>76</v>
      </c>
      <c r="H109" t="s">
        <v>22</v>
      </c>
      <c r="I109">
        <f t="shared" si="12"/>
        <v>57.333333333333336</v>
      </c>
      <c r="K109">
        <f t="shared" si="13"/>
        <v>474.27160493827165</v>
      </c>
      <c r="L109">
        <f t="shared" si="14"/>
        <v>4.9382716049382678</v>
      </c>
      <c r="M109">
        <f t="shared" si="15"/>
        <v>332.04938271604937</v>
      </c>
      <c r="N109">
        <v>25</v>
      </c>
      <c r="P109">
        <v>40</v>
      </c>
      <c r="Q109">
        <v>30</v>
      </c>
      <c r="R109">
        <v>15</v>
      </c>
      <c r="S109">
        <v>50</v>
      </c>
      <c r="T109">
        <v>60</v>
      </c>
      <c r="U109">
        <v>65</v>
      </c>
      <c r="V109">
        <v>70</v>
      </c>
      <c r="W109">
        <v>85</v>
      </c>
      <c r="X109">
        <v>30</v>
      </c>
      <c r="Y109">
        <v>70</v>
      </c>
      <c r="Z109">
        <v>40</v>
      </c>
      <c r="AA109">
        <v>95</v>
      </c>
      <c r="AB109">
        <v>80</v>
      </c>
      <c r="AC109">
        <v>75</v>
      </c>
      <c r="AD109">
        <v>60</v>
      </c>
      <c r="AE109">
        <v>70</v>
      </c>
      <c r="AF109">
        <v>80</v>
      </c>
      <c r="AG109">
        <f t="shared" si="16"/>
        <v>61.666666666666664</v>
      </c>
      <c r="AH109">
        <f t="shared" si="17"/>
        <v>63.333333333333336</v>
      </c>
      <c r="AI109">
        <f t="shared" si="18"/>
        <v>63.333333333333336</v>
      </c>
      <c r="AJ109">
        <f t="shared" si="19"/>
        <v>35</v>
      </c>
      <c r="AK109">
        <f t="shared" si="20"/>
        <v>63.333333333333336</v>
      </c>
      <c r="AL109">
        <f t="shared" si="21"/>
        <v>60</v>
      </c>
      <c r="AM109">
        <f t="shared" si="22"/>
        <v>62.777777777777779</v>
      </c>
      <c r="AN109">
        <f t="shared" si="23"/>
        <v>57.777777777777779</v>
      </c>
    </row>
    <row r="110" spans="1:40" x14ac:dyDescent="0.3">
      <c r="A110" t="s">
        <v>343</v>
      </c>
      <c r="B110" t="s">
        <v>344</v>
      </c>
      <c r="C110">
        <v>83</v>
      </c>
      <c r="D110" t="s">
        <v>22</v>
      </c>
      <c r="E110">
        <v>62</v>
      </c>
      <c r="F110" t="s">
        <v>28</v>
      </c>
      <c r="G110">
        <v>76</v>
      </c>
      <c r="H110" t="s">
        <v>22</v>
      </c>
      <c r="I110">
        <f t="shared" si="12"/>
        <v>73.666666666666671</v>
      </c>
      <c r="K110">
        <f t="shared" si="13"/>
        <v>81</v>
      </c>
      <c r="L110">
        <f t="shared" si="14"/>
        <v>144</v>
      </c>
      <c r="M110">
        <f t="shared" si="15"/>
        <v>4</v>
      </c>
      <c r="N110">
        <v>85</v>
      </c>
      <c r="P110">
        <v>90</v>
      </c>
      <c r="Q110">
        <v>80</v>
      </c>
      <c r="R110">
        <v>75</v>
      </c>
      <c r="S110">
        <v>80</v>
      </c>
      <c r="T110">
        <v>90</v>
      </c>
      <c r="U110">
        <v>65</v>
      </c>
      <c r="V110">
        <v>72</v>
      </c>
      <c r="W110">
        <v>80</v>
      </c>
      <c r="X110">
        <v>30</v>
      </c>
      <c r="Y110">
        <v>45</v>
      </c>
      <c r="Z110">
        <v>80</v>
      </c>
      <c r="AA110">
        <v>85</v>
      </c>
      <c r="AB110">
        <v>75</v>
      </c>
      <c r="AC110">
        <v>80</v>
      </c>
      <c r="AD110">
        <v>60</v>
      </c>
      <c r="AE110">
        <v>90</v>
      </c>
      <c r="AF110">
        <v>70</v>
      </c>
      <c r="AG110">
        <f t="shared" si="16"/>
        <v>78.333333333333329</v>
      </c>
      <c r="AH110">
        <f t="shared" si="17"/>
        <v>79</v>
      </c>
      <c r="AI110">
        <f t="shared" si="18"/>
        <v>80</v>
      </c>
      <c r="AJ110">
        <f t="shared" si="19"/>
        <v>55</v>
      </c>
      <c r="AK110">
        <f t="shared" si="20"/>
        <v>71.666666666666671</v>
      </c>
      <c r="AL110">
        <f t="shared" si="21"/>
        <v>80</v>
      </c>
      <c r="AM110">
        <f t="shared" si="22"/>
        <v>76.666666666666671</v>
      </c>
      <c r="AN110">
        <f t="shared" si="23"/>
        <v>74</v>
      </c>
    </row>
    <row r="111" spans="1:40" x14ac:dyDescent="0.3">
      <c r="A111" t="s">
        <v>343</v>
      </c>
      <c r="B111" t="s">
        <v>344</v>
      </c>
      <c r="C111">
        <v>80</v>
      </c>
      <c r="D111" t="s">
        <v>22</v>
      </c>
      <c r="E111">
        <v>75</v>
      </c>
      <c r="F111" t="s">
        <v>22</v>
      </c>
      <c r="G111">
        <v>80</v>
      </c>
      <c r="H111" t="s">
        <v>22</v>
      </c>
      <c r="I111">
        <f t="shared" si="12"/>
        <v>78.333333333333329</v>
      </c>
      <c r="K111">
        <f t="shared" si="13"/>
        <v>2.7777777777777937</v>
      </c>
      <c r="L111">
        <f t="shared" si="14"/>
        <v>11.111111111111079</v>
      </c>
      <c r="M111">
        <f t="shared" si="15"/>
        <v>2.7777777777777937</v>
      </c>
      <c r="N111">
        <v>85</v>
      </c>
      <c r="P111">
        <v>90</v>
      </c>
      <c r="Q111">
        <v>75</v>
      </c>
      <c r="R111">
        <v>60</v>
      </c>
      <c r="S111">
        <v>80</v>
      </c>
      <c r="T111">
        <v>90</v>
      </c>
      <c r="U111">
        <v>75</v>
      </c>
      <c r="V111">
        <v>75</v>
      </c>
      <c r="W111">
        <v>75</v>
      </c>
      <c r="X111">
        <v>75</v>
      </c>
      <c r="Y111">
        <v>75</v>
      </c>
      <c r="Z111">
        <v>75</v>
      </c>
      <c r="AA111">
        <v>85</v>
      </c>
      <c r="AB111">
        <v>90</v>
      </c>
      <c r="AC111">
        <v>75</v>
      </c>
      <c r="AD111">
        <v>60</v>
      </c>
      <c r="AE111">
        <v>80</v>
      </c>
      <c r="AF111">
        <v>90</v>
      </c>
      <c r="AG111">
        <f t="shared" si="16"/>
        <v>81.666666666666671</v>
      </c>
      <c r="AH111">
        <f t="shared" si="17"/>
        <v>85</v>
      </c>
      <c r="AI111">
        <f t="shared" si="18"/>
        <v>75</v>
      </c>
      <c r="AJ111">
        <f t="shared" si="19"/>
        <v>65</v>
      </c>
      <c r="AK111">
        <f t="shared" si="20"/>
        <v>78.333333333333329</v>
      </c>
      <c r="AL111">
        <f t="shared" si="21"/>
        <v>85</v>
      </c>
      <c r="AM111">
        <f t="shared" si="22"/>
        <v>78.333333333333329</v>
      </c>
      <c r="AN111">
        <f t="shared" si="23"/>
        <v>78.333333333333329</v>
      </c>
    </row>
    <row r="112" spans="1:40" x14ac:dyDescent="0.3">
      <c r="A112" t="s">
        <v>343</v>
      </c>
      <c r="B112" t="s">
        <v>344</v>
      </c>
      <c r="C112">
        <v>75</v>
      </c>
      <c r="D112" t="s">
        <v>22</v>
      </c>
      <c r="E112">
        <v>75</v>
      </c>
      <c r="F112" t="s">
        <v>22</v>
      </c>
      <c r="G112">
        <v>85</v>
      </c>
      <c r="H112" t="s">
        <v>22</v>
      </c>
      <c r="I112">
        <f t="shared" si="12"/>
        <v>78.333333333333329</v>
      </c>
      <c r="K112">
        <f t="shared" si="13"/>
        <v>13.040123456790147</v>
      </c>
      <c r="L112">
        <f t="shared" si="14"/>
        <v>13.040123456790147</v>
      </c>
      <c r="M112">
        <f t="shared" si="15"/>
        <v>40.817901234567863</v>
      </c>
      <c r="N112">
        <v>85</v>
      </c>
      <c r="P112">
        <v>70</v>
      </c>
      <c r="Q112">
        <v>65</v>
      </c>
      <c r="R112">
        <v>60</v>
      </c>
      <c r="S112">
        <v>80</v>
      </c>
      <c r="T112">
        <v>90</v>
      </c>
      <c r="U112">
        <v>75</v>
      </c>
      <c r="V112">
        <v>75</v>
      </c>
      <c r="W112">
        <v>75</v>
      </c>
      <c r="X112">
        <v>75</v>
      </c>
      <c r="Y112">
        <v>75</v>
      </c>
      <c r="Z112">
        <v>75</v>
      </c>
      <c r="AA112">
        <v>95</v>
      </c>
      <c r="AB112">
        <v>80</v>
      </c>
      <c r="AC112">
        <v>85</v>
      </c>
      <c r="AD112">
        <v>70</v>
      </c>
      <c r="AE112">
        <v>90</v>
      </c>
      <c r="AF112">
        <v>95</v>
      </c>
      <c r="AG112">
        <f t="shared" si="16"/>
        <v>85</v>
      </c>
      <c r="AH112">
        <f t="shared" si="17"/>
        <v>75</v>
      </c>
      <c r="AI112">
        <f t="shared" si="18"/>
        <v>75</v>
      </c>
      <c r="AJ112">
        <f t="shared" si="19"/>
        <v>68.333333333333329</v>
      </c>
      <c r="AK112">
        <f t="shared" si="20"/>
        <v>81.666666666666671</v>
      </c>
      <c r="AL112">
        <f t="shared" si="21"/>
        <v>86.666666666666671</v>
      </c>
      <c r="AM112">
        <f t="shared" si="22"/>
        <v>80.555555555555557</v>
      </c>
      <c r="AN112">
        <f t="shared" si="23"/>
        <v>78.611111111111114</v>
      </c>
    </row>
    <row r="113" spans="1:40" x14ac:dyDescent="0.3">
      <c r="A113" t="s">
        <v>343</v>
      </c>
      <c r="B113" t="s">
        <v>344</v>
      </c>
      <c r="C113">
        <v>73</v>
      </c>
      <c r="D113" t="s">
        <v>28</v>
      </c>
      <c r="E113">
        <v>78</v>
      </c>
      <c r="F113" t="s">
        <v>22</v>
      </c>
      <c r="G113">
        <v>82</v>
      </c>
      <c r="H113" t="s">
        <v>22</v>
      </c>
      <c r="I113">
        <f t="shared" si="12"/>
        <v>77.666666666666671</v>
      </c>
      <c r="K113">
        <f t="shared" si="13"/>
        <v>25.558641975308657</v>
      </c>
      <c r="L113">
        <f t="shared" si="14"/>
        <v>3.0864197530865952E-3</v>
      </c>
      <c r="M113">
        <f t="shared" si="15"/>
        <v>15.55864197530863</v>
      </c>
      <c r="N113">
        <v>75</v>
      </c>
      <c r="P113">
        <v>80</v>
      </c>
      <c r="Q113">
        <v>60</v>
      </c>
      <c r="R113">
        <v>40</v>
      </c>
      <c r="S113">
        <v>90</v>
      </c>
      <c r="T113">
        <v>95</v>
      </c>
      <c r="U113">
        <v>75</v>
      </c>
      <c r="V113">
        <v>85</v>
      </c>
      <c r="W113">
        <v>80</v>
      </c>
      <c r="X113">
        <v>60</v>
      </c>
      <c r="Y113">
        <v>90</v>
      </c>
      <c r="Z113">
        <v>80</v>
      </c>
      <c r="AA113">
        <v>95</v>
      </c>
      <c r="AB113">
        <v>80</v>
      </c>
      <c r="AC113">
        <v>75</v>
      </c>
      <c r="AD113">
        <v>70</v>
      </c>
      <c r="AE113">
        <v>85</v>
      </c>
      <c r="AF113">
        <v>90</v>
      </c>
      <c r="AG113">
        <f t="shared" si="16"/>
        <v>81.666666666666671</v>
      </c>
      <c r="AH113">
        <f t="shared" si="17"/>
        <v>81.666666666666671</v>
      </c>
      <c r="AI113">
        <f t="shared" si="18"/>
        <v>71.666666666666671</v>
      </c>
      <c r="AJ113">
        <f t="shared" si="19"/>
        <v>56.666666666666664</v>
      </c>
      <c r="AK113">
        <f t="shared" si="20"/>
        <v>88.333333333333329</v>
      </c>
      <c r="AL113">
        <f t="shared" si="21"/>
        <v>88.333333333333329</v>
      </c>
      <c r="AM113">
        <f t="shared" si="22"/>
        <v>80.555555555555557</v>
      </c>
      <c r="AN113">
        <f t="shared" si="23"/>
        <v>78.055555555555557</v>
      </c>
    </row>
    <row r="114" spans="1:40" x14ac:dyDescent="0.3">
      <c r="A114" t="s">
        <v>354</v>
      </c>
      <c r="B114" t="s">
        <v>355</v>
      </c>
      <c r="C114">
        <v>76</v>
      </c>
      <c r="D114" t="s">
        <v>22</v>
      </c>
      <c r="E114">
        <v>70</v>
      </c>
      <c r="F114" t="s">
        <v>28</v>
      </c>
      <c r="G114">
        <v>60</v>
      </c>
      <c r="H114" t="s">
        <v>28</v>
      </c>
      <c r="I114">
        <f t="shared" si="12"/>
        <v>68.666666666666671</v>
      </c>
      <c r="K114">
        <f t="shared" si="13"/>
        <v>46.694444444444379</v>
      </c>
      <c r="L114">
        <f t="shared" si="14"/>
        <v>0.69444444444443654</v>
      </c>
      <c r="M114">
        <f t="shared" si="15"/>
        <v>84.027777777777871</v>
      </c>
      <c r="N114">
        <v>85</v>
      </c>
      <c r="P114">
        <v>75</v>
      </c>
      <c r="Q114">
        <v>90</v>
      </c>
      <c r="R114">
        <v>60</v>
      </c>
      <c r="S114">
        <v>80</v>
      </c>
      <c r="T114">
        <v>70</v>
      </c>
      <c r="U114">
        <v>85</v>
      </c>
      <c r="V114">
        <v>75</v>
      </c>
      <c r="W114">
        <v>60</v>
      </c>
      <c r="X114">
        <v>40</v>
      </c>
      <c r="Y114">
        <v>90</v>
      </c>
      <c r="Z114">
        <v>70</v>
      </c>
      <c r="AA114">
        <v>60</v>
      </c>
      <c r="AB114">
        <v>70</v>
      </c>
      <c r="AC114">
        <v>85</v>
      </c>
      <c r="AD114">
        <v>50</v>
      </c>
      <c r="AE114">
        <v>60</v>
      </c>
      <c r="AF114">
        <v>40</v>
      </c>
      <c r="AG114">
        <f t="shared" si="16"/>
        <v>76.666666666666671</v>
      </c>
      <c r="AH114">
        <f t="shared" si="17"/>
        <v>73.333333333333329</v>
      </c>
      <c r="AI114">
        <f t="shared" si="18"/>
        <v>78.333333333333329</v>
      </c>
      <c r="AJ114">
        <f t="shared" si="19"/>
        <v>50</v>
      </c>
      <c r="AK114">
        <f t="shared" si="20"/>
        <v>76.666666666666671</v>
      </c>
      <c r="AL114">
        <f t="shared" si="21"/>
        <v>60</v>
      </c>
      <c r="AM114">
        <f t="shared" si="22"/>
        <v>77.222222222222229</v>
      </c>
      <c r="AN114">
        <f t="shared" si="23"/>
        <v>69.166666666666671</v>
      </c>
    </row>
    <row r="115" spans="1:40" x14ac:dyDescent="0.3">
      <c r="A115" t="s">
        <v>354</v>
      </c>
      <c r="B115" t="s">
        <v>355</v>
      </c>
      <c r="C115">
        <v>80</v>
      </c>
      <c r="D115" t="s">
        <v>22</v>
      </c>
      <c r="E115">
        <v>67</v>
      </c>
      <c r="F115" t="s">
        <v>28</v>
      </c>
      <c r="G115">
        <v>80</v>
      </c>
      <c r="H115" t="s">
        <v>22</v>
      </c>
      <c r="I115">
        <f t="shared" si="12"/>
        <v>75.666666666666671</v>
      </c>
      <c r="K115">
        <f t="shared" si="13"/>
        <v>13.040123456790147</v>
      </c>
      <c r="L115">
        <f t="shared" si="14"/>
        <v>88.15123456790117</v>
      </c>
      <c r="M115">
        <f t="shared" si="15"/>
        <v>13.040123456790147</v>
      </c>
      <c r="N115">
        <v>70</v>
      </c>
      <c r="P115">
        <v>85</v>
      </c>
      <c r="Q115">
        <v>90</v>
      </c>
      <c r="R115">
        <v>65</v>
      </c>
      <c r="S115">
        <v>80</v>
      </c>
      <c r="T115">
        <v>95</v>
      </c>
      <c r="U115">
        <v>75</v>
      </c>
      <c r="V115">
        <v>75</v>
      </c>
      <c r="W115">
        <v>75</v>
      </c>
      <c r="X115">
        <v>30</v>
      </c>
      <c r="Y115">
        <v>75</v>
      </c>
      <c r="Z115">
        <v>75</v>
      </c>
      <c r="AA115">
        <v>85</v>
      </c>
      <c r="AB115">
        <v>90</v>
      </c>
      <c r="AC115">
        <v>75</v>
      </c>
      <c r="AD115">
        <v>60</v>
      </c>
      <c r="AE115">
        <v>80</v>
      </c>
      <c r="AF115">
        <v>95</v>
      </c>
      <c r="AG115">
        <f t="shared" si="16"/>
        <v>76.666666666666671</v>
      </c>
      <c r="AH115">
        <f t="shared" si="17"/>
        <v>83.333333333333329</v>
      </c>
      <c r="AI115">
        <f t="shared" si="18"/>
        <v>80</v>
      </c>
      <c r="AJ115">
        <f t="shared" si="19"/>
        <v>51.666666666666664</v>
      </c>
      <c r="AK115">
        <f t="shared" si="20"/>
        <v>78.333333333333329</v>
      </c>
      <c r="AL115">
        <f t="shared" si="21"/>
        <v>88.333333333333329</v>
      </c>
      <c r="AM115">
        <f t="shared" si="22"/>
        <v>78.333333333333329</v>
      </c>
      <c r="AN115">
        <f t="shared" si="23"/>
        <v>76.388888888888886</v>
      </c>
    </row>
    <row r="116" spans="1:40" x14ac:dyDescent="0.3">
      <c r="A116" t="s">
        <v>354</v>
      </c>
      <c r="B116" t="s">
        <v>355</v>
      </c>
      <c r="C116">
        <v>80</v>
      </c>
      <c r="D116" t="s">
        <v>22</v>
      </c>
      <c r="E116">
        <v>84</v>
      </c>
      <c r="F116" t="s">
        <v>22</v>
      </c>
      <c r="G116">
        <v>75</v>
      </c>
      <c r="H116" t="s">
        <v>22</v>
      </c>
      <c r="I116">
        <f t="shared" si="12"/>
        <v>79.666666666666671</v>
      </c>
      <c r="K116">
        <f t="shared" si="13"/>
        <v>7.7160493827164875E-2</v>
      </c>
      <c r="L116">
        <f t="shared" si="14"/>
        <v>18.29938271604945</v>
      </c>
      <c r="M116">
        <f t="shared" si="15"/>
        <v>22.299382716049308</v>
      </c>
      <c r="N116">
        <v>95</v>
      </c>
      <c r="P116">
        <v>85</v>
      </c>
      <c r="Q116">
        <v>70</v>
      </c>
      <c r="R116">
        <v>60</v>
      </c>
      <c r="S116">
        <v>80</v>
      </c>
      <c r="T116">
        <v>90</v>
      </c>
      <c r="U116">
        <v>85</v>
      </c>
      <c r="V116">
        <v>90</v>
      </c>
      <c r="W116">
        <v>80</v>
      </c>
      <c r="X116">
        <v>75</v>
      </c>
      <c r="Y116">
        <v>80</v>
      </c>
      <c r="Z116">
        <v>95</v>
      </c>
      <c r="AA116">
        <v>75</v>
      </c>
      <c r="AB116">
        <v>75</v>
      </c>
      <c r="AC116">
        <v>75</v>
      </c>
      <c r="AD116">
        <v>75</v>
      </c>
      <c r="AE116">
        <v>75</v>
      </c>
      <c r="AF116">
        <v>75</v>
      </c>
      <c r="AG116">
        <f t="shared" si="16"/>
        <v>85</v>
      </c>
      <c r="AH116">
        <f t="shared" si="17"/>
        <v>83.333333333333329</v>
      </c>
      <c r="AI116">
        <f t="shared" si="18"/>
        <v>75</v>
      </c>
      <c r="AJ116">
        <f t="shared" si="19"/>
        <v>70</v>
      </c>
      <c r="AK116">
        <f t="shared" si="20"/>
        <v>78.333333333333329</v>
      </c>
      <c r="AL116">
        <f t="shared" si="21"/>
        <v>86.666666666666671</v>
      </c>
      <c r="AM116">
        <f t="shared" si="22"/>
        <v>79.444444444444443</v>
      </c>
      <c r="AN116">
        <f t="shared" si="23"/>
        <v>79.722222222222214</v>
      </c>
    </row>
    <row r="117" spans="1:40" x14ac:dyDescent="0.3">
      <c r="A117" t="s">
        <v>354</v>
      </c>
      <c r="B117" t="s">
        <v>355</v>
      </c>
      <c r="C117">
        <v>78</v>
      </c>
      <c r="D117" t="s">
        <v>22</v>
      </c>
      <c r="E117">
        <v>85</v>
      </c>
      <c r="F117" t="s">
        <v>22</v>
      </c>
      <c r="G117">
        <v>80</v>
      </c>
      <c r="H117" t="s">
        <v>22</v>
      </c>
      <c r="I117">
        <f t="shared" si="12"/>
        <v>81</v>
      </c>
      <c r="K117">
        <f t="shared" si="13"/>
        <v>11.484567901234643</v>
      </c>
      <c r="L117">
        <f t="shared" si="14"/>
        <v>13.040123456790043</v>
      </c>
      <c r="M117">
        <f t="shared" si="15"/>
        <v>1.9290123456790431</v>
      </c>
      <c r="N117">
        <v>85</v>
      </c>
      <c r="P117">
        <v>75</v>
      </c>
      <c r="Q117">
        <v>80</v>
      </c>
      <c r="R117">
        <v>60</v>
      </c>
      <c r="S117">
        <v>90</v>
      </c>
      <c r="T117">
        <v>80</v>
      </c>
      <c r="U117">
        <v>85</v>
      </c>
      <c r="V117">
        <v>90</v>
      </c>
      <c r="W117">
        <v>75</v>
      </c>
      <c r="X117">
        <v>80</v>
      </c>
      <c r="Y117">
        <v>90</v>
      </c>
      <c r="Z117">
        <v>95</v>
      </c>
      <c r="AA117">
        <v>85</v>
      </c>
      <c r="AB117">
        <v>75</v>
      </c>
      <c r="AC117">
        <v>90</v>
      </c>
      <c r="AD117">
        <v>60</v>
      </c>
      <c r="AE117">
        <v>80</v>
      </c>
      <c r="AF117">
        <v>90</v>
      </c>
      <c r="AG117">
        <f t="shared" si="16"/>
        <v>85</v>
      </c>
      <c r="AH117">
        <f t="shared" si="17"/>
        <v>80</v>
      </c>
      <c r="AI117">
        <f t="shared" si="18"/>
        <v>81.666666666666671</v>
      </c>
      <c r="AJ117">
        <f t="shared" si="19"/>
        <v>66.666666666666671</v>
      </c>
      <c r="AK117">
        <f t="shared" si="20"/>
        <v>86.666666666666671</v>
      </c>
      <c r="AL117">
        <f t="shared" si="21"/>
        <v>88.333333333333329</v>
      </c>
      <c r="AM117">
        <f t="shared" si="22"/>
        <v>84.444444444444457</v>
      </c>
      <c r="AN117">
        <f t="shared" si="23"/>
        <v>81.3888888888889</v>
      </c>
    </row>
    <row r="118" spans="1:40" x14ac:dyDescent="0.3">
      <c r="A118" t="s">
        <v>365</v>
      </c>
      <c r="B118" t="s">
        <v>366</v>
      </c>
      <c r="C118">
        <v>75</v>
      </c>
      <c r="D118" t="s">
        <v>22</v>
      </c>
      <c r="E118">
        <v>76</v>
      </c>
      <c r="F118" t="s">
        <v>22</v>
      </c>
      <c r="G118">
        <v>75</v>
      </c>
      <c r="H118" t="s">
        <v>22</v>
      </c>
      <c r="I118">
        <f t="shared" si="12"/>
        <v>75.333333333333329</v>
      </c>
      <c r="K118">
        <f t="shared" si="13"/>
        <v>0.30864197530864373</v>
      </c>
      <c r="L118">
        <f t="shared" si="14"/>
        <v>0.19753086419752947</v>
      </c>
      <c r="M118">
        <f t="shared" si="15"/>
        <v>0.30864197530864373</v>
      </c>
      <c r="N118">
        <v>75</v>
      </c>
      <c r="P118">
        <v>75</v>
      </c>
      <c r="Q118">
        <v>75</v>
      </c>
      <c r="R118">
        <v>75</v>
      </c>
      <c r="S118">
        <v>75</v>
      </c>
      <c r="T118">
        <v>75</v>
      </c>
      <c r="U118">
        <v>70</v>
      </c>
      <c r="V118">
        <v>60</v>
      </c>
      <c r="W118">
        <v>75</v>
      </c>
      <c r="X118">
        <v>80</v>
      </c>
      <c r="Y118">
        <v>85</v>
      </c>
      <c r="Z118">
        <v>90</v>
      </c>
      <c r="AA118">
        <v>75</v>
      </c>
      <c r="AB118">
        <v>75</v>
      </c>
      <c r="AC118">
        <v>75</v>
      </c>
      <c r="AD118">
        <v>75</v>
      </c>
      <c r="AE118">
        <v>75</v>
      </c>
      <c r="AF118">
        <v>75</v>
      </c>
      <c r="AG118">
        <f t="shared" si="16"/>
        <v>73.333333333333329</v>
      </c>
      <c r="AH118">
        <f t="shared" si="17"/>
        <v>70</v>
      </c>
      <c r="AI118">
        <f t="shared" si="18"/>
        <v>75</v>
      </c>
      <c r="AJ118">
        <f t="shared" si="19"/>
        <v>76.666666666666671</v>
      </c>
      <c r="AK118">
        <f t="shared" si="20"/>
        <v>78.333333333333329</v>
      </c>
      <c r="AL118">
        <f t="shared" si="21"/>
        <v>80</v>
      </c>
      <c r="AM118">
        <f t="shared" si="22"/>
        <v>75.555555555555543</v>
      </c>
      <c r="AN118">
        <f t="shared" si="23"/>
        <v>75.555555555555557</v>
      </c>
    </row>
    <row r="119" spans="1:40" x14ac:dyDescent="0.3">
      <c r="A119" t="s">
        <v>365</v>
      </c>
      <c r="B119" t="s">
        <v>366</v>
      </c>
      <c r="C119">
        <v>65</v>
      </c>
      <c r="D119" t="s">
        <v>28</v>
      </c>
      <c r="E119">
        <v>75</v>
      </c>
      <c r="F119" t="s">
        <v>22</v>
      </c>
      <c r="G119">
        <v>70</v>
      </c>
      <c r="H119" t="s">
        <v>28</v>
      </c>
      <c r="I119">
        <f t="shared" si="12"/>
        <v>70</v>
      </c>
      <c r="K119">
        <f t="shared" si="13"/>
        <v>27.854938271604873</v>
      </c>
      <c r="L119">
        <f t="shared" si="14"/>
        <v>22.299382716049443</v>
      </c>
      <c r="M119">
        <f t="shared" si="15"/>
        <v>7.7160493827156978E-2</v>
      </c>
      <c r="N119">
        <v>85</v>
      </c>
      <c r="P119">
        <v>70</v>
      </c>
      <c r="Q119">
        <v>65</v>
      </c>
      <c r="R119">
        <v>40</v>
      </c>
      <c r="S119">
        <v>70</v>
      </c>
      <c r="T119">
        <v>60</v>
      </c>
      <c r="U119">
        <v>75</v>
      </c>
      <c r="V119">
        <v>75</v>
      </c>
      <c r="W119">
        <v>75</v>
      </c>
      <c r="X119">
        <v>75</v>
      </c>
      <c r="Y119">
        <v>75</v>
      </c>
      <c r="Z119">
        <v>75</v>
      </c>
      <c r="AA119">
        <v>85</v>
      </c>
      <c r="AB119">
        <v>75</v>
      </c>
      <c r="AC119">
        <v>65</v>
      </c>
      <c r="AD119">
        <v>50</v>
      </c>
      <c r="AE119">
        <v>90</v>
      </c>
      <c r="AF119">
        <v>60</v>
      </c>
      <c r="AG119">
        <f t="shared" si="16"/>
        <v>81.666666666666671</v>
      </c>
      <c r="AH119">
        <f t="shared" si="17"/>
        <v>73.333333333333329</v>
      </c>
      <c r="AI119">
        <f t="shared" si="18"/>
        <v>68.333333333333329</v>
      </c>
      <c r="AJ119">
        <f t="shared" si="19"/>
        <v>55</v>
      </c>
      <c r="AK119">
        <f t="shared" si="20"/>
        <v>78.333333333333329</v>
      </c>
      <c r="AL119">
        <f t="shared" si="21"/>
        <v>65</v>
      </c>
      <c r="AM119">
        <f t="shared" si="22"/>
        <v>76.1111111111111</v>
      </c>
      <c r="AN119">
        <f t="shared" si="23"/>
        <v>70.277777777777771</v>
      </c>
    </row>
    <row r="120" spans="1:40" x14ac:dyDescent="0.3">
      <c r="A120" t="s">
        <v>365</v>
      </c>
      <c r="B120" t="s">
        <v>366</v>
      </c>
      <c r="C120">
        <v>33</v>
      </c>
      <c r="D120" t="s">
        <v>99</v>
      </c>
      <c r="E120">
        <v>0</v>
      </c>
      <c r="F120" t="s">
        <v>403</v>
      </c>
      <c r="G120">
        <v>75</v>
      </c>
      <c r="H120" t="s">
        <v>22</v>
      </c>
      <c r="I120">
        <f t="shared" si="12"/>
        <v>36</v>
      </c>
      <c r="K120">
        <f t="shared" si="13"/>
        <v>118.56790123456783</v>
      </c>
      <c r="L120">
        <f t="shared" si="14"/>
        <v>1926.2345679012342</v>
      </c>
      <c r="M120">
        <f t="shared" si="15"/>
        <v>967.90123456790138</v>
      </c>
      <c r="N120">
        <v>20</v>
      </c>
      <c r="P120">
        <v>40</v>
      </c>
      <c r="Q120">
        <v>50</v>
      </c>
      <c r="R120">
        <v>30</v>
      </c>
      <c r="S120">
        <v>10</v>
      </c>
      <c r="T120">
        <v>50</v>
      </c>
      <c r="U120">
        <v>30</v>
      </c>
      <c r="V120">
        <v>50</v>
      </c>
      <c r="W120">
        <v>40</v>
      </c>
      <c r="X120">
        <v>20</v>
      </c>
      <c r="Y120">
        <v>0</v>
      </c>
      <c r="Z120">
        <v>0</v>
      </c>
      <c r="AA120">
        <v>75</v>
      </c>
      <c r="AB120">
        <v>75</v>
      </c>
      <c r="AC120">
        <v>75</v>
      </c>
      <c r="AD120">
        <v>75</v>
      </c>
      <c r="AE120">
        <v>75</v>
      </c>
      <c r="AF120">
        <v>75</v>
      </c>
      <c r="AG120">
        <f t="shared" si="16"/>
        <v>41.666666666666664</v>
      </c>
      <c r="AH120">
        <f t="shared" si="17"/>
        <v>55</v>
      </c>
      <c r="AI120">
        <f t="shared" si="18"/>
        <v>55</v>
      </c>
      <c r="AJ120">
        <f t="shared" si="19"/>
        <v>41.666666666666664</v>
      </c>
      <c r="AK120">
        <f t="shared" si="20"/>
        <v>28.333333333333332</v>
      </c>
      <c r="AL120">
        <f t="shared" si="21"/>
        <v>41.666666666666664</v>
      </c>
      <c r="AM120">
        <f t="shared" si="22"/>
        <v>41.666666666666664</v>
      </c>
      <c r="AN120">
        <f t="shared" si="23"/>
        <v>43.888888888888886</v>
      </c>
    </row>
    <row r="121" spans="1:40" x14ac:dyDescent="0.3">
      <c r="A121" t="s">
        <v>365</v>
      </c>
      <c r="B121" t="s">
        <v>366</v>
      </c>
      <c r="C121">
        <v>76</v>
      </c>
      <c r="D121" t="s">
        <v>22</v>
      </c>
      <c r="E121">
        <v>76</v>
      </c>
      <c r="F121" t="s">
        <v>22</v>
      </c>
      <c r="G121">
        <v>83</v>
      </c>
      <c r="H121" t="s">
        <v>22</v>
      </c>
      <c r="I121">
        <f t="shared" si="12"/>
        <v>78.333333333333329</v>
      </c>
      <c r="K121">
        <f t="shared" si="13"/>
        <v>8.345679012345661</v>
      </c>
      <c r="L121">
        <f t="shared" si="14"/>
        <v>8.345679012345661</v>
      </c>
      <c r="M121">
        <f t="shared" si="15"/>
        <v>16.901234567901259</v>
      </c>
      <c r="N121">
        <v>75</v>
      </c>
      <c r="P121">
        <v>80</v>
      </c>
      <c r="Q121">
        <v>70</v>
      </c>
      <c r="R121">
        <v>60</v>
      </c>
      <c r="S121">
        <v>85</v>
      </c>
      <c r="T121">
        <v>90</v>
      </c>
      <c r="U121">
        <v>75</v>
      </c>
      <c r="V121">
        <v>85</v>
      </c>
      <c r="W121">
        <v>70</v>
      </c>
      <c r="X121">
        <v>60</v>
      </c>
      <c r="Y121">
        <v>90</v>
      </c>
      <c r="Z121">
        <v>80</v>
      </c>
      <c r="AA121">
        <v>85</v>
      </c>
      <c r="AB121">
        <v>90</v>
      </c>
      <c r="AC121">
        <v>75</v>
      </c>
      <c r="AD121">
        <v>90</v>
      </c>
      <c r="AE121">
        <v>80</v>
      </c>
      <c r="AF121">
        <v>80</v>
      </c>
      <c r="AG121">
        <f t="shared" si="16"/>
        <v>78.333333333333329</v>
      </c>
      <c r="AH121">
        <f t="shared" si="17"/>
        <v>85</v>
      </c>
      <c r="AI121">
        <f t="shared" si="18"/>
        <v>71.666666666666671</v>
      </c>
      <c r="AJ121">
        <f t="shared" si="19"/>
        <v>70</v>
      </c>
      <c r="AK121">
        <f t="shared" si="20"/>
        <v>85</v>
      </c>
      <c r="AL121">
        <f t="shared" si="21"/>
        <v>83.333333333333329</v>
      </c>
      <c r="AM121">
        <f t="shared" si="22"/>
        <v>78.333333333333329</v>
      </c>
      <c r="AN121">
        <f t="shared" si="23"/>
        <v>78.888888888888886</v>
      </c>
    </row>
    <row r="122" spans="1:40" x14ac:dyDescent="0.3">
      <c r="A122" t="s">
        <v>376</v>
      </c>
      <c r="B122" t="s">
        <v>377</v>
      </c>
      <c r="C122">
        <v>80</v>
      </c>
      <c r="D122" t="s">
        <v>22</v>
      </c>
      <c r="E122">
        <v>80</v>
      </c>
      <c r="F122" t="s">
        <v>22</v>
      </c>
      <c r="G122">
        <v>84</v>
      </c>
      <c r="H122" t="s">
        <v>22</v>
      </c>
      <c r="I122">
        <f t="shared" si="12"/>
        <v>81.333333333333329</v>
      </c>
      <c r="K122">
        <f t="shared" si="13"/>
        <v>1.9290123456790036</v>
      </c>
      <c r="L122">
        <f t="shared" si="14"/>
        <v>1.9290123456790036</v>
      </c>
      <c r="M122">
        <f t="shared" si="15"/>
        <v>6.817901234567918</v>
      </c>
      <c r="N122">
        <v>85</v>
      </c>
      <c r="P122">
        <v>90</v>
      </c>
      <c r="Q122">
        <v>75</v>
      </c>
      <c r="R122">
        <v>60</v>
      </c>
      <c r="S122">
        <v>80</v>
      </c>
      <c r="T122">
        <v>90</v>
      </c>
      <c r="U122">
        <v>85</v>
      </c>
      <c r="V122">
        <v>90</v>
      </c>
      <c r="W122">
        <v>75</v>
      </c>
      <c r="X122">
        <v>60</v>
      </c>
      <c r="Y122">
        <v>90</v>
      </c>
      <c r="Z122">
        <v>80</v>
      </c>
      <c r="AA122">
        <v>90</v>
      </c>
      <c r="AB122">
        <v>85</v>
      </c>
      <c r="AC122">
        <v>90</v>
      </c>
      <c r="AD122">
        <v>85</v>
      </c>
      <c r="AE122">
        <v>70</v>
      </c>
      <c r="AF122">
        <v>85</v>
      </c>
      <c r="AG122">
        <f t="shared" si="16"/>
        <v>86.666666666666671</v>
      </c>
      <c r="AH122">
        <f t="shared" si="17"/>
        <v>88.333333333333329</v>
      </c>
      <c r="AI122">
        <f t="shared" si="18"/>
        <v>80</v>
      </c>
      <c r="AJ122">
        <f t="shared" si="19"/>
        <v>68.333333333333329</v>
      </c>
      <c r="AK122">
        <f t="shared" si="20"/>
        <v>80</v>
      </c>
      <c r="AL122">
        <f t="shared" si="21"/>
        <v>85</v>
      </c>
      <c r="AM122">
        <f t="shared" si="22"/>
        <v>82.222222222222229</v>
      </c>
      <c r="AN122">
        <f t="shared" si="23"/>
        <v>81.388888888888886</v>
      </c>
    </row>
    <row r="123" spans="1:40" x14ac:dyDescent="0.3">
      <c r="A123" t="s">
        <v>376</v>
      </c>
      <c r="B123" t="s">
        <v>377</v>
      </c>
      <c r="C123">
        <v>80</v>
      </c>
      <c r="D123" t="s">
        <v>22</v>
      </c>
      <c r="E123">
        <v>80</v>
      </c>
      <c r="F123" t="s">
        <v>22</v>
      </c>
      <c r="G123">
        <v>75</v>
      </c>
      <c r="H123" t="s">
        <v>22</v>
      </c>
      <c r="I123">
        <f t="shared" si="12"/>
        <v>78.333333333333329</v>
      </c>
      <c r="K123">
        <f t="shared" si="13"/>
        <v>1.2345679012345749</v>
      </c>
      <c r="L123">
        <f t="shared" si="14"/>
        <v>1.2345679012345749</v>
      </c>
      <c r="M123">
        <f t="shared" si="15"/>
        <v>15.123456790123432</v>
      </c>
      <c r="N123">
        <v>85</v>
      </c>
      <c r="P123">
        <v>90</v>
      </c>
      <c r="Q123">
        <v>70</v>
      </c>
      <c r="R123">
        <v>65</v>
      </c>
      <c r="S123">
        <v>90</v>
      </c>
      <c r="T123">
        <v>80</v>
      </c>
      <c r="U123">
        <v>85</v>
      </c>
      <c r="V123">
        <v>90</v>
      </c>
      <c r="W123">
        <v>75</v>
      </c>
      <c r="X123">
        <v>60</v>
      </c>
      <c r="Y123">
        <v>80</v>
      </c>
      <c r="Z123">
        <v>95</v>
      </c>
      <c r="AA123">
        <v>75</v>
      </c>
      <c r="AB123">
        <v>75</v>
      </c>
      <c r="AC123">
        <v>75</v>
      </c>
      <c r="AD123">
        <v>80</v>
      </c>
      <c r="AE123">
        <v>75</v>
      </c>
      <c r="AF123">
        <v>75</v>
      </c>
      <c r="AG123">
        <f t="shared" si="16"/>
        <v>81.666666666666671</v>
      </c>
      <c r="AH123">
        <f t="shared" si="17"/>
        <v>85</v>
      </c>
      <c r="AI123">
        <f t="shared" si="18"/>
        <v>73.333333333333329</v>
      </c>
      <c r="AJ123">
        <f t="shared" si="19"/>
        <v>68.333333333333329</v>
      </c>
      <c r="AK123">
        <f t="shared" si="20"/>
        <v>81.666666666666671</v>
      </c>
      <c r="AL123">
        <f t="shared" si="21"/>
        <v>83.333333333333329</v>
      </c>
      <c r="AM123">
        <f t="shared" si="22"/>
        <v>78.8888888888889</v>
      </c>
      <c r="AN123">
        <f t="shared" si="23"/>
        <v>78.888888888888886</v>
      </c>
    </row>
    <row r="124" spans="1:40" x14ac:dyDescent="0.3">
      <c r="A124" t="s">
        <v>376</v>
      </c>
      <c r="B124" t="s">
        <v>377</v>
      </c>
      <c r="C124">
        <v>75</v>
      </c>
      <c r="D124" t="s">
        <v>22</v>
      </c>
      <c r="E124">
        <v>89</v>
      </c>
      <c r="F124" t="s">
        <v>22</v>
      </c>
      <c r="G124">
        <v>75</v>
      </c>
      <c r="H124" t="s">
        <v>22</v>
      </c>
      <c r="I124">
        <f t="shared" si="12"/>
        <v>79.666666666666671</v>
      </c>
      <c r="K124">
        <f t="shared" si="13"/>
        <v>22.299382716049443</v>
      </c>
      <c r="L124">
        <f t="shared" si="14"/>
        <v>86.077160493827037</v>
      </c>
      <c r="M124">
        <f t="shared" si="15"/>
        <v>22.299382716049443</v>
      </c>
      <c r="N124">
        <v>75</v>
      </c>
      <c r="P124">
        <v>75</v>
      </c>
      <c r="Q124">
        <v>75</v>
      </c>
      <c r="R124">
        <v>75</v>
      </c>
      <c r="S124">
        <v>75</v>
      </c>
      <c r="T124">
        <v>75</v>
      </c>
      <c r="U124">
        <v>95</v>
      </c>
      <c r="V124">
        <v>90</v>
      </c>
      <c r="W124">
        <v>85</v>
      </c>
      <c r="X124">
        <v>90</v>
      </c>
      <c r="Y124">
        <v>80</v>
      </c>
      <c r="Z124">
        <v>95</v>
      </c>
      <c r="AA124">
        <v>75</v>
      </c>
      <c r="AB124">
        <v>75</v>
      </c>
      <c r="AC124">
        <v>75</v>
      </c>
      <c r="AD124">
        <v>75</v>
      </c>
      <c r="AE124">
        <v>75</v>
      </c>
      <c r="AF124">
        <v>75</v>
      </c>
      <c r="AG124">
        <f t="shared" si="16"/>
        <v>81.666666666666671</v>
      </c>
      <c r="AH124">
        <f t="shared" si="17"/>
        <v>80</v>
      </c>
      <c r="AI124">
        <f t="shared" si="18"/>
        <v>78.333333333333329</v>
      </c>
      <c r="AJ124">
        <f t="shared" si="19"/>
        <v>80</v>
      </c>
      <c r="AK124">
        <f t="shared" si="20"/>
        <v>76.666666666666671</v>
      </c>
      <c r="AL124">
        <f t="shared" si="21"/>
        <v>81.666666666666671</v>
      </c>
      <c r="AM124">
        <f t="shared" si="22"/>
        <v>78.8888888888889</v>
      </c>
      <c r="AN124">
        <f t="shared" si="23"/>
        <v>79.722222222222229</v>
      </c>
    </row>
    <row r="125" spans="1:40" x14ac:dyDescent="0.3">
      <c r="A125" t="s">
        <v>376</v>
      </c>
      <c r="B125" t="s">
        <v>377</v>
      </c>
      <c r="C125">
        <v>75</v>
      </c>
      <c r="D125" t="s">
        <v>22</v>
      </c>
      <c r="E125">
        <v>82</v>
      </c>
      <c r="F125" t="s">
        <v>22</v>
      </c>
      <c r="G125">
        <v>76</v>
      </c>
      <c r="H125" t="s">
        <v>22</v>
      </c>
      <c r="I125">
        <f t="shared" si="12"/>
        <v>77.666666666666671</v>
      </c>
      <c r="K125">
        <f t="shared" si="13"/>
        <v>9.3364197530864299</v>
      </c>
      <c r="L125">
        <f t="shared" si="14"/>
        <v>15.55864197530863</v>
      </c>
      <c r="M125">
        <f t="shared" si="15"/>
        <v>4.2253086419753147</v>
      </c>
      <c r="N125">
        <v>75</v>
      </c>
      <c r="P125">
        <v>75</v>
      </c>
      <c r="Q125">
        <v>75</v>
      </c>
      <c r="R125">
        <v>75</v>
      </c>
      <c r="S125">
        <v>75</v>
      </c>
      <c r="T125">
        <v>75</v>
      </c>
      <c r="U125">
        <v>85</v>
      </c>
      <c r="V125">
        <v>90</v>
      </c>
      <c r="W125">
        <v>70</v>
      </c>
      <c r="X125">
        <v>65</v>
      </c>
      <c r="Y125">
        <v>95</v>
      </c>
      <c r="Z125">
        <v>90</v>
      </c>
      <c r="AA125">
        <v>75</v>
      </c>
      <c r="AB125">
        <v>85</v>
      </c>
      <c r="AC125">
        <v>80</v>
      </c>
      <c r="AD125">
        <v>60</v>
      </c>
      <c r="AE125">
        <v>70</v>
      </c>
      <c r="AF125">
        <v>90</v>
      </c>
      <c r="AG125">
        <f t="shared" si="16"/>
        <v>78.333333333333329</v>
      </c>
      <c r="AH125">
        <f t="shared" si="17"/>
        <v>83.333333333333329</v>
      </c>
      <c r="AI125">
        <f t="shared" si="18"/>
        <v>75</v>
      </c>
      <c r="AJ125">
        <f t="shared" si="19"/>
        <v>66.666666666666671</v>
      </c>
      <c r="AK125">
        <f t="shared" si="20"/>
        <v>80</v>
      </c>
      <c r="AL125">
        <f t="shared" si="21"/>
        <v>85</v>
      </c>
      <c r="AM125">
        <f t="shared" si="22"/>
        <v>77.777777777777771</v>
      </c>
      <c r="AN125">
        <f t="shared" si="23"/>
        <v>78.055555555555557</v>
      </c>
    </row>
    <row r="126" spans="1:40" x14ac:dyDescent="0.3">
      <c r="A126" t="s">
        <v>388</v>
      </c>
      <c r="B126" t="s">
        <v>389</v>
      </c>
      <c r="C126">
        <v>75</v>
      </c>
      <c r="D126" t="s">
        <v>22</v>
      </c>
      <c r="E126">
        <v>60</v>
      </c>
      <c r="F126" t="s">
        <v>28</v>
      </c>
      <c r="G126">
        <v>72</v>
      </c>
      <c r="H126" t="s">
        <v>28</v>
      </c>
      <c r="I126">
        <f t="shared" si="12"/>
        <v>69</v>
      </c>
      <c r="K126">
        <f t="shared" si="13"/>
        <v>27.854938271605022</v>
      </c>
      <c r="L126">
        <f t="shared" si="14"/>
        <v>94.521604938271452</v>
      </c>
      <c r="M126">
        <f t="shared" si="15"/>
        <v>5.1882716049383077</v>
      </c>
      <c r="N126">
        <v>75</v>
      </c>
      <c r="P126">
        <v>80</v>
      </c>
      <c r="Q126">
        <v>70</v>
      </c>
      <c r="R126">
        <v>60</v>
      </c>
      <c r="S126">
        <v>90</v>
      </c>
      <c r="T126">
        <v>80</v>
      </c>
      <c r="U126">
        <v>60</v>
      </c>
      <c r="V126">
        <v>70</v>
      </c>
      <c r="W126">
        <v>80</v>
      </c>
      <c r="X126">
        <v>40</v>
      </c>
      <c r="Y126">
        <v>50</v>
      </c>
      <c r="Z126">
        <v>65</v>
      </c>
      <c r="AA126">
        <v>75</v>
      </c>
      <c r="AB126">
        <v>80</v>
      </c>
      <c r="AC126">
        <v>70</v>
      </c>
      <c r="AD126">
        <v>60</v>
      </c>
      <c r="AE126">
        <v>85</v>
      </c>
      <c r="AF126">
        <v>65</v>
      </c>
      <c r="AG126">
        <f t="shared" si="16"/>
        <v>70</v>
      </c>
      <c r="AH126">
        <f t="shared" si="17"/>
        <v>76.666666666666671</v>
      </c>
      <c r="AI126">
        <f t="shared" si="18"/>
        <v>73.333333333333329</v>
      </c>
      <c r="AJ126">
        <f t="shared" si="19"/>
        <v>53.333333333333336</v>
      </c>
      <c r="AK126">
        <f t="shared" si="20"/>
        <v>75</v>
      </c>
      <c r="AL126">
        <f t="shared" si="21"/>
        <v>70</v>
      </c>
      <c r="AM126">
        <f t="shared" si="22"/>
        <v>72.777777777777771</v>
      </c>
      <c r="AN126">
        <f t="shared" si="23"/>
        <v>69.722222222222214</v>
      </c>
    </row>
    <row r="127" spans="1:40" x14ac:dyDescent="0.3">
      <c r="A127" t="s">
        <v>388</v>
      </c>
      <c r="B127" t="s">
        <v>389</v>
      </c>
      <c r="C127">
        <v>65</v>
      </c>
      <c r="D127" t="s">
        <v>28</v>
      </c>
      <c r="E127">
        <v>72</v>
      </c>
      <c r="F127" t="s">
        <v>28</v>
      </c>
      <c r="G127">
        <v>77</v>
      </c>
      <c r="H127" t="s">
        <v>22</v>
      </c>
      <c r="I127">
        <f t="shared" si="12"/>
        <v>71.333333333333329</v>
      </c>
      <c r="K127">
        <f t="shared" si="13"/>
        <v>48.225308641975289</v>
      </c>
      <c r="L127">
        <f t="shared" si="14"/>
        <v>3.0864197530865952E-3</v>
      </c>
      <c r="M127">
        <f t="shared" si="15"/>
        <v>25.558641975308657</v>
      </c>
      <c r="N127">
        <v>65</v>
      </c>
      <c r="P127">
        <v>70</v>
      </c>
      <c r="Q127">
        <v>80</v>
      </c>
      <c r="R127">
        <v>40</v>
      </c>
      <c r="S127">
        <v>80</v>
      </c>
      <c r="T127">
        <v>60</v>
      </c>
      <c r="U127">
        <v>60</v>
      </c>
      <c r="V127">
        <v>70</v>
      </c>
      <c r="W127">
        <v>80</v>
      </c>
      <c r="X127">
        <v>85</v>
      </c>
      <c r="Y127">
        <v>65</v>
      </c>
      <c r="Z127">
        <v>75</v>
      </c>
      <c r="AA127">
        <v>75</v>
      </c>
      <c r="AB127">
        <v>75</v>
      </c>
      <c r="AC127">
        <v>75</v>
      </c>
      <c r="AD127">
        <v>90</v>
      </c>
      <c r="AE127">
        <v>75</v>
      </c>
      <c r="AF127">
        <v>75</v>
      </c>
      <c r="AG127">
        <f t="shared" si="16"/>
        <v>66.666666666666671</v>
      </c>
      <c r="AH127">
        <f t="shared" si="17"/>
        <v>71.666666666666671</v>
      </c>
      <c r="AI127">
        <f t="shared" si="18"/>
        <v>78.333333333333329</v>
      </c>
      <c r="AJ127">
        <f t="shared" si="19"/>
        <v>71.666666666666671</v>
      </c>
      <c r="AK127">
        <f t="shared" si="20"/>
        <v>73.333333333333329</v>
      </c>
      <c r="AL127">
        <f t="shared" si="21"/>
        <v>70</v>
      </c>
      <c r="AM127">
        <f t="shared" si="22"/>
        <v>72.777777777777771</v>
      </c>
      <c r="AN127">
        <f t="shared" si="23"/>
        <v>71.944444444444443</v>
      </c>
    </row>
    <row r="128" spans="1:40" x14ac:dyDescent="0.3">
      <c r="A128" t="s">
        <v>388</v>
      </c>
      <c r="B128" t="s">
        <v>389</v>
      </c>
      <c r="C128">
        <v>65</v>
      </c>
      <c r="D128" t="s">
        <v>28</v>
      </c>
      <c r="E128">
        <v>75</v>
      </c>
      <c r="F128" t="s">
        <v>22</v>
      </c>
      <c r="G128">
        <v>70</v>
      </c>
      <c r="H128" t="s">
        <v>28</v>
      </c>
      <c r="I128">
        <f t="shared" si="12"/>
        <v>70</v>
      </c>
      <c r="K128">
        <f t="shared" si="13"/>
        <v>30.864197530864214</v>
      </c>
      <c r="L128">
        <f t="shared" si="14"/>
        <v>19.753086419753071</v>
      </c>
      <c r="M128">
        <f t="shared" si="15"/>
        <v>0.30864197530864373</v>
      </c>
      <c r="N128">
        <v>60</v>
      </c>
      <c r="P128">
        <v>75</v>
      </c>
      <c r="Q128">
        <v>65</v>
      </c>
      <c r="R128">
        <v>45</v>
      </c>
      <c r="S128">
        <v>70</v>
      </c>
      <c r="T128">
        <v>80</v>
      </c>
      <c r="U128">
        <v>75</v>
      </c>
      <c r="V128">
        <v>75</v>
      </c>
      <c r="W128">
        <v>75</v>
      </c>
      <c r="X128">
        <v>75</v>
      </c>
      <c r="Y128">
        <v>75</v>
      </c>
      <c r="Z128">
        <v>75</v>
      </c>
      <c r="AA128">
        <v>75</v>
      </c>
      <c r="AB128">
        <v>80</v>
      </c>
      <c r="AC128">
        <v>80</v>
      </c>
      <c r="AD128">
        <v>60</v>
      </c>
      <c r="AE128">
        <v>70</v>
      </c>
      <c r="AF128">
        <v>60</v>
      </c>
      <c r="AG128">
        <f t="shared" si="16"/>
        <v>70</v>
      </c>
      <c r="AH128">
        <f t="shared" si="17"/>
        <v>76.666666666666671</v>
      </c>
      <c r="AI128">
        <f t="shared" si="18"/>
        <v>73.333333333333329</v>
      </c>
      <c r="AJ128">
        <f t="shared" si="19"/>
        <v>60</v>
      </c>
      <c r="AK128">
        <f t="shared" si="20"/>
        <v>71.666666666666671</v>
      </c>
      <c r="AL128">
        <f t="shared" si="21"/>
        <v>71.666666666666671</v>
      </c>
      <c r="AM128">
        <f t="shared" si="22"/>
        <v>71.666666666666671</v>
      </c>
      <c r="AN128">
        <f t="shared" si="23"/>
        <v>70.555555555555557</v>
      </c>
    </row>
    <row r="129" spans="1:40" x14ac:dyDescent="0.3">
      <c r="A129" t="s">
        <v>388</v>
      </c>
      <c r="B129" t="s">
        <v>389</v>
      </c>
      <c r="C129">
        <v>59</v>
      </c>
      <c r="D129" t="s">
        <v>71</v>
      </c>
      <c r="E129">
        <v>80</v>
      </c>
      <c r="F129" t="s">
        <v>22</v>
      </c>
      <c r="G129">
        <v>75</v>
      </c>
      <c r="H129" t="s">
        <v>22</v>
      </c>
      <c r="I129">
        <f t="shared" si="12"/>
        <v>71.333333333333329</v>
      </c>
      <c r="K129">
        <f t="shared" si="13"/>
        <v>153.4845679012345</v>
      </c>
      <c r="L129">
        <f t="shared" si="14"/>
        <v>74.151234567901284</v>
      </c>
      <c r="M129">
        <f t="shared" si="15"/>
        <v>13.040123456790147</v>
      </c>
      <c r="N129">
        <v>65</v>
      </c>
      <c r="P129">
        <v>70</v>
      </c>
      <c r="Q129">
        <v>80</v>
      </c>
      <c r="R129">
        <v>30</v>
      </c>
      <c r="S129">
        <v>70</v>
      </c>
      <c r="T129">
        <v>40</v>
      </c>
      <c r="U129">
        <v>85</v>
      </c>
      <c r="V129">
        <v>90</v>
      </c>
      <c r="W129">
        <v>75</v>
      </c>
      <c r="X129">
        <v>60</v>
      </c>
      <c r="Y129">
        <v>90</v>
      </c>
      <c r="Z129">
        <v>80</v>
      </c>
      <c r="AA129">
        <v>75</v>
      </c>
      <c r="AB129">
        <v>75</v>
      </c>
      <c r="AC129">
        <v>75</v>
      </c>
      <c r="AD129">
        <v>75</v>
      </c>
      <c r="AE129">
        <v>75</v>
      </c>
      <c r="AF129">
        <v>75</v>
      </c>
      <c r="AG129">
        <f t="shared" si="16"/>
        <v>75</v>
      </c>
      <c r="AH129">
        <f t="shared" si="17"/>
        <v>78.333333333333329</v>
      </c>
      <c r="AI129">
        <f t="shared" si="18"/>
        <v>76.666666666666671</v>
      </c>
      <c r="AJ129">
        <f t="shared" si="19"/>
        <v>55</v>
      </c>
      <c r="AK129">
        <f t="shared" si="20"/>
        <v>78.333333333333329</v>
      </c>
      <c r="AL129">
        <f t="shared" si="21"/>
        <v>65</v>
      </c>
      <c r="AM129">
        <f t="shared" si="22"/>
        <v>76.666666666666671</v>
      </c>
      <c r="AN129">
        <f t="shared" si="23"/>
        <v>71.388888888888886</v>
      </c>
    </row>
    <row r="130" spans="1:40" x14ac:dyDescent="0.3">
      <c r="A130" t="s">
        <v>399</v>
      </c>
      <c r="B130" t="s">
        <v>400</v>
      </c>
      <c r="C130">
        <v>0</v>
      </c>
      <c r="D130" t="s">
        <v>403</v>
      </c>
      <c r="E130">
        <v>0</v>
      </c>
      <c r="F130" t="s">
        <v>403</v>
      </c>
      <c r="G130">
        <v>35</v>
      </c>
      <c r="H130" t="s">
        <v>99</v>
      </c>
      <c r="I130">
        <f t="shared" si="12"/>
        <v>11.666666666666666</v>
      </c>
      <c r="K130">
        <f t="shared" si="13"/>
        <v>422.53086419753078</v>
      </c>
      <c r="L130">
        <f t="shared" si="14"/>
        <v>422.53086419753078</v>
      </c>
      <c r="M130">
        <f t="shared" si="15"/>
        <v>208.64197530864203</v>
      </c>
      <c r="N130">
        <v>0</v>
      </c>
      <c r="P130">
        <v>20</v>
      </c>
      <c r="Q130">
        <v>30</v>
      </c>
      <c r="R130">
        <v>5</v>
      </c>
      <c r="S130">
        <v>10</v>
      </c>
      <c r="T130">
        <v>95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30</v>
      </c>
      <c r="AB130">
        <v>40</v>
      </c>
      <c r="AC130">
        <v>60</v>
      </c>
      <c r="AD130">
        <v>20</v>
      </c>
      <c r="AE130">
        <v>50</v>
      </c>
      <c r="AF130">
        <v>10</v>
      </c>
      <c r="AG130">
        <f t="shared" si="16"/>
        <v>10</v>
      </c>
      <c r="AH130">
        <f t="shared" si="17"/>
        <v>20</v>
      </c>
      <c r="AI130">
        <f t="shared" si="18"/>
        <v>30</v>
      </c>
      <c r="AJ130">
        <f t="shared" si="19"/>
        <v>8.3333333333333339</v>
      </c>
      <c r="AK130">
        <f t="shared" si="20"/>
        <v>20</v>
      </c>
      <c r="AL130">
        <f t="shared" si="21"/>
        <v>35</v>
      </c>
      <c r="AM130">
        <f t="shared" si="22"/>
        <v>20</v>
      </c>
      <c r="AN130">
        <f t="shared" si="23"/>
        <v>20.555555555555554</v>
      </c>
    </row>
    <row r="131" spans="1:40" x14ac:dyDescent="0.3">
      <c r="A131" t="s">
        <v>399</v>
      </c>
      <c r="B131" t="s">
        <v>400</v>
      </c>
      <c r="C131">
        <v>45</v>
      </c>
      <c r="D131" t="s">
        <v>71</v>
      </c>
      <c r="E131">
        <v>50</v>
      </c>
      <c r="F131" t="s">
        <v>71</v>
      </c>
      <c r="G131">
        <v>46</v>
      </c>
      <c r="H131" t="s">
        <v>71</v>
      </c>
      <c r="I131">
        <f t="shared" ref="I131:I194" si="24">SUM(C131,E131,G131)/3</f>
        <v>47</v>
      </c>
      <c r="K131">
        <f t="shared" ref="K131:K194" si="25">(C131-AN131)^2</f>
        <v>6.25</v>
      </c>
      <c r="L131">
        <f t="shared" ref="L131:L194" si="26">(E131-AN131)^2</f>
        <v>6.25</v>
      </c>
      <c r="M131">
        <f t="shared" ref="M131:M194" si="27">(G131-AN131)^2</f>
        <v>2.25</v>
      </c>
      <c r="N131">
        <v>70</v>
      </c>
      <c r="P131">
        <v>65</v>
      </c>
      <c r="Q131">
        <v>40</v>
      </c>
      <c r="R131">
        <v>30</v>
      </c>
      <c r="S131">
        <v>45</v>
      </c>
      <c r="T131">
        <v>25</v>
      </c>
      <c r="U131">
        <v>70</v>
      </c>
      <c r="V131">
        <v>60</v>
      </c>
      <c r="W131">
        <v>65</v>
      </c>
      <c r="X131">
        <v>30</v>
      </c>
      <c r="Y131">
        <v>25</v>
      </c>
      <c r="Z131">
        <v>50</v>
      </c>
      <c r="AA131">
        <v>45</v>
      </c>
      <c r="AB131">
        <v>60</v>
      </c>
      <c r="AC131">
        <v>70</v>
      </c>
      <c r="AD131">
        <v>25</v>
      </c>
      <c r="AE131">
        <v>30</v>
      </c>
      <c r="AF131">
        <v>50</v>
      </c>
      <c r="AG131">
        <f t="shared" ref="AG131:AG194" si="28">AVERAGE(N131,U131,AA131)</f>
        <v>61.666666666666664</v>
      </c>
      <c r="AH131">
        <f t="shared" ref="AH131:AH194" si="29">AVERAGE(P131,V131,AB131)</f>
        <v>61.666666666666664</v>
      </c>
      <c r="AI131">
        <f t="shared" ref="AI131:AI194" si="30">AVERAGE(Q131,W131,AC131)</f>
        <v>58.333333333333336</v>
      </c>
      <c r="AJ131">
        <f t="shared" ref="AJ131:AJ194" si="31">AVERAGE(R131,X131,AD131)</f>
        <v>28.333333333333332</v>
      </c>
      <c r="AK131">
        <f t="shared" ref="AK131:AK194" si="32">AVERAGE(S131,Y131,AE131)</f>
        <v>33.333333333333336</v>
      </c>
      <c r="AL131">
        <f t="shared" ref="AL131:AL194" si="33">AVERAGE(T131,Z131,AF131)</f>
        <v>41.666666666666664</v>
      </c>
      <c r="AM131">
        <f t="shared" ref="AM131:AM194" si="34">SUM(AG131,AI131,AK131)/3</f>
        <v>51.111111111111114</v>
      </c>
      <c r="AN131">
        <f t="shared" ref="AN131:AN194" si="35">AVERAGE(AG131:AL131)</f>
        <v>47.5</v>
      </c>
    </row>
    <row r="132" spans="1:40" x14ac:dyDescent="0.3">
      <c r="A132" t="s">
        <v>399</v>
      </c>
      <c r="B132" t="s">
        <v>400</v>
      </c>
      <c r="C132">
        <v>0</v>
      </c>
      <c r="D132" t="s">
        <v>403</v>
      </c>
      <c r="E132">
        <v>38</v>
      </c>
      <c r="F132" t="s">
        <v>99</v>
      </c>
      <c r="G132">
        <v>27</v>
      </c>
      <c r="H132" t="s">
        <v>99</v>
      </c>
      <c r="I132">
        <f t="shared" si="24"/>
        <v>21.666666666666668</v>
      </c>
      <c r="K132">
        <f t="shared" si="25"/>
        <v>985.26234567901236</v>
      </c>
      <c r="L132">
        <f t="shared" si="26"/>
        <v>43.706790123456784</v>
      </c>
      <c r="M132">
        <f t="shared" si="27"/>
        <v>19.262345679012348</v>
      </c>
      <c r="N132">
        <v>35</v>
      </c>
      <c r="P132">
        <v>40</v>
      </c>
      <c r="Q132">
        <v>65</v>
      </c>
      <c r="R132">
        <v>20</v>
      </c>
      <c r="S132">
        <v>10</v>
      </c>
      <c r="T132">
        <v>0</v>
      </c>
      <c r="U132">
        <v>20</v>
      </c>
      <c r="V132">
        <v>30</v>
      </c>
      <c r="W132">
        <v>40</v>
      </c>
      <c r="X132">
        <v>10</v>
      </c>
      <c r="Y132">
        <v>50</v>
      </c>
      <c r="Z132">
        <v>80</v>
      </c>
      <c r="AA132">
        <v>5</v>
      </c>
      <c r="AB132">
        <v>20</v>
      </c>
      <c r="AC132">
        <v>40</v>
      </c>
      <c r="AD132">
        <v>10</v>
      </c>
      <c r="AE132">
        <v>30</v>
      </c>
      <c r="AF132">
        <v>60</v>
      </c>
      <c r="AG132">
        <f t="shared" si="28"/>
        <v>20</v>
      </c>
      <c r="AH132">
        <f t="shared" si="29"/>
        <v>30</v>
      </c>
      <c r="AI132">
        <f t="shared" si="30"/>
        <v>48.333333333333336</v>
      </c>
      <c r="AJ132">
        <f t="shared" si="31"/>
        <v>13.333333333333334</v>
      </c>
      <c r="AK132">
        <f t="shared" si="32"/>
        <v>30</v>
      </c>
      <c r="AL132">
        <f t="shared" si="33"/>
        <v>46.666666666666664</v>
      </c>
      <c r="AM132">
        <f t="shared" si="34"/>
        <v>32.777777777777779</v>
      </c>
      <c r="AN132">
        <f t="shared" si="35"/>
        <v>31.388888888888889</v>
      </c>
    </row>
    <row r="133" spans="1:40" x14ac:dyDescent="0.3">
      <c r="A133" t="s">
        <v>399</v>
      </c>
      <c r="B133" t="s">
        <v>400</v>
      </c>
      <c r="C133">
        <v>17</v>
      </c>
      <c r="D133" t="s">
        <v>99</v>
      </c>
      <c r="E133">
        <v>0</v>
      </c>
      <c r="F133" t="s">
        <v>403</v>
      </c>
      <c r="G133">
        <v>29</v>
      </c>
      <c r="H133" t="s">
        <v>99</v>
      </c>
      <c r="I133">
        <f t="shared" si="24"/>
        <v>15.333333333333334</v>
      </c>
      <c r="K133">
        <f t="shared" si="25"/>
        <v>7.7160493827158963E-2</v>
      </c>
      <c r="L133">
        <f t="shared" si="26"/>
        <v>279.63271604938279</v>
      </c>
      <c r="M133">
        <f t="shared" si="27"/>
        <v>150.74382716049377</v>
      </c>
      <c r="N133">
        <v>20</v>
      </c>
      <c r="P133">
        <v>30</v>
      </c>
      <c r="Q133">
        <v>40</v>
      </c>
      <c r="R133">
        <v>5</v>
      </c>
      <c r="S133">
        <v>10</v>
      </c>
      <c r="T133">
        <v>1</v>
      </c>
      <c r="U133">
        <v>0</v>
      </c>
      <c r="V133">
        <v>0</v>
      </c>
      <c r="W133">
        <v>20</v>
      </c>
      <c r="X133">
        <v>0</v>
      </c>
      <c r="Y133">
        <v>0</v>
      </c>
      <c r="Z133">
        <v>0</v>
      </c>
      <c r="AA133">
        <v>20</v>
      </c>
      <c r="AB133">
        <v>35</v>
      </c>
      <c r="AC133">
        <v>40</v>
      </c>
      <c r="AD133">
        <v>5</v>
      </c>
      <c r="AE133">
        <v>70</v>
      </c>
      <c r="AF133">
        <v>5</v>
      </c>
      <c r="AG133">
        <f t="shared" si="28"/>
        <v>13.333333333333334</v>
      </c>
      <c r="AH133">
        <f t="shared" si="29"/>
        <v>21.666666666666668</v>
      </c>
      <c r="AI133">
        <f t="shared" si="30"/>
        <v>33.333333333333336</v>
      </c>
      <c r="AJ133">
        <f t="shared" si="31"/>
        <v>3.3333333333333335</v>
      </c>
      <c r="AK133">
        <f t="shared" si="32"/>
        <v>26.666666666666668</v>
      </c>
      <c r="AL133">
        <f t="shared" si="33"/>
        <v>2</v>
      </c>
      <c r="AM133">
        <f t="shared" si="34"/>
        <v>24.444444444444446</v>
      </c>
      <c r="AN133">
        <f t="shared" si="35"/>
        <v>16.722222222222225</v>
      </c>
    </row>
    <row r="134" spans="1:40" x14ac:dyDescent="0.3">
      <c r="A134" t="s">
        <v>410</v>
      </c>
      <c r="B134" t="s">
        <v>411</v>
      </c>
      <c r="C134">
        <v>57</v>
      </c>
      <c r="D134" t="s">
        <v>71</v>
      </c>
      <c r="E134">
        <v>30</v>
      </c>
      <c r="F134" t="s">
        <v>99</v>
      </c>
      <c r="G134">
        <v>0</v>
      </c>
      <c r="H134" t="s">
        <v>403</v>
      </c>
      <c r="I134">
        <f t="shared" si="24"/>
        <v>29</v>
      </c>
      <c r="K134">
        <f t="shared" si="25"/>
        <v>496.29938271604942</v>
      </c>
      <c r="L134">
        <f t="shared" si="26"/>
        <v>22.299382716049376</v>
      </c>
      <c r="M134">
        <f t="shared" si="27"/>
        <v>1205.6327160493827</v>
      </c>
      <c r="N134">
        <v>60</v>
      </c>
      <c r="P134">
        <v>75</v>
      </c>
      <c r="Q134">
        <v>65</v>
      </c>
      <c r="R134">
        <v>35</v>
      </c>
      <c r="S134">
        <v>40</v>
      </c>
      <c r="T134">
        <v>70</v>
      </c>
      <c r="U134">
        <v>20</v>
      </c>
      <c r="V134">
        <v>35</v>
      </c>
      <c r="W134">
        <v>50</v>
      </c>
      <c r="X134">
        <v>20</v>
      </c>
      <c r="Y134">
        <v>30</v>
      </c>
      <c r="Z134">
        <v>25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100</v>
      </c>
      <c r="AG134">
        <f t="shared" si="28"/>
        <v>26.666666666666668</v>
      </c>
      <c r="AH134">
        <f t="shared" si="29"/>
        <v>36.666666666666664</v>
      </c>
      <c r="AI134">
        <f t="shared" si="30"/>
        <v>38.333333333333336</v>
      </c>
      <c r="AJ134">
        <f t="shared" si="31"/>
        <v>18.333333333333332</v>
      </c>
      <c r="AK134">
        <f t="shared" si="32"/>
        <v>23.333333333333332</v>
      </c>
      <c r="AL134">
        <f t="shared" si="33"/>
        <v>65</v>
      </c>
      <c r="AM134">
        <f t="shared" si="34"/>
        <v>29.444444444444443</v>
      </c>
      <c r="AN134">
        <f t="shared" si="35"/>
        <v>34.722222222222221</v>
      </c>
    </row>
    <row r="135" spans="1:40" x14ac:dyDescent="0.3">
      <c r="A135" t="s">
        <v>410</v>
      </c>
      <c r="B135" t="s">
        <v>411</v>
      </c>
      <c r="C135">
        <v>45</v>
      </c>
      <c r="D135" t="s">
        <v>71</v>
      </c>
      <c r="E135">
        <v>35</v>
      </c>
      <c r="F135" t="s">
        <v>99</v>
      </c>
      <c r="G135">
        <v>63</v>
      </c>
      <c r="H135" t="s">
        <v>28</v>
      </c>
      <c r="I135">
        <f t="shared" si="24"/>
        <v>47.666666666666664</v>
      </c>
      <c r="K135">
        <f t="shared" si="25"/>
        <v>7.7160493827160144</v>
      </c>
      <c r="L135">
        <f t="shared" si="26"/>
        <v>163.27160493827145</v>
      </c>
      <c r="M135">
        <f t="shared" si="27"/>
        <v>231.71604938271625</v>
      </c>
      <c r="N135">
        <v>50</v>
      </c>
      <c r="P135">
        <v>30</v>
      </c>
      <c r="Q135">
        <v>40</v>
      </c>
      <c r="R135">
        <v>20</v>
      </c>
      <c r="S135">
        <v>60</v>
      </c>
      <c r="T135">
        <v>70</v>
      </c>
      <c r="U135">
        <v>35</v>
      </c>
      <c r="V135">
        <v>40</v>
      </c>
      <c r="W135">
        <v>60</v>
      </c>
      <c r="X135">
        <v>20</v>
      </c>
      <c r="Y135">
        <v>45</v>
      </c>
      <c r="Z135">
        <v>10</v>
      </c>
      <c r="AA135">
        <v>70</v>
      </c>
      <c r="AB135">
        <v>65</v>
      </c>
      <c r="AC135">
        <v>80</v>
      </c>
      <c r="AD135">
        <v>35</v>
      </c>
      <c r="AE135">
        <v>60</v>
      </c>
      <c r="AF135">
        <v>70</v>
      </c>
      <c r="AG135">
        <f t="shared" si="28"/>
        <v>51.666666666666664</v>
      </c>
      <c r="AH135">
        <f t="shared" si="29"/>
        <v>45</v>
      </c>
      <c r="AI135">
        <f t="shared" si="30"/>
        <v>60</v>
      </c>
      <c r="AJ135">
        <f t="shared" si="31"/>
        <v>25</v>
      </c>
      <c r="AK135">
        <f t="shared" si="32"/>
        <v>55</v>
      </c>
      <c r="AL135">
        <f t="shared" si="33"/>
        <v>50</v>
      </c>
      <c r="AM135">
        <f t="shared" si="34"/>
        <v>55.55555555555555</v>
      </c>
      <c r="AN135">
        <f t="shared" si="35"/>
        <v>47.777777777777771</v>
      </c>
    </row>
    <row r="136" spans="1:40" x14ac:dyDescent="0.3">
      <c r="A136" t="s">
        <v>410</v>
      </c>
      <c r="B136" t="s">
        <v>411</v>
      </c>
      <c r="C136">
        <v>0</v>
      </c>
      <c r="D136" t="s">
        <v>403</v>
      </c>
      <c r="E136">
        <v>76</v>
      </c>
      <c r="F136" t="s">
        <v>22</v>
      </c>
      <c r="G136">
        <v>28</v>
      </c>
      <c r="H136" t="s">
        <v>99</v>
      </c>
      <c r="I136">
        <f t="shared" si="24"/>
        <v>34.666666666666664</v>
      </c>
      <c r="K136">
        <f t="shared" si="25"/>
        <v>1644.7530864197527</v>
      </c>
      <c r="L136">
        <f t="shared" si="26"/>
        <v>1256.308641975309</v>
      </c>
      <c r="M136">
        <f t="shared" si="27"/>
        <v>157.64197530864183</v>
      </c>
      <c r="N136">
        <v>0</v>
      </c>
      <c r="P136">
        <v>0</v>
      </c>
      <c r="Q136">
        <v>0</v>
      </c>
      <c r="R136">
        <v>0</v>
      </c>
      <c r="S136">
        <v>0</v>
      </c>
      <c r="T136">
        <v>100</v>
      </c>
      <c r="U136">
        <v>95</v>
      </c>
      <c r="V136">
        <v>80</v>
      </c>
      <c r="W136">
        <v>70</v>
      </c>
      <c r="X136">
        <v>60</v>
      </c>
      <c r="Y136">
        <v>75</v>
      </c>
      <c r="Z136">
        <v>80</v>
      </c>
      <c r="AA136">
        <v>25</v>
      </c>
      <c r="AB136">
        <v>30</v>
      </c>
      <c r="AC136">
        <v>40</v>
      </c>
      <c r="AD136">
        <v>10</v>
      </c>
      <c r="AE136">
        <v>60</v>
      </c>
      <c r="AF136">
        <v>5</v>
      </c>
      <c r="AG136">
        <f t="shared" si="28"/>
        <v>40</v>
      </c>
      <c r="AH136">
        <f t="shared" si="29"/>
        <v>36.666666666666664</v>
      </c>
      <c r="AI136">
        <f t="shared" si="30"/>
        <v>36.666666666666664</v>
      </c>
      <c r="AJ136">
        <f t="shared" si="31"/>
        <v>23.333333333333332</v>
      </c>
      <c r="AK136">
        <f t="shared" si="32"/>
        <v>45</v>
      </c>
      <c r="AL136">
        <f t="shared" si="33"/>
        <v>61.666666666666664</v>
      </c>
      <c r="AM136">
        <f t="shared" si="34"/>
        <v>40.55555555555555</v>
      </c>
      <c r="AN136">
        <f t="shared" si="35"/>
        <v>40.55555555555555</v>
      </c>
    </row>
    <row r="137" spans="1:40" x14ac:dyDescent="0.3">
      <c r="A137" t="s">
        <v>410</v>
      </c>
      <c r="B137" t="s">
        <v>411</v>
      </c>
      <c r="C137">
        <v>39</v>
      </c>
      <c r="D137" t="s">
        <v>99</v>
      </c>
      <c r="E137">
        <v>76</v>
      </c>
      <c r="F137" t="s">
        <v>22</v>
      </c>
      <c r="G137">
        <v>35</v>
      </c>
      <c r="H137" t="s">
        <v>99</v>
      </c>
      <c r="I137">
        <f t="shared" si="24"/>
        <v>50</v>
      </c>
      <c r="K137">
        <f t="shared" si="25"/>
        <v>133.53086419753075</v>
      </c>
      <c r="L137">
        <f t="shared" si="26"/>
        <v>647.41975308642009</v>
      </c>
      <c r="M137">
        <f t="shared" si="27"/>
        <v>241.97530864197515</v>
      </c>
      <c r="N137">
        <v>25</v>
      </c>
      <c r="P137">
        <v>30</v>
      </c>
      <c r="Q137">
        <v>40</v>
      </c>
      <c r="R137">
        <v>10</v>
      </c>
      <c r="S137">
        <v>50</v>
      </c>
      <c r="T137">
        <v>80</v>
      </c>
      <c r="U137">
        <v>75</v>
      </c>
      <c r="V137">
        <v>80</v>
      </c>
      <c r="W137">
        <v>70</v>
      </c>
      <c r="X137">
        <v>60</v>
      </c>
      <c r="Y137">
        <v>85</v>
      </c>
      <c r="Z137">
        <v>90</v>
      </c>
      <c r="AA137">
        <v>35</v>
      </c>
      <c r="AB137">
        <v>40</v>
      </c>
      <c r="AC137">
        <v>60</v>
      </c>
      <c r="AD137">
        <v>20</v>
      </c>
      <c r="AE137">
        <v>50</v>
      </c>
      <c r="AF137">
        <v>10</v>
      </c>
      <c r="AG137">
        <f t="shared" si="28"/>
        <v>45</v>
      </c>
      <c r="AH137">
        <f t="shared" si="29"/>
        <v>50</v>
      </c>
      <c r="AI137">
        <f t="shared" si="30"/>
        <v>56.666666666666664</v>
      </c>
      <c r="AJ137">
        <f t="shared" si="31"/>
        <v>30</v>
      </c>
      <c r="AK137">
        <f t="shared" si="32"/>
        <v>61.666666666666664</v>
      </c>
      <c r="AL137">
        <f t="shared" si="33"/>
        <v>60</v>
      </c>
      <c r="AM137">
        <f t="shared" si="34"/>
        <v>54.444444444444436</v>
      </c>
      <c r="AN137">
        <f t="shared" si="35"/>
        <v>50.55555555555555</v>
      </c>
    </row>
    <row r="138" spans="1:40" x14ac:dyDescent="0.3">
      <c r="A138" t="s">
        <v>418</v>
      </c>
      <c r="B138" t="s">
        <v>419</v>
      </c>
      <c r="C138">
        <v>40</v>
      </c>
      <c r="D138" t="s">
        <v>71</v>
      </c>
      <c r="E138">
        <v>36</v>
      </c>
      <c r="F138" t="s">
        <v>99</v>
      </c>
      <c r="G138">
        <v>0</v>
      </c>
      <c r="H138" t="s">
        <v>403</v>
      </c>
      <c r="I138">
        <f t="shared" si="24"/>
        <v>25.333333333333332</v>
      </c>
      <c r="K138">
        <f t="shared" si="25"/>
        <v>40.817901234567863</v>
      </c>
      <c r="L138">
        <f t="shared" si="26"/>
        <v>107.92901234567894</v>
      </c>
      <c r="M138">
        <f t="shared" si="27"/>
        <v>2151.9290123456785</v>
      </c>
      <c r="N138">
        <v>35</v>
      </c>
      <c r="P138">
        <v>40</v>
      </c>
      <c r="Q138">
        <v>60</v>
      </c>
      <c r="R138">
        <v>20</v>
      </c>
      <c r="S138">
        <v>70</v>
      </c>
      <c r="T138">
        <v>15</v>
      </c>
      <c r="U138">
        <v>30</v>
      </c>
      <c r="V138">
        <v>45</v>
      </c>
      <c r="W138">
        <v>50</v>
      </c>
      <c r="X138">
        <v>20</v>
      </c>
      <c r="Y138">
        <v>60</v>
      </c>
      <c r="Z138">
        <v>15</v>
      </c>
      <c r="AA138">
        <v>75</v>
      </c>
      <c r="AB138">
        <v>75</v>
      </c>
      <c r="AC138">
        <v>75</v>
      </c>
      <c r="AD138">
        <v>0</v>
      </c>
      <c r="AE138">
        <v>75</v>
      </c>
      <c r="AF138">
        <v>75</v>
      </c>
      <c r="AG138">
        <f t="shared" si="28"/>
        <v>46.666666666666664</v>
      </c>
      <c r="AH138">
        <f t="shared" si="29"/>
        <v>53.333333333333336</v>
      </c>
      <c r="AI138">
        <f t="shared" si="30"/>
        <v>61.666666666666664</v>
      </c>
      <c r="AJ138">
        <f t="shared" si="31"/>
        <v>13.333333333333334</v>
      </c>
      <c r="AK138">
        <f t="shared" si="32"/>
        <v>68.333333333333329</v>
      </c>
      <c r="AL138">
        <f t="shared" si="33"/>
        <v>35</v>
      </c>
      <c r="AM138">
        <f t="shared" si="34"/>
        <v>58.888888888888886</v>
      </c>
      <c r="AN138">
        <f t="shared" si="35"/>
        <v>46.388888888888886</v>
      </c>
    </row>
    <row r="139" spans="1:40" x14ac:dyDescent="0.3">
      <c r="A139" t="s">
        <v>418</v>
      </c>
      <c r="B139" t="s">
        <v>419</v>
      </c>
      <c r="C139">
        <v>0</v>
      </c>
      <c r="D139" t="s">
        <v>403</v>
      </c>
      <c r="E139">
        <v>65</v>
      </c>
      <c r="F139" t="s">
        <v>28</v>
      </c>
      <c r="G139">
        <v>0</v>
      </c>
      <c r="H139" t="s">
        <v>403</v>
      </c>
      <c r="I139">
        <f t="shared" si="24"/>
        <v>21.666666666666668</v>
      </c>
      <c r="K139">
        <f t="shared" si="25"/>
        <v>1092.6697530864199</v>
      </c>
      <c r="L139">
        <f t="shared" si="26"/>
        <v>1020.4475308641975</v>
      </c>
      <c r="M139">
        <f t="shared" si="27"/>
        <v>1092.6697530864199</v>
      </c>
      <c r="N139">
        <v>0</v>
      </c>
      <c r="P139">
        <v>20</v>
      </c>
      <c r="Q139">
        <v>35</v>
      </c>
      <c r="R139">
        <v>0</v>
      </c>
      <c r="S139">
        <v>0</v>
      </c>
      <c r="T139">
        <v>95</v>
      </c>
      <c r="U139">
        <v>75</v>
      </c>
      <c r="V139">
        <v>75</v>
      </c>
      <c r="W139">
        <v>75</v>
      </c>
      <c r="X139">
        <v>20</v>
      </c>
      <c r="Y139">
        <v>75</v>
      </c>
      <c r="Z139">
        <v>75</v>
      </c>
      <c r="AA139">
        <v>0</v>
      </c>
      <c r="AB139">
        <v>30</v>
      </c>
      <c r="AC139">
        <v>20</v>
      </c>
      <c r="AD139">
        <v>0</v>
      </c>
      <c r="AE139">
        <v>0</v>
      </c>
      <c r="AF139">
        <v>0</v>
      </c>
      <c r="AG139">
        <f t="shared" si="28"/>
        <v>25</v>
      </c>
      <c r="AH139">
        <f t="shared" si="29"/>
        <v>41.666666666666664</v>
      </c>
      <c r="AI139">
        <f t="shared" si="30"/>
        <v>43.333333333333336</v>
      </c>
      <c r="AJ139">
        <f t="shared" si="31"/>
        <v>6.666666666666667</v>
      </c>
      <c r="AK139">
        <f t="shared" si="32"/>
        <v>25</v>
      </c>
      <c r="AL139">
        <f t="shared" si="33"/>
        <v>56.666666666666664</v>
      </c>
      <c r="AM139">
        <f t="shared" si="34"/>
        <v>31.111111111111114</v>
      </c>
      <c r="AN139">
        <f t="shared" si="35"/>
        <v>33.055555555555557</v>
      </c>
    </row>
    <row r="140" spans="1:40" x14ac:dyDescent="0.3">
      <c r="A140" t="s">
        <v>418</v>
      </c>
      <c r="B140" t="s">
        <v>419</v>
      </c>
      <c r="C140">
        <v>35</v>
      </c>
      <c r="D140" t="s">
        <v>99</v>
      </c>
      <c r="E140">
        <v>0</v>
      </c>
      <c r="F140" t="s">
        <v>403</v>
      </c>
      <c r="G140">
        <v>65</v>
      </c>
      <c r="H140" t="s">
        <v>28</v>
      </c>
      <c r="I140">
        <f t="shared" si="24"/>
        <v>33.333333333333336</v>
      </c>
      <c r="K140">
        <f t="shared" si="25"/>
        <v>19.753086419753135</v>
      </c>
      <c r="L140">
        <f t="shared" si="26"/>
        <v>1555.8641975308647</v>
      </c>
      <c r="M140">
        <f t="shared" si="27"/>
        <v>653.08641975308615</v>
      </c>
      <c r="N140">
        <v>30</v>
      </c>
      <c r="P140">
        <v>45</v>
      </c>
      <c r="Q140">
        <v>60</v>
      </c>
      <c r="R140">
        <v>20</v>
      </c>
      <c r="S140">
        <v>50</v>
      </c>
      <c r="T140">
        <v>10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100</v>
      </c>
      <c r="AA140">
        <v>50</v>
      </c>
      <c r="AB140">
        <v>60</v>
      </c>
      <c r="AC140">
        <v>70</v>
      </c>
      <c r="AD140">
        <v>65</v>
      </c>
      <c r="AE140">
        <v>70</v>
      </c>
      <c r="AF140">
        <v>80</v>
      </c>
      <c r="AG140">
        <f t="shared" si="28"/>
        <v>26.666666666666668</v>
      </c>
      <c r="AH140">
        <f t="shared" si="29"/>
        <v>35</v>
      </c>
      <c r="AI140">
        <f t="shared" si="30"/>
        <v>43.333333333333336</v>
      </c>
      <c r="AJ140">
        <f t="shared" si="31"/>
        <v>28.333333333333332</v>
      </c>
      <c r="AK140">
        <f t="shared" si="32"/>
        <v>40</v>
      </c>
      <c r="AL140">
        <f t="shared" si="33"/>
        <v>63.333333333333336</v>
      </c>
      <c r="AM140">
        <f t="shared" si="34"/>
        <v>36.666666666666664</v>
      </c>
      <c r="AN140">
        <f t="shared" si="35"/>
        <v>39.44444444444445</v>
      </c>
    </row>
    <row r="141" spans="1:40" x14ac:dyDescent="0.3">
      <c r="A141" t="s">
        <v>418</v>
      </c>
      <c r="B141" t="s">
        <v>419</v>
      </c>
      <c r="C141">
        <v>0</v>
      </c>
      <c r="D141" t="s">
        <v>403</v>
      </c>
      <c r="E141">
        <v>33</v>
      </c>
      <c r="F141" t="s">
        <v>99</v>
      </c>
      <c r="G141">
        <v>37</v>
      </c>
      <c r="H141" t="s">
        <v>99</v>
      </c>
      <c r="I141">
        <f t="shared" si="24"/>
        <v>23.333333333333332</v>
      </c>
      <c r="K141">
        <f t="shared" si="25"/>
        <v>850.69444444444446</v>
      </c>
      <c r="L141">
        <f t="shared" si="26"/>
        <v>14.694444444444436</v>
      </c>
      <c r="M141">
        <f t="shared" si="27"/>
        <v>61.361111111111093</v>
      </c>
      <c r="N141">
        <v>0</v>
      </c>
      <c r="P141">
        <v>20</v>
      </c>
      <c r="Q141">
        <v>30</v>
      </c>
      <c r="R141">
        <v>0</v>
      </c>
      <c r="S141">
        <v>50</v>
      </c>
      <c r="T141">
        <v>0</v>
      </c>
      <c r="U141">
        <v>20</v>
      </c>
      <c r="V141">
        <v>30</v>
      </c>
      <c r="W141">
        <v>40</v>
      </c>
      <c r="X141">
        <v>5</v>
      </c>
      <c r="Y141">
        <v>10</v>
      </c>
      <c r="Z141">
        <v>95</v>
      </c>
      <c r="AA141">
        <v>20</v>
      </c>
      <c r="AB141">
        <v>35</v>
      </c>
      <c r="AC141">
        <v>40</v>
      </c>
      <c r="AD141">
        <v>10</v>
      </c>
      <c r="AE141">
        <v>50</v>
      </c>
      <c r="AF141">
        <v>70</v>
      </c>
      <c r="AG141">
        <f t="shared" si="28"/>
        <v>13.333333333333334</v>
      </c>
      <c r="AH141">
        <f t="shared" si="29"/>
        <v>28.333333333333332</v>
      </c>
      <c r="AI141">
        <f t="shared" si="30"/>
        <v>36.666666666666664</v>
      </c>
      <c r="AJ141">
        <f t="shared" si="31"/>
        <v>5</v>
      </c>
      <c r="AK141">
        <f t="shared" si="32"/>
        <v>36.666666666666664</v>
      </c>
      <c r="AL141">
        <f t="shared" si="33"/>
        <v>55</v>
      </c>
      <c r="AM141">
        <f t="shared" si="34"/>
        <v>28.888888888888886</v>
      </c>
      <c r="AN141">
        <f t="shared" si="35"/>
        <v>29.166666666666668</v>
      </c>
    </row>
    <row r="142" spans="1:40" x14ac:dyDescent="0.3">
      <c r="A142" t="s">
        <v>424</v>
      </c>
      <c r="B142" t="s">
        <v>425</v>
      </c>
      <c r="C142">
        <v>36</v>
      </c>
      <c r="D142" t="s">
        <v>99</v>
      </c>
      <c r="E142">
        <v>30</v>
      </c>
      <c r="F142" t="s">
        <v>99</v>
      </c>
      <c r="G142">
        <v>73</v>
      </c>
      <c r="H142" t="s">
        <v>28</v>
      </c>
      <c r="I142">
        <f t="shared" si="24"/>
        <v>46.333333333333336</v>
      </c>
      <c r="K142">
        <f t="shared" si="25"/>
        <v>119.78086419753099</v>
      </c>
      <c r="L142">
        <f t="shared" si="26"/>
        <v>287.11419753086437</v>
      </c>
      <c r="M142">
        <f t="shared" si="27"/>
        <v>678.89197530864169</v>
      </c>
      <c r="N142">
        <v>20</v>
      </c>
      <c r="P142">
        <v>30</v>
      </c>
      <c r="Q142">
        <v>40</v>
      </c>
      <c r="R142">
        <v>10</v>
      </c>
      <c r="S142">
        <v>50</v>
      </c>
      <c r="T142">
        <v>70</v>
      </c>
      <c r="U142">
        <v>20</v>
      </c>
      <c r="V142">
        <v>35</v>
      </c>
      <c r="W142">
        <v>40</v>
      </c>
      <c r="X142">
        <v>15</v>
      </c>
      <c r="Y142">
        <v>70</v>
      </c>
      <c r="Z142">
        <v>5</v>
      </c>
      <c r="AA142">
        <v>85</v>
      </c>
      <c r="AB142">
        <v>75</v>
      </c>
      <c r="AC142">
        <v>60</v>
      </c>
      <c r="AD142">
        <v>50</v>
      </c>
      <c r="AE142">
        <v>90</v>
      </c>
      <c r="AF142">
        <v>80</v>
      </c>
      <c r="AG142">
        <f t="shared" si="28"/>
        <v>41.666666666666664</v>
      </c>
      <c r="AH142">
        <f t="shared" si="29"/>
        <v>46.666666666666664</v>
      </c>
      <c r="AI142">
        <f t="shared" si="30"/>
        <v>46.666666666666664</v>
      </c>
      <c r="AJ142">
        <f t="shared" si="31"/>
        <v>25</v>
      </c>
      <c r="AK142">
        <f t="shared" si="32"/>
        <v>70</v>
      </c>
      <c r="AL142">
        <f t="shared" si="33"/>
        <v>51.666666666666664</v>
      </c>
      <c r="AM142">
        <f t="shared" si="34"/>
        <v>52.777777777777771</v>
      </c>
      <c r="AN142">
        <f t="shared" si="35"/>
        <v>46.94444444444445</v>
      </c>
    </row>
    <row r="143" spans="1:40" x14ac:dyDescent="0.3">
      <c r="A143" t="s">
        <v>424</v>
      </c>
      <c r="B143" t="s">
        <v>425</v>
      </c>
      <c r="C143">
        <v>73</v>
      </c>
      <c r="D143" t="s">
        <v>28</v>
      </c>
      <c r="E143">
        <v>36</v>
      </c>
      <c r="F143" t="s">
        <v>99</v>
      </c>
      <c r="G143">
        <v>76</v>
      </c>
      <c r="H143" t="s">
        <v>22</v>
      </c>
      <c r="I143">
        <f t="shared" si="24"/>
        <v>61.666666666666664</v>
      </c>
      <c r="K143">
        <f t="shared" si="25"/>
        <v>116.16049382716051</v>
      </c>
      <c r="L143">
        <f t="shared" si="26"/>
        <v>687.60493827160485</v>
      </c>
      <c r="M143">
        <f t="shared" si="27"/>
        <v>189.82716049382719</v>
      </c>
      <c r="N143">
        <v>85</v>
      </c>
      <c r="P143">
        <v>75</v>
      </c>
      <c r="Q143">
        <v>60</v>
      </c>
      <c r="R143">
        <v>60</v>
      </c>
      <c r="S143">
        <v>90</v>
      </c>
      <c r="T143">
        <v>70</v>
      </c>
      <c r="U143">
        <v>35</v>
      </c>
      <c r="V143">
        <v>40</v>
      </c>
      <c r="W143">
        <v>60</v>
      </c>
      <c r="X143">
        <v>20</v>
      </c>
      <c r="Y143">
        <v>50</v>
      </c>
      <c r="Z143">
        <v>15</v>
      </c>
      <c r="AA143">
        <v>85</v>
      </c>
      <c r="AB143">
        <v>75</v>
      </c>
      <c r="AC143">
        <v>80</v>
      </c>
      <c r="AD143">
        <v>60</v>
      </c>
      <c r="AE143">
        <v>90</v>
      </c>
      <c r="AF143">
        <v>70</v>
      </c>
      <c r="AG143">
        <f t="shared" si="28"/>
        <v>68.333333333333329</v>
      </c>
      <c r="AH143">
        <f t="shared" si="29"/>
        <v>63.333333333333336</v>
      </c>
      <c r="AI143">
        <f t="shared" si="30"/>
        <v>66.666666666666671</v>
      </c>
      <c r="AJ143">
        <f t="shared" si="31"/>
        <v>46.666666666666664</v>
      </c>
      <c r="AK143">
        <f t="shared" si="32"/>
        <v>76.666666666666671</v>
      </c>
      <c r="AL143">
        <f t="shared" si="33"/>
        <v>51.666666666666664</v>
      </c>
      <c r="AM143">
        <f t="shared" si="34"/>
        <v>70.555555555555557</v>
      </c>
      <c r="AN143">
        <f t="shared" si="35"/>
        <v>62.222222222222221</v>
      </c>
    </row>
    <row r="144" spans="1:40" x14ac:dyDescent="0.3">
      <c r="A144" t="s">
        <v>424</v>
      </c>
      <c r="B144" t="s">
        <v>425</v>
      </c>
      <c r="C144">
        <v>75</v>
      </c>
      <c r="D144" t="s">
        <v>22</v>
      </c>
      <c r="E144">
        <v>73</v>
      </c>
      <c r="F144" t="s">
        <v>28</v>
      </c>
      <c r="G144">
        <v>75</v>
      </c>
      <c r="H144" t="s">
        <v>22</v>
      </c>
      <c r="I144">
        <f t="shared" si="24"/>
        <v>74.333333333333329</v>
      </c>
      <c r="K144">
        <f t="shared" si="25"/>
        <v>0.30864197530864373</v>
      </c>
      <c r="L144">
        <f t="shared" si="26"/>
        <v>2.0864197530864153</v>
      </c>
      <c r="M144">
        <f t="shared" si="27"/>
        <v>0.30864197530864373</v>
      </c>
      <c r="N144">
        <v>75</v>
      </c>
      <c r="P144">
        <v>80</v>
      </c>
      <c r="Q144">
        <v>60</v>
      </c>
      <c r="R144">
        <v>90</v>
      </c>
      <c r="S144">
        <v>60</v>
      </c>
      <c r="T144">
        <v>85</v>
      </c>
      <c r="U144">
        <v>85</v>
      </c>
      <c r="V144">
        <v>90</v>
      </c>
      <c r="W144">
        <v>75</v>
      </c>
      <c r="X144">
        <v>60</v>
      </c>
      <c r="Y144">
        <v>70</v>
      </c>
      <c r="Z144">
        <v>60</v>
      </c>
      <c r="AA144">
        <v>75</v>
      </c>
      <c r="AB144">
        <v>75</v>
      </c>
      <c r="AC144">
        <v>75</v>
      </c>
      <c r="AD144">
        <v>75</v>
      </c>
      <c r="AE144">
        <v>75</v>
      </c>
      <c r="AF144">
        <v>75</v>
      </c>
      <c r="AG144">
        <f t="shared" si="28"/>
        <v>78.333333333333329</v>
      </c>
      <c r="AH144">
        <f t="shared" si="29"/>
        <v>81.666666666666671</v>
      </c>
      <c r="AI144">
        <f t="shared" si="30"/>
        <v>70</v>
      </c>
      <c r="AJ144">
        <f t="shared" si="31"/>
        <v>75</v>
      </c>
      <c r="AK144">
        <f t="shared" si="32"/>
        <v>68.333333333333329</v>
      </c>
      <c r="AL144">
        <f t="shared" si="33"/>
        <v>73.333333333333329</v>
      </c>
      <c r="AM144">
        <f t="shared" si="34"/>
        <v>72.222222222222214</v>
      </c>
      <c r="AN144">
        <f t="shared" si="35"/>
        <v>74.444444444444443</v>
      </c>
    </row>
    <row r="145" spans="1:40" x14ac:dyDescent="0.3">
      <c r="A145" t="s">
        <v>424</v>
      </c>
      <c r="B145" t="s">
        <v>425</v>
      </c>
      <c r="C145">
        <v>75</v>
      </c>
      <c r="D145" t="s">
        <v>22</v>
      </c>
      <c r="E145">
        <v>35</v>
      </c>
      <c r="F145" t="s">
        <v>99</v>
      </c>
      <c r="G145">
        <v>0</v>
      </c>
      <c r="H145" t="s">
        <v>403</v>
      </c>
      <c r="I145">
        <f t="shared" si="24"/>
        <v>36.666666666666664</v>
      </c>
      <c r="K145">
        <f t="shared" si="25"/>
        <v>950.69444444444457</v>
      </c>
      <c r="L145">
        <f t="shared" si="26"/>
        <v>84.027777777777729</v>
      </c>
      <c r="M145">
        <f t="shared" si="27"/>
        <v>1950.6944444444443</v>
      </c>
      <c r="N145">
        <v>75</v>
      </c>
      <c r="P145">
        <v>75</v>
      </c>
      <c r="Q145">
        <v>75</v>
      </c>
      <c r="R145">
        <v>75</v>
      </c>
      <c r="S145">
        <v>75</v>
      </c>
      <c r="T145">
        <v>75</v>
      </c>
      <c r="U145">
        <v>30</v>
      </c>
      <c r="V145">
        <v>40</v>
      </c>
      <c r="W145">
        <v>60</v>
      </c>
      <c r="X145">
        <v>20</v>
      </c>
      <c r="Y145">
        <v>50</v>
      </c>
      <c r="Z145">
        <v>10</v>
      </c>
      <c r="AA145">
        <v>0</v>
      </c>
      <c r="AB145">
        <v>30</v>
      </c>
      <c r="AC145">
        <v>20</v>
      </c>
      <c r="AD145">
        <v>0</v>
      </c>
      <c r="AE145">
        <v>5</v>
      </c>
      <c r="AF145">
        <v>80</v>
      </c>
      <c r="AG145">
        <f t="shared" si="28"/>
        <v>35</v>
      </c>
      <c r="AH145">
        <f t="shared" si="29"/>
        <v>48.333333333333336</v>
      </c>
      <c r="AI145">
        <f t="shared" si="30"/>
        <v>51.666666666666664</v>
      </c>
      <c r="AJ145">
        <f t="shared" si="31"/>
        <v>31.666666666666668</v>
      </c>
      <c r="AK145">
        <f t="shared" si="32"/>
        <v>43.333333333333336</v>
      </c>
      <c r="AL145">
        <f t="shared" si="33"/>
        <v>55</v>
      </c>
      <c r="AM145">
        <f t="shared" si="34"/>
        <v>43.333333333333336</v>
      </c>
      <c r="AN145">
        <f t="shared" si="35"/>
        <v>44.166666666666664</v>
      </c>
    </row>
    <row r="146" spans="1:40" x14ac:dyDescent="0.3">
      <c r="A146" t="s">
        <v>432</v>
      </c>
      <c r="B146" t="s">
        <v>433</v>
      </c>
      <c r="C146">
        <v>38</v>
      </c>
      <c r="D146" t="s">
        <v>99</v>
      </c>
      <c r="E146">
        <v>75</v>
      </c>
      <c r="F146" t="s">
        <v>22</v>
      </c>
      <c r="G146">
        <v>0</v>
      </c>
      <c r="H146" t="s">
        <v>403</v>
      </c>
      <c r="I146">
        <f t="shared" si="24"/>
        <v>37.666666666666664</v>
      </c>
      <c r="K146">
        <f t="shared" si="25"/>
        <v>80.003086419753188</v>
      </c>
      <c r="L146">
        <f t="shared" si="26"/>
        <v>787.11419753086386</v>
      </c>
      <c r="M146">
        <f t="shared" si="27"/>
        <v>2203.7808641975312</v>
      </c>
      <c r="N146">
        <v>35</v>
      </c>
      <c r="P146">
        <v>60</v>
      </c>
      <c r="Q146">
        <v>70</v>
      </c>
      <c r="R146">
        <v>20</v>
      </c>
      <c r="S146">
        <v>40</v>
      </c>
      <c r="T146">
        <v>5</v>
      </c>
      <c r="U146">
        <v>75</v>
      </c>
      <c r="V146">
        <v>75</v>
      </c>
      <c r="W146">
        <v>75</v>
      </c>
      <c r="X146">
        <v>75</v>
      </c>
      <c r="Y146">
        <v>75</v>
      </c>
      <c r="Z146">
        <v>75</v>
      </c>
      <c r="AA146">
        <v>20</v>
      </c>
      <c r="AB146">
        <v>35</v>
      </c>
      <c r="AC146">
        <v>40</v>
      </c>
      <c r="AD146">
        <v>10</v>
      </c>
      <c r="AE146">
        <v>60</v>
      </c>
      <c r="AF146">
        <v>0</v>
      </c>
      <c r="AG146">
        <f t="shared" si="28"/>
        <v>43.333333333333336</v>
      </c>
      <c r="AH146">
        <f t="shared" si="29"/>
        <v>56.666666666666664</v>
      </c>
      <c r="AI146">
        <f t="shared" si="30"/>
        <v>61.666666666666664</v>
      </c>
      <c r="AJ146">
        <f t="shared" si="31"/>
        <v>35</v>
      </c>
      <c r="AK146">
        <f t="shared" si="32"/>
        <v>58.333333333333336</v>
      </c>
      <c r="AL146">
        <f t="shared" si="33"/>
        <v>26.666666666666668</v>
      </c>
      <c r="AM146">
        <f t="shared" si="34"/>
        <v>54.44444444444445</v>
      </c>
      <c r="AN146">
        <f t="shared" si="35"/>
        <v>46.94444444444445</v>
      </c>
    </row>
    <row r="147" spans="1:40" x14ac:dyDescent="0.3">
      <c r="A147" t="s">
        <v>432</v>
      </c>
      <c r="B147" t="s">
        <v>433</v>
      </c>
      <c r="C147">
        <v>67</v>
      </c>
      <c r="D147" t="s">
        <v>28</v>
      </c>
      <c r="E147">
        <v>76</v>
      </c>
      <c r="F147" t="s">
        <v>22</v>
      </c>
      <c r="G147">
        <v>78</v>
      </c>
      <c r="H147" t="s">
        <v>22</v>
      </c>
      <c r="I147">
        <f t="shared" si="24"/>
        <v>73.666666666666671</v>
      </c>
      <c r="K147">
        <f t="shared" si="25"/>
        <v>51.361111111111178</v>
      </c>
      <c r="L147">
        <f t="shared" si="26"/>
        <v>3.3611111111110938</v>
      </c>
      <c r="M147">
        <f t="shared" si="27"/>
        <v>14.694444444444407</v>
      </c>
      <c r="N147">
        <v>70</v>
      </c>
      <c r="P147">
        <v>65</v>
      </c>
      <c r="Q147">
        <v>70</v>
      </c>
      <c r="R147">
        <v>30</v>
      </c>
      <c r="S147">
        <v>80</v>
      </c>
      <c r="T147">
        <v>90</v>
      </c>
      <c r="U147">
        <v>75</v>
      </c>
      <c r="V147">
        <v>85</v>
      </c>
      <c r="W147">
        <v>80</v>
      </c>
      <c r="X147">
        <v>60</v>
      </c>
      <c r="Y147">
        <v>70</v>
      </c>
      <c r="Z147">
        <v>90</v>
      </c>
      <c r="AA147">
        <v>85</v>
      </c>
      <c r="AB147">
        <v>90</v>
      </c>
      <c r="AC147">
        <v>80</v>
      </c>
      <c r="AD147">
        <v>65</v>
      </c>
      <c r="AE147">
        <v>70</v>
      </c>
      <c r="AF147">
        <v>80</v>
      </c>
      <c r="AG147">
        <f t="shared" si="28"/>
        <v>76.666666666666671</v>
      </c>
      <c r="AH147">
        <f t="shared" si="29"/>
        <v>80</v>
      </c>
      <c r="AI147">
        <f t="shared" si="30"/>
        <v>76.666666666666671</v>
      </c>
      <c r="AJ147">
        <f t="shared" si="31"/>
        <v>51.666666666666664</v>
      </c>
      <c r="AK147">
        <f t="shared" si="32"/>
        <v>73.333333333333329</v>
      </c>
      <c r="AL147">
        <f t="shared" si="33"/>
        <v>86.666666666666671</v>
      </c>
      <c r="AM147">
        <f t="shared" si="34"/>
        <v>75.555555555555557</v>
      </c>
      <c r="AN147">
        <f t="shared" si="35"/>
        <v>74.166666666666671</v>
      </c>
    </row>
    <row r="148" spans="1:40" x14ac:dyDescent="0.3">
      <c r="A148" t="s">
        <v>432</v>
      </c>
      <c r="B148" t="s">
        <v>433</v>
      </c>
      <c r="C148">
        <v>67</v>
      </c>
      <c r="D148" t="s">
        <v>28</v>
      </c>
      <c r="E148">
        <v>58</v>
      </c>
      <c r="F148" t="s">
        <v>71</v>
      </c>
      <c r="G148">
        <v>50</v>
      </c>
      <c r="H148" t="s">
        <v>71</v>
      </c>
      <c r="I148">
        <f t="shared" si="24"/>
        <v>58.333333333333336</v>
      </c>
      <c r="K148">
        <f t="shared" si="25"/>
        <v>65.79012345679017</v>
      </c>
      <c r="L148">
        <f t="shared" si="26"/>
        <v>0.79012345679011786</v>
      </c>
      <c r="M148">
        <f t="shared" si="27"/>
        <v>79.012345679012284</v>
      </c>
      <c r="N148">
        <v>65</v>
      </c>
      <c r="P148">
        <v>70</v>
      </c>
      <c r="Q148">
        <v>80</v>
      </c>
      <c r="R148">
        <v>40</v>
      </c>
      <c r="S148">
        <v>70</v>
      </c>
      <c r="T148">
        <v>80</v>
      </c>
      <c r="U148">
        <v>70</v>
      </c>
      <c r="V148">
        <v>85</v>
      </c>
      <c r="W148">
        <v>70</v>
      </c>
      <c r="X148">
        <v>35</v>
      </c>
      <c r="Y148">
        <v>40</v>
      </c>
      <c r="Z148">
        <v>50</v>
      </c>
      <c r="AA148">
        <v>70</v>
      </c>
      <c r="AB148">
        <v>60</v>
      </c>
      <c r="AC148">
        <v>75</v>
      </c>
      <c r="AD148">
        <v>30</v>
      </c>
      <c r="AE148">
        <v>40</v>
      </c>
      <c r="AF148">
        <v>30</v>
      </c>
      <c r="AG148">
        <f t="shared" si="28"/>
        <v>68.333333333333329</v>
      </c>
      <c r="AH148">
        <f t="shared" si="29"/>
        <v>71.666666666666671</v>
      </c>
      <c r="AI148">
        <f t="shared" si="30"/>
        <v>75</v>
      </c>
      <c r="AJ148">
        <f t="shared" si="31"/>
        <v>35</v>
      </c>
      <c r="AK148">
        <f t="shared" si="32"/>
        <v>50</v>
      </c>
      <c r="AL148">
        <f t="shared" si="33"/>
        <v>53.333333333333336</v>
      </c>
      <c r="AM148">
        <f t="shared" si="34"/>
        <v>64.444444444444443</v>
      </c>
      <c r="AN148">
        <f t="shared" si="35"/>
        <v>58.888888888888886</v>
      </c>
    </row>
    <row r="149" spans="1:40" x14ac:dyDescent="0.3">
      <c r="A149" t="s">
        <v>432</v>
      </c>
      <c r="B149" t="s">
        <v>433</v>
      </c>
      <c r="C149">
        <v>65</v>
      </c>
      <c r="D149" t="s">
        <v>28</v>
      </c>
      <c r="E149">
        <v>76</v>
      </c>
      <c r="F149" t="s">
        <v>22</v>
      </c>
      <c r="G149">
        <v>65</v>
      </c>
      <c r="H149" t="s">
        <v>28</v>
      </c>
      <c r="I149">
        <f t="shared" si="24"/>
        <v>68.666666666666671</v>
      </c>
      <c r="K149">
        <f t="shared" si="25"/>
        <v>15.123456790123432</v>
      </c>
      <c r="L149">
        <f t="shared" si="26"/>
        <v>50.567901234567948</v>
      </c>
      <c r="M149">
        <f t="shared" si="27"/>
        <v>15.123456790123432</v>
      </c>
      <c r="N149">
        <v>70</v>
      </c>
      <c r="P149">
        <v>80</v>
      </c>
      <c r="Q149">
        <v>65</v>
      </c>
      <c r="R149">
        <v>30</v>
      </c>
      <c r="S149">
        <v>60</v>
      </c>
      <c r="T149">
        <v>85</v>
      </c>
      <c r="U149">
        <v>85</v>
      </c>
      <c r="V149">
        <v>70</v>
      </c>
      <c r="W149">
        <v>60</v>
      </c>
      <c r="X149">
        <v>90</v>
      </c>
      <c r="Y149">
        <v>75</v>
      </c>
      <c r="Z149">
        <v>80</v>
      </c>
      <c r="AA149">
        <v>75</v>
      </c>
      <c r="AB149">
        <v>80</v>
      </c>
      <c r="AC149">
        <v>60</v>
      </c>
      <c r="AD149">
        <v>40</v>
      </c>
      <c r="AE149">
        <v>65</v>
      </c>
      <c r="AF149">
        <v>70</v>
      </c>
      <c r="AG149">
        <f t="shared" si="28"/>
        <v>76.666666666666671</v>
      </c>
      <c r="AH149">
        <f t="shared" si="29"/>
        <v>76.666666666666671</v>
      </c>
      <c r="AI149">
        <f t="shared" si="30"/>
        <v>61.666666666666664</v>
      </c>
      <c r="AJ149">
        <f t="shared" si="31"/>
        <v>53.333333333333336</v>
      </c>
      <c r="AK149">
        <f t="shared" si="32"/>
        <v>66.666666666666671</v>
      </c>
      <c r="AL149">
        <f t="shared" si="33"/>
        <v>78.333333333333329</v>
      </c>
      <c r="AM149">
        <f t="shared" si="34"/>
        <v>68.333333333333329</v>
      </c>
      <c r="AN149">
        <f t="shared" si="35"/>
        <v>68.888888888888886</v>
      </c>
    </row>
    <row r="150" spans="1:40" x14ac:dyDescent="0.3">
      <c r="A150" t="s">
        <v>442</v>
      </c>
      <c r="B150" t="s">
        <v>443</v>
      </c>
      <c r="C150">
        <v>36</v>
      </c>
      <c r="D150" t="s">
        <v>99</v>
      </c>
      <c r="E150">
        <v>75</v>
      </c>
      <c r="F150" t="s">
        <v>22</v>
      </c>
      <c r="G150">
        <v>65</v>
      </c>
      <c r="H150" t="s">
        <v>28</v>
      </c>
      <c r="I150">
        <f t="shared" si="24"/>
        <v>58.666666666666664</v>
      </c>
      <c r="K150">
        <f t="shared" si="25"/>
        <v>523.90123456790104</v>
      </c>
      <c r="L150">
        <f t="shared" si="26"/>
        <v>259.56790123456801</v>
      </c>
      <c r="M150">
        <f t="shared" si="27"/>
        <v>37.34567901234572</v>
      </c>
      <c r="N150">
        <v>30</v>
      </c>
      <c r="P150">
        <v>50</v>
      </c>
      <c r="Q150">
        <v>40</v>
      </c>
      <c r="R150">
        <v>20</v>
      </c>
      <c r="S150">
        <v>70</v>
      </c>
      <c r="T150">
        <v>10</v>
      </c>
      <c r="U150">
        <v>75</v>
      </c>
      <c r="V150">
        <v>75</v>
      </c>
      <c r="W150">
        <v>75</v>
      </c>
      <c r="X150">
        <v>75</v>
      </c>
      <c r="Y150">
        <v>75</v>
      </c>
      <c r="Z150">
        <v>75</v>
      </c>
      <c r="AA150">
        <v>75</v>
      </c>
      <c r="AB150">
        <v>75</v>
      </c>
      <c r="AC150">
        <v>75</v>
      </c>
      <c r="AD150">
        <v>15</v>
      </c>
      <c r="AE150">
        <v>75</v>
      </c>
      <c r="AF150">
        <v>75</v>
      </c>
      <c r="AG150">
        <f t="shared" si="28"/>
        <v>60</v>
      </c>
      <c r="AH150">
        <f t="shared" si="29"/>
        <v>66.666666666666671</v>
      </c>
      <c r="AI150">
        <f t="shared" si="30"/>
        <v>63.333333333333336</v>
      </c>
      <c r="AJ150">
        <f t="shared" si="31"/>
        <v>36.666666666666664</v>
      </c>
      <c r="AK150">
        <f t="shared" si="32"/>
        <v>73.333333333333329</v>
      </c>
      <c r="AL150">
        <f t="shared" si="33"/>
        <v>53.333333333333336</v>
      </c>
      <c r="AM150">
        <f t="shared" si="34"/>
        <v>65.555555555555557</v>
      </c>
      <c r="AN150">
        <f t="shared" si="35"/>
        <v>58.888888888888886</v>
      </c>
    </row>
    <row r="151" spans="1:40" x14ac:dyDescent="0.3">
      <c r="A151" t="s">
        <v>442</v>
      </c>
      <c r="B151" t="s">
        <v>443</v>
      </c>
      <c r="C151">
        <v>0</v>
      </c>
      <c r="D151" t="s">
        <v>403</v>
      </c>
      <c r="E151">
        <v>0</v>
      </c>
      <c r="F151" t="s">
        <v>403</v>
      </c>
      <c r="G151">
        <v>29</v>
      </c>
      <c r="H151" t="s">
        <v>99</v>
      </c>
      <c r="I151">
        <f t="shared" si="24"/>
        <v>9.6666666666666661</v>
      </c>
      <c r="K151">
        <f t="shared" si="25"/>
        <v>117.36111111111113</v>
      </c>
      <c r="L151">
        <f t="shared" si="26"/>
        <v>117.36111111111113</v>
      </c>
      <c r="M151">
        <f t="shared" si="27"/>
        <v>330.02777777777771</v>
      </c>
      <c r="N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20</v>
      </c>
      <c r="X151">
        <v>0</v>
      </c>
      <c r="Y151">
        <v>0</v>
      </c>
      <c r="Z151">
        <v>0</v>
      </c>
      <c r="AA151">
        <v>20</v>
      </c>
      <c r="AB151">
        <v>30</v>
      </c>
      <c r="AC151">
        <v>45</v>
      </c>
      <c r="AD151">
        <v>15</v>
      </c>
      <c r="AE151">
        <v>60</v>
      </c>
      <c r="AF151">
        <v>5</v>
      </c>
      <c r="AG151">
        <f t="shared" si="28"/>
        <v>6.666666666666667</v>
      </c>
      <c r="AH151">
        <f t="shared" si="29"/>
        <v>10</v>
      </c>
      <c r="AI151">
        <f t="shared" si="30"/>
        <v>21.666666666666668</v>
      </c>
      <c r="AJ151">
        <f t="shared" si="31"/>
        <v>5</v>
      </c>
      <c r="AK151">
        <f t="shared" si="32"/>
        <v>20</v>
      </c>
      <c r="AL151">
        <f t="shared" si="33"/>
        <v>1.6666666666666667</v>
      </c>
      <c r="AM151">
        <f t="shared" si="34"/>
        <v>16.111111111111111</v>
      </c>
      <c r="AN151">
        <f t="shared" si="35"/>
        <v>10.833333333333334</v>
      </c>
    </row>
    <row r="152" spans="1:40" x14ac:dyDescent="0.3">
      <c r="A152" t="s">
        <v>442</v>
      </c>
      <c r="B152" t="s">
        <v>443</v>
      </c>
      <c r="C152">
        <v>55</v>
      </c>
      <c r="D152" t="s">
        <v>71</v>
      </c>
      <c r="E152">
        <v>60</v>
      </c>
      <c r="F152" t="s">
        <v>28</v>
      </c>
      <c r="G152">
        <v>71</v>
      </c>
      <c r="H152" t="s">
        <v>28</v>
      </c>
      <c r="I152">
        <f t="shared" si="24"/>
        <v>62</v>
      </c>
      <c r="K152">
        <f t="shared" si="25"/>
        <v>56.25</v>
      </c>
      <c r="L152">
        <f t="shared" si="26"/>
        <v>6.25</v>
      </c>
      <c r="M152">
        <f t="shared" si="27"/>
        <v>72.25</v>
      </c>
      <c r="N152">
        <v>50</v>
      </c>
      <c r="P152">
        <v>60</v>
      </c>
      <c r="Q152">
        <v>70</v>
      </c>
      <c r="R152">
        <v>30</v>
      </c>
      <c r="S152">
        <v>80</v>
      </c>
      <c r="T152">
        <v>40</v>
      </c>
      <c r="U152">
        <v>65</v>
      </c>
      <c r="V152">
        <v>80</v>
      </c>
      <c r="W152">
        <v>70</v>
      </c>
      <c r="X152">
        <v>40</v>
      </c>
      <c r="Y152">
        <v>50</v>
      </c>
      <c r="Z152">
        <v>60</v>
      </c>
      <c r="AA152">
        <v>65</v>
      </c>
      <c r="AB152">
        <v>80</v>
      </c>
      <c r="AC152">
        <v>75</v>
      </c>
      <c r="AD152">
        <v>60</v>
      </c>
      <c r="AE152">
        <v>70</v>
      </c>
      <c r="AF152">
        <v>80</v>
      </c>
      <c r="AG152">
        <f t="shared" si="28"/>
        <v>60</v>
      </c>
      <c r="AH152">
        <f t="shared" si="29"/>
        <v>73.333333333333329</v>
      </c>
      <c r="AI152">
        <f t="shared" si="30"/>
        <v>71.666666666666671</v>
      </c>
      <c r="AJ152">
        <f t="shared" si="31"/>
        <v>43.333333333333336</v>
      </c>
      <c r="AK152">
        <f t="shared" si="32"/>
        <v>66.666666666666671</v>
      </c>
      <c r="AL152">
        <f t="shared" si="33"/>
        <v>60</v>
      </c>
      <c r="AM152">
        <f t="shared" si="34"/>
        <v>66.111111111111128</v>
      </c>
      <c r="AN152">
        <f t="shared" si="35"/>
        <v>62.5</v>
      </c>
    </row>
    <row r="153" spans="1:40" x14ac:dyDescent="0.3">
      <c r="A153" t="s">
        <v>442</v>
      </c>
      <c r="B153" t="s">
        <v>443</v>
      </c>
      <c r="C153">
        <v>38</v>
      </c>
      <c r="D153" t="s">
        <v>99</v>
      </c>
      <c r="E153">
        <v>45</v>
      </c>
      <c r="F153" t="s">
        <v>71</v>
      </c>
      <c r="G153">
        <v>76</v>
      </c>
      <c r="H153" t="s">
        <v>22</v>
      </c>
      <c r="I153">
        <f t="shared" si="24"/>
        <v>53</v>
      </c>
      <c r="K153">
        <f t="shared" si="25"/>
        <v>243.7067901234569</v>
      </c>
      <c r="L153">
        <f t="shared" si="26"/>
        <v>74.151234567901284</v>
      </c>
      <c r="M153">
        <f t="shared" si="27"/>
        <v>501.26234567901218</v>
      </c>
      <c r="N153">
        <v>20</v>
      </c>
      <c r="P153">
        <v>30</v>
      </c>
      <c r="Q153">
        <v>40</v>
      </c>
      <c r="R153">
        <v>10</v>
      </c>
      <c r="S153">
        <v>50</v>
      </c>
      <c r="T153">
        <v>80</v>
      </c>
      <c r="U153">
        <v>30</v>
      </c>
      <c r="V153">
        <v>45</v>
      </c>
      <c r="W153">
        <v>60</v>
      </c>
      <c r="X153">
        <v>20</v>
      </c>
      <c r="Y153">
        <v>50</v>
      </c>
      <c r="Z153">
        <v>70</v>
      </c>
      <c r="AA153">
        <v>85</v>
      </c>
      <c r="AB153">
        <v>75</v>
      </c>
      <c r="AC153">
        <v>60</v>
      </c>
      <c r="AD153">
        <v>90</v>
      </c>
      <c r="AE153">
        <v>80</v>
      </c>
      <c r="AF153">
        <v>70</v>
      </c>
      <c r="AG153">
        <f t="shared" si="28"/>
        <v>45</v>
      </c>
      <c r="AH153">
        <f t="shared" si="29"/>
        <v>50</v>
      </c>
      <c r="AI153">
        <f t="shared" si="30"/>
        <v>53.333333333333336</v>
      </c>
      <c r="AJ153">
        <f t="shared" si="31"/>
        <v>40</v>
      </c>
      <c r="AK153">
        <f t="shared" si="32"/>
        <v>60</v>
      </c>
      <c r="AL153">
        <f t="shared" si="33"/>
        <v>73.333333333333329</v>
      </c>
      <c r="AM153">
        <f t="shared" si="34"/>
        <v>52.777777777777779</v>
      </c>
      <c r="AN153">
        <f t="shared" si="35"/>
        <v>53.611111111111114</v>
      </c>
    </row>
    <row r="154" spans="1:40" x14ac:dyDescent="0.3">
      <c r="A154" t="s">
        <v>452</v>
      </c>
      <c r="B154" t="s">
        <v>453</v>
      </c>
      <c r="C154">
        <v>56</v>
      </c>
      <c r="D154" t="s">
        <v>71</v>
      </c>
      <c r="E154">
        <v>76</v>
      </c>
      <c r="F154" t="s">
        <v>22</v>
      </c>
      <c r="G154">
        <v>56</v>
      </c>
      <c r="H154" t="s">
        <v>71</v>
      </c>
      <c r="I154">
        <f t="shared" si="24"/>
        <v>62.666666666666664</v>
      </c>
      <c r="K154">
        <f t="shared" si="25"/>
        <v>53.777777777777814</v>
      </c>
      <c r="L154">
        <f t="shared" si="26"/>
        <v>160.44444444444437</v>
      </c>
      <c r="M154">
        <f t="shared" si="27"/>
        <v>53.777777777777814</v>
      </c>
      <c r="N154">
        <v>75</v>
      </c>
      <c r="P154">
        <v>65</v>
      </c>
      <c r="Q154">
        <v>80</v>
      </c>
      <c r="R154">
        <v>30</v>
      </c>
      <c r="S154">
        <v>40</v>
      </c>
      <c r="T154">
        <v>50</v>
      </c>
      <c r="U154">
        <v>75</v>
      </c>
      <c r="V154">
        <v>80</v>
      </c>
      <c r="W154">
        <v>70</v>
      </c>
      <c r="X154">
        <v>60</v>
      </c>
      <c r="Y154">
        <v>85</v>
      </c>
      <c r="Z154">
        <v>90</v>
      </c>
      <c r="AA154">
        <v>60</v>
      </c>
      <c r="AB154">
        <v>85</v>
      </c>
      <c r="AC154">
        <v>75</v>
      </c>
      <c r="AD154">
        <v>30</v>
      </c>
      <c r="AE154">
        <v>50</v>
      </c>
      <c r="AF154">
        <v>40</v>
      </c>
      <c r="AG154">
        <f t="shared" si="28"/>
        <v>70</v>
      </c>
      <c r="AH154">
        <f t="shared" si="29"/>
        <v>76.666666666666671</v>
      </c>
      <c r="AI154">
        <f t="shared" si="30"/>
        <v>75</v>
      </c>
      <c r="AJ154">
        <f t="shared" si="31"/>
        <v>40</v>
      </c>
      <c r="AK154">
        <f t="shared" si="32"/>
        <v>58.333333333333336</v>
      </c>
      <c r="AL154">
        <f t="shared" si="33"/>
        <v>60</v>
      </c>
      <c r="AM154">
        <f t="shared" si="34"/>
        <v>67.777777777777786</v>
      </c>
      <c r="AN154">
        <f t="shared" si="35"/>
        <v>63.333333333333336</v>
      </c>
    </row>
    <row r="155" spans="1:40" x14ac:dyDescent="0.3">
      <c r="A155" t="s">
        <v>452</v>
      </c>
      <c r="B155" t="s">
        <v>453</v>
      </c>
      <c r="C155">
        <v>68</v>
      </c>
      <c r="D155" t="s">
        <v>28</v>
      </c>
      <c r="E155">
        <v>46</v>
      </c>
      <c r="F155" t="s">
        <v>71</v>
      </c>
      <c r="G155">
        <v>67</v>
      </c>
      <c r="H155" t="s">
        <v>28</v>
      </c>
      <c r="I155">
        <f t="shared" si="24"/>
        <v>60.333333333333336</v>
      </c>
      <c r="K155">
        <f t="shared" si="25"/>
        <v>51.361111111111079</v>
      </c>
      <c r="L155">
        <f t="shared" si="26"/>
        <v>220.02777777777786</v>
      </c>
      <c r="M155">
        <f t="shared" si="27"/>
        <v>38.02777777777775</v>
      </c>
      <c r="N155">
        <v>75</v>
      </c>
      <c r="P155">
        <v>80</v>
      </c>
      <c r="Q155">
        <v>80</v>
      </c>
      <c r="R155">
        <v>45</v>
      </c>
      <c r="S155">
        <v>60</v>
      </c>
      <c r="T155">
        <v>70</v>
      </c>
      <c r="U155">
        <v>50</v>
      </c>
      <c r="V155">
        <v>60</v>
      </c>
      <c r="W155">
        <v>70</v>
      </c>
      <c r="X155">
        <v>25</v>
      </c>
      <c r="Y155">
        <v>40</v>
      </c>
      <c r="Z155">
        <v>35</v>
      </c>
      <c r="AA155">
        <v>75</v>
      </c>
      <c r="AB155">
        <v>75</v>
      </c>
      <c r="AC155">
        <v>75</v>
      </c>
      <c r="AD155">
        <v>30</v>
      </c>
      <c r="AE155">
        <v>75</v>
      </c>
      <c r="AF155">
        <v>75</v>
      </c>
      <c r="AG155">
        <f t="shared" si="28"/>
        <v>66.666666666666671</v>
      </c>
      <c r="AH155">
        <f t="shared" si="29"/>
        <v>71.666666666666671</v>
      </c>
      <c r="AI155">
        <f t="shared" si="30"/>
        <v>75</v>
      </c>
      <c r="AJ155">
        <f t="shared" si="31"/>
        <v>33.333333333333336</v>
      </c>
      <c r="AK155">
        <f t="shared" si="32"/>
        <v>58.333333333333336</v>
      </c>
      <c r="AL155">
        <f t="shared" si="33"/>
        <v>60</v>
      </c>
      <c r="AM155">
        <f t="shared" si="34"/>
        <v>66.666666666666671</v>
      </c>
      <c r="AN155">
        <f t="shared" si="35"/>
        <v>60.833333333333336</v>
      </c>
    </row>
    <row r="156" spans="1:40" x14ac:dyDescent="0.3">
      <c r="A156" t="s">
        <v>452</v>
      </c>
      <c r="B156" t="s">
        <v>453</v>
      </c>
      <c r="C156">
        <v>36</v>
      </c>
      <c r="D156" t="s">
        <v>99</v>
      </c>
      <c r="E156">
        <v>18</v>
      </c>
      <c r="F156" t="s">
        <v>99</v>
      </c>
      <c r="G156">
        <v>75</v>
      </c>
      <c r="H156" t="s">
        <v>22</v>
      </c>
      <c r="I156">
        <f t="shared" si="24"/>
        <v>43</v>
      </c>
      <c r="K156">
        <f t="shared" si="25"/>
        <v>57.929012345678949</v>
      </c>
      <c r="L156">
        <f t="shared" si="26"/>
        <v>655.92901234567876</v>
      </c>
      <c r="M156">
        <f t="shared" si="27"/>
        <v>985.26234567901258</v>
      </c>
      <c r="N156">
        <v>30</v>
      </c>
      <c r="P156">
        <v>40</v>
      </c>
      <c r="Q156">
        <v>50</v>
      </c>
      <c r="R156">
        <v>20</v>
      </c>
      <c r="S156">
        <v>70</v>
      </c>
      <c r="T156">
        <v>10</v>
      </c>
      <c r="U156">
        <v>20</v>
      </c>
      <c r="V156">
        <v>30</v>
      </c>
      <c r="W156">
        <v>40</v>
      </c>
      <c r="X156">
        <v>5</v>
      </c>
      <c r="Y156">
        <v>10</v>
      </c>
      <c r="Z156">
        <v>5</v>
      </c>
      <c r="AA156">
        <v>75</v>
      </c>
      <c r="AB156">
        <v>75</v>
      </c>
      <c r="AC156">
        <v>75</v>
      </c>
      <c r="AD156">
        <v>80</v>
      </c>
      <c r="AE156">
        <v>75</v>
      </c>
      <c r="AF156">
        <v>75</v>
      </c>
      <c r="AG156">
        <f t="shared" si="28"/>
        <v>41.666666666666664</v>
      </c>
      <c r="AH156">
        <f t="shared" si="29"/>
        <v>48.333333333333336</v>
      </c>
      <c r="AI156">
        <f t="shared" si="30"/>
        <v>55</v>
      </c>
      <c r="AJ156">
        <f t="shared" si="31"/>
        <v>35</v>
      </c>
      <c r="AK156">
        <f t="shared" si="32"/>
        <v>51.666666666666664</v>
      </c>
      <c r="AL156">
        <f t="shared" si="33"/>
        <v>30</v>
      </c>
      <c r="AM156">
        <f t="shared" si="34"/>
        <v>49.444444444444436</v>
      </c>
      <c r="AN156">
        <f t="shared" si="35"/>
        <v>43.611111111111107</v>
      </c>
    </row>
    <row r="157" spans="1:40" x14ac:dyDescent="0.3">
      <c r="A157" t="s">
        <v>452</v>
      </c>
      <c r="B157" t="s">
        <v>453</v>
      </c>
      <c r="C157">
        <v>56</v>
      </c>
      <c r="D157" t="s">
        <v>71</v>
      </c>
      <c r="E157">
        <v>75</v>
      </c>
      <c r="F157" t="s">
        <v>22</v>
      </c>
      <c r="G157">
        <v>26</v>
      </c>
      <c r="H157" t="s">
        <v>99</v>
      </c>
      <c r="I157">
        <f t="shared" si="24"/>
        <v>52.333333333333336</v>
      </c>
      <c r="K157">
        <f t="shared" si="25"/>
        <v>10.382716049382712</v>
      </c>
      <c r="L157">
        <f t="shared" si="26"/>
        <v>493.82716049382714</v>
      </c>
      <c r="M157">
        <f t="shared" si="27"/>
        <v>717.04938271604942</v>
      </c>
      <c r="N157">
        <v>60</v>
      </c>
      <c r="P157">
        <v>75</v>
      </c>
      <c r="Q157">
        <v>70</v>
      </c>
      <c r="R157">
        <v>30</v>
      </c>
      <c r="S157">
        <v>40</v>
      </c>
      <c r="T157">
        <v>65</v>
      </c>
      <c r="U157">
        <v>75</v>
      </c>
      <c r="V157">
        <v>75</v>
      </c>
      <c r="W157">
        <v>75</v>
      </c>
      <c r="X157">
        <v>75</v>
      </c>
      <c r="Y157">
        <v>75</v>
      </c>
      <c r="Z157">
        <v>75</v>
      </c>
      <c r="AA157">
        <v>25</v>
      </c>
      <c r="AB157">
        <v>30</v>
      </c>
      <c r="AC157">
        <v>40</v>
      </c>
      <c r="AD157">
        <v>10</v>
      </c>
      <c r="AE157">
        <v>50</v>
      </c>
      <c r="AF157">
        <v>5</v>
      </c>
      <c r="AG157">
        <f t="shared" si="28"/>
        <v>53.333333333333336</v>
      </c>
      <c r="AH157">
        <f t="shared" si="29"/>
        <v>60</v>
      </c>
      <c r="AI157">
        <f t="shared" si="30"/>
        <v>61.666666666666664</v>
      </c>
      <c r="AJ157">
        <f t="shared" si="31"/>
        <v>38.333333333333336</v>
      </c>
      <c r="AK157">
        <f t="shared" si="32"/>
        <v>55</v>
      </c>
      <c r="AL157">
        <f t="shared" si="33"/>
        <v>48.333333333333336</v>
      </c>
      <c r="AM157">
        <f t="shared" si="34"/>
        <v>56.666666666666664</v>
      </c>
      <c r="AN157">
        <f t="shared" si="35"/>
        <v>52.777777777777779</v>
      </c>
    </row>
    <row r="158" spans="1:40" x14ac:dyDescent="0.3">
      <c r="A158" t="s">
        <v>463</v>
      </c>
      <c r="B158" t="s">
        <v>464</v>
      </c>
      <c r="C158">
        <v>76</v>
      </c>
      <c r="D158" t="s">
        <v>22</v>
      </c>
      <c r="E158">
        <v>51</v>
      </c>
      <c r="F158" t="s">
        <v>71</v>
      </c>
      <c r="G158">
        <v>68</v>
      </c>
      <c r="H158" t="s">
        <v>28</v>
      </c>
      <c r="I158">
        <f t="shared" si="24"/>
        <v>65</v>
      </c>
      <c r="K158">
        <f t="shared" si="25"/>
        <v>109.08641975308639</v>
      </c>
      <c r="L158">
        <f t="shared" si="26"/>
        <v>211.86419753086423</v>
      </c>
      <c r="M158">
        <f t="shared" si="27"/>
        <v>5.9753086419753005</v>
      </c>
      <c r="N158">
        <v>85</v>
      </c>
      <c r="P158">
        <v>90</v>
      </c>
      <c r="Q158">
        <v>70</v>
      </c>
      <c r="R158">
        <v>60</v>
      </c>
      <c r="S158">
        <v>75</v>
      </c>
      <c r="T158">
        <v>80</v>
      </c>
      <c r="U158">
        <v>50</v>
      </c>
      <c r="V158">
        <v>70</v>
      </c>
      <c r="W158">
        <v>60</v>
      </c>
      <c r="X158">
        <v>20</v>
      </c>
      <c r="Y158">
        <v>30</v>
      </c>
      <c r="Z158">
        <v>80</v>
      </c>
      <c r="AA158">
        <v>75</v>
      </c>
      <c r="AB158">
        <v>85</v>
      </c>
      <c r="AC158">
        <v>90</v>
      </c>
      <c r="AD158">
        <v>40</v>
      </c>
      <c r="AE158">
        <v>60</v>
      </c>
      <c r="AF158">
        <v>60</v>
      </c>
      <c r="AG158">
        <f t="shared" si="28"/>
        <v>70</v>
      </c>
      <c r="AH158">
        <f t="shared" si="29"/>
        <v>81.666666666666671</v>
      </c>
      <c r="AI158">
        <f t="shared" si="30"/>
        <v>73.333333333333329</v>
      </c>
      <c r="AJ158">
        <f t="shared" si="31"/>
        <v>40</v>
      </c>
      <c r="AK158">
        <f t="shared" si="32"/>
        <v>55</v>
      </c>
      <c r="AL158">
        <f t="shared" si="33"/>
        <v>73.333333333333329</v>
      </c>
      <c r="AM158">
        <f t="shared" si="34"/>
        <v>66.1111111111111</v>
      </c>
      <c r="AN158">
        <f t="shared" si="35"/>
        <v>65.555555555555557</v>
      </c>
    </row>
    <row r="159" spans="1:40" x14ac:dyDescent="0.3">
      <c r="A159" t="s">
        <v>463</v>
      </c>
      <c r="B159" t="s">
        <v>464</v>
      </c>
      <c r="C159">
        <v>55</v>
      </c>
      <c r="D159" t="s">
        <v>71</v>
      </c>
      <c r="E159">
        <v>46</v>
      </c>
      <c r="F159" t="s">
        <v>71</v>
      </c>
      <c r="G159">
        <v>54</v>
      </c>
      <c r="H159" t="s">
        <v>71</v>
      </c>
      <c r="I159">
        <f t="shared" si="24"/>
        <v>51.666666666666664</v>
      </c>
      <c r="K159">
        <f t="shared" si="25"/>
        <v>7.7160493827160535</v>
      </c>
      <c r="L159">
        <f t="shared" si="26"/>
        <v>38.716049382716037</v>
      </c>
      <c r="M159">
        <f t="shared" si="27"/>
        <v>3.1604938271604968</v>
      </c>
      <c r="N159">
        <v>65</v>
      </c>
      <c r="P159">
        <v>70</v>
      </c>
      <c r="Q159">
        <v>80</v>
      </c>
      <c r="R159">
        <v>30</v>
      </c>
      <c r="S159">
        <v>40</v>
      </c>
      <c r="T159">
        <v>50</v>
      </c>
      <c r="U159">
        <v>35</v>
      </c>
      <c r="V159">
        <v>45</v>
      </c>
      <c r="W159">
        <v>60</v>
      </c>
      <c r="X159">
        <v>20</v>
      </c>
      <c r="Y159">
        <v>70</v>
      </c>
      <c r="Z159">
        <v>50</v>
      </c>
      <c r="AA159">
        <v>50</v>
      </c>
      <c r="AB159">
        <v>60</v>
      </c>
      <c r="AC159">
        <v>70</v>
      </c>
      <c r="AD159">
        <v>30</v>
      </c>
      <c r="AE159">
        <v>40</v>
      </c>
      <c r="AF159">
        <v>75</v>
      </c>
      <c r="AG159">
        <f t="shared" si="28"/>
        <v>50</v>
      </c>
      <c r="AH159">
        <f t="shared" si="29"/>
        <v>58.333333333333336</v>
      </c>
      <c r="AI159">
        <f t="shared" si="30"/>
        <v>70</v>
      </c>
      <c r="AJ159">
        <f t="shared" si="31"/>
        <v>26.666666666666668</v>
      </c>
      <c r="AK159">
        <f t="shared" si="32"/>
        <v>50</v>
      </c>
      <c r="AL159">
        <f t="shared" si="33"/>
        <v>58.333333333333336</v>
      </c>
      <c r="AM159">
        <f t="shared" si="34"/>
        <v>56.666666666666664</v>
      </c>
      <c r="AN159">
        <f t="shared" si="35"/>
        <v>52.222222222222221</v>
      </c>
    </row>
    <row r="160" spans="1:40" x14ac:dyDescent="0.3">
      <c r="A160" t="s">
        <v>463</v>
      </c>
      <c r="B160" t="s">
        <v>464</v>
      </c>
      <c r="C160">
        <v>59</v>
      </c>
      <c r="D160" t="s">
        <v>71</v>
      </c>
      <c r="E160">
        <v>57</v>
      </c>
      <c r="F160" t="s">
        <v>71</v>
      </c>
      <c r="G160">
        <v>60</v>
      </c>
      <c r="H160" t="s">
        <v>28</v>
      </c>
      <c r="I160">
        <f t="shared" si="24"/>
        <v>58.666666666666664</v>
      </c>
      <c r="K160">
        <f t="shared" si="25"/>
        <v>1.2345679012346381E-2</v>
      </c>
      <c r="L160">
        <f t="shared" si="26"/>
        <v>3.5679012345678891</v>
      </c>
      <c r="M160">
        <f t="shared" si="27"/>
        <v>1.2345679012345749</v>
      </c>
      <c r="N160">
        <v>65</v>
      </c>
      <c r="P160">
        <v>70</v>
      </c>
      <c r="Q160">
        <v>70</v>
      </c>
      <c r="R160">
        <v>30</v>
      </c>
      <c r="S160">
        <v>40</v>
      </c>
      <c r="T160">
        <v>80</v>
      </c>
      <c r="U160">
        <v>60</v>
      </c>
      <c r="V160">
        <v>70</v>
      </c>
      <c r="W160">
        <v>65</v>
      </c>
      <c r="X160">
        <v>50</v>
      </c>
      <c r="Y160">
        <v>70</v>
      </c>
      <c r="Z160">
        <v>30</v>
      </c>
      <c r="AA160">
        <v>50</v>
      </c>
      <c r="AB160">
        <v>70</v>
      </c>
      <c r="AC160">
        <v>65</v>
      </c>
      <c r="AD160">
        <v>60</v>
      </c>
      <c r="AE160">
        <v>75</v>
      </c>
      <c r="AF160">
        <v>40</v>
      </c>
      <c r="AG160">
        <f t="shared" si="28"/>
        <v>58.333333333333336</v>
      </c>
      <c r="AH160">
        <f t="shared" si="29"/>
        <v>70</v>
      </c>
      <c r="AI160">
        <f t="shared" si="30"/>
        <v>66.666666666666671</v>
      </c>
      <c r="AJ160">
        <f t="shared" si="31"/>
        <v>46.666666666666664</v>
      </c>
      <c r="AK160">
        <f t="shared" si="32"/>
        <v>61.666666666666664</v>
      </c>
      <c r="AL160">
        <f t="shared" si="33"/>
        <v>50</v>
      </c>
      <c r="AM160">
        <f t="shared" si="34"/>
        <v>62.222222222222221</v>
      </c>
      <c r="AN160">
        <f t="shared" si="35"/>
        <v>58.888888888888886</v>
      </c>
    </row>
    <row r="161" spans="1:40" x14ac:dyDescent="0.3">
      <c r="A161" t="s">
        <v>463</v>
      </c>
      <c r="B161" t="s">
        <v>464</v>
      </c>
      <c r="C161">
        <v>27</v>
      </c>
      <c r="D161" t="s">
        <v>99</v>
      </c>
      <c r="E161">
        <v>0</v>
      </c>
      <c r="F161" t="s">
        <v>403</v>
      </c>
      <c r="G161">
        <v>35</v>
      </c>
      <c r="H161" t="s">
        <v>99</v>
      </c>
      <c r="I161">
        <f t="shared" si="24"/>
        <v>20.666666666666668</v>
      </c>
      <c r="K161">
        <f t="shared" si="25"/>
        <v>16.901234567901259</v>
      </c>
      <c r="L161">
        <f t="shared" si="26"/>
        <v>967.90123456790138</v>
      </c>
      <c r="M161">
        <f t="shared" si="27"/>
        <v>15.123456790123432</v>
      </c>
      <c r="N161">
        <v>25</v>
      </c>
      <c r="P161">
        <v>35</v>
      </c>
      <c r="Q161">
        <v>40</v>
      </c>
      <c r="R161">
        <v>10</v>
      </c>
      <c r="S161">
        <v>50</v>
      </c>
      <c r="T161">
        <v>5</v>
      </c>
      <c r="U161">
        <v>20</v>
      </c>
      <c r="V161">
        <v>40</v>
      </c>
      <c r="W161">
        <v>30</v>
      </c>
      <c r="X161">
        <v>5</v>
      </c>
      <c r="Y161">
        <v>0</v>
      </c>
      <c r="Z161">
        <v>90</v>
      </c>
      <c r="AA161">
        <v>30</v>
      </c>
      <c r="AB161">
        <v>40</v>
      </c>
      <c r="AC161">
        <v>50</v>
      </c>
      <c r="AD161">
        <v>20</v>
      </c>
      <c r="AE161">
        <v>60</v>
      </c>
      <c r="AF161">
        <v>10</v>
      </c>
      <c r="AG161">
        <f t="shared" si="28"/>
        <v>25</v>
      </c>
      <c r="AH161">
        <f t="shared" si="29"/>
        <v>38.333333333333336</v>
      </c>
      <c r="AI161">
        <f t="shared" si="30"/>
        <v>40</v>
      </c>
      <c r="AJ161">
        <f t="shared" si="31"/>
        <v>11.666666666666666</v>
      </c>
      <c r="AK161">
        <f t="shared" si="32"/>
        <v>36.666666666666664</v>
      </c>
      <c r="AL161">
        <f t="shared" si="33"/>
        <v>35</v>
      </c>
      <c r="AM161">
        <f t="shared" si="34"/>
        <v>33.888888888888886</v>
      </c>
      <c r="AN161">
        <f t="shared" si="35"/>
        <v>31.111111111111114</v>
      </c>
    </row>
    <row r="162" spans="1:40" x14ac:dyDescent="0.3">
      <c r="A162" t="s">
        <v>472</v>
      </c>
      <c r="B162" t="s">
        <v>473</v>
      </c>
      <c r="C162">
        <v>51</v>
      </c>
      <c r="D162" t="s">
        <v>71</v>
      </c>
      <c r="E162">
        <v>45</v>
      </c>
      <c r="F162" t="s">
        <v>71</v>
      </c>
      <c r="G162">
        <v>50</v>
      </c>
      <c r="H162" t="s">
        <v>71</v>
      </c>
      <c r="I162">
        <f t="shared" si="24"/>
        <v>48.666666666666664</v>
      </c>
      <c r="K162">
        <f t="shared" si="25"/>
        <v>3.3611111111111196</v>
      </c>
      <c r="L162">
        <f t="shared" si="26"/>
        <v>17.361111111111093</v>
      </c>
      <c r="M162">
        <f t="shared" si="27"/>
        <v>0.69444444444444842</v>
      </c>
      <c r="N162">
        <v>35</v>
      </c>
      <c r="P162">
        <v>45</v>
      </c>
      <c r="Q162">
        <v>60</v>
      </c>
      <c r="R162">
        <v>20</v>
      </c>
      <c r="S162">
        <v>70</v>
      </c>
      <c r="T162">
        <v>80</v>
      </c>
      <c r="U162">
        <v>30</v>
      </c>
      <c r="V162">
        <v>40</v>
      </c>
      <c r="W162">
        <v>50</v>
      </c>
      <c r="X162">
        <v>20</v>
      </c>
      <c r="Y162">
        <v>60</v>
      </c>
      <c r="Z162">
        <v>70</v>
      </c>
      <c r="AA162">
        <v>35</v>
      </c>
      <c r="AB162">
        <v>40</v>
      </c>
      <c r="AC162">
        <v>60</v>
      </c>
      <c r="AD162">
        <v>20</v>
      </c>
      <c r="AE162">
        <v>70</v>
      </c>
      <c r="AF162">
        <v>80</v>
      </c>
      <c r="AG162">
        <f t="shared" si="28"/>
        <v>33.333333333333336</v>
      </c>
      <c r="AH162">
        <f t="shared" si="29"/>
        <v>41.666666666666664</v>
      </c>
      <c r="AI162">
        <f t="shared" si="30"/>
        <v>56.666666666666664</v>
      </c>
      <c r="AJ162">
        <f t="shared" si="31"/>
        <v>20</v>
      </c>
      <c r="AK162">
        <f t="shared" si="32"/>
        <v>66.666666666666671</v>
      </c>
      <c r="AL162">
        <f t="shared" si="33"/>
        <v>76.666666666666671</v>
      </c>
      <c r="AM162">
        <f t="shared" si="34"/>
        <v>52.222222222222229</v>
      </c>
      <c r="AN162">
        <f t="shared" si="35"/>
        <v>49.166666666666664</v>
      </c>
    </row>
    <row r="163" spans="1:40" x14ac:dyDescent="0.3">
      <c r="A163" t="s">
        <v>472</v>
      </c>
      <c r="B163" t="s">
        <v>473</v>
      </c>
      <c r="C163">
        <v>55</v>
      </c>
      <c r="D163" t="s">
        <v>71</v>
      </c>
      <c r="E163">
        <v>45</v>
      </c>
      <c r="F163" t="s">
        <v>71</v>
      </c>
      <c r="G163">
        <v>65</v>
      </c>
      <c r="H163" t="s">
        <v>28</v>
      </c>
      <c r="I163">
        <f t="shared" si="24"/>
        <v>55</v>
      </c>
      <c r="K163">
        <f t="shared" si="25"/>
        <v>0</v>
      </c>
      <c r="L163">
        <f t="shared" si="26"/>
        <v>100</v>
      </c>
      <c r="M163">
        <f t="shared" si="27"/>
        <v>100</v>
      </c>
      <c r="N163">
        <v>50</v>
      </c>
      <c r="P163">
        <v>70</v>
      </c>
      <c r="Q163">
        <v>80</v>
      </c>
      <c r="R163">
        <v>30</v>
      </c>
      <c r="S163">
        <v>60</v>
      </c>
      <c r="T163">
        <v>40</v>
      </c>
      <c r="U163">
        <v>20</v>
      </c>
      <c r="V163">
        <v>30</v>
      </c>
      <c r="W163">
        <v>40</v>
      </c>
      <c r="X163">
        <v>50</v>
      </c>
      <c r="Y163">
        <v>60</v>
      </c>
      <c r="Z163">
        <v>70</v>
      </c>
      <c r="AA163">
        <v>65</v>
      </c>
      <c r="AB163">
        <v>70</v>
      </c>
      <c r="AC163">
        <v>80</v>
      </c>
      <c r="AD163">
        <v>40</v>
      </c>
      <c r="AE163">
        <v>60</v>
      </c>
      <c r="AF163">
        <v>75</v>
      </c>
      <c r="AG163">
        <f t="shared" si="28"/>
        <v>45</v>
      </c>
      <c r="AH163">
        <f t="shared" si="29"/>
        <v>56.666666666666664</v>
      </c>
      <c r="AI163">
        <f t="shared" si="30"/>
        <v>66.666666666666671</v>
      </c>
      <c r="AJ163">
        <f t="shared" si="31"/>
        <v>40</v>
      </c>
      <c r="AK163">
        <f t="shared" si="32"/>
        <v>60</v>
      </c>
      <c r="AL163">
        <f t="shared" si="33"/>
        <v>61.666666666666664</v>
      </c>
      <c r="AM163">
        <f t="shared" si="34"/>
        <v>57.222222222222229</v>
      </c>
      <c r="AN163">
        <f t="shared" si="35"/>
        <v>55</v>
      </c>
    </row>
    <row r="164" spans="1:40" x14ac:dyDescent="0.3">
      <c r="A164" t="s">
        <v>472</v>
      </c>
      <c r="B164" t="s">
        <v>473</v>
      </c>
      <c r="C164">
        <v>41</v>
      </c>
      <c r="D164" t="s">
        <v>71</v>
      </c>
      <c r="E164">
        <v>65</v>
      </c>
      <c r="F164" t="s">
        <v>28</v>
      </c>
      <c r="G164">
        <v>65</v>
      </c>
      <c r="H164" t="s">
        <v>28</v>
      </c>
      <c r="I164">
        <f t="shared" si="24"/>
        <v>57</v>
      </c>
      <c r="K164">
        <f t="shared" si="25"/>
        <v>263.16049382716045</v>
      </c>
      <c r="L164">
        <f t="shared" si="26"/>
        <v>60.493827160493836</v>
      </c>
      <c r="M164">
        <f t="shared" si="27"/>
        <v>60.493827160493836</v>
      </c>
      <c r="N164">
        <v>50</v>
      </c>
      <c r="P164">
        <v>60</v>
      </c>
      <c r="Q164">
        <v>65</v>
      </c>
      <c r="R164">
        <v>20</v>
      </c>
      <c r="S164">
        <v>30</v>
      </c>
      <c r="T164">
        <v>25</v>
      </c>
      <c r="U164">
        <v>65</v>
      </c>
      <c r="V164">
        <v>70</v>
      </c>
      <c r="W164">
        <v>80</v>
      </c>
      <c r="X164">
        <v>40</v>
      </c>
      <c r="Y164">
        <v>60</v>
      </c>
      <c r="Z164">
        <v>75</v>
      </c>
      <c r="AA164">
        <v>75</v>
      </c>
      <c r="AB164">
        <v>75</v>
      </c>
      <c r="AC164">
        <v>75</v>
      </c>
      <c r="AD164">
        <v>15</v>
      </c>
      <c r="AE164">
        <v>75</v>
      </c>
      <c r="AF164">
        <v>75</v>
      </c>
      <c r="AG164">
        <f t="shared" si="28"/>
        <v>63.333333333333336</v>
      </c>
      <c r="AH164">
        <f t="shared" si="29"/>
        <v>68.333333333333329</v>
      </c>
      <c r="AI164">
        <f t="shared" si="30"/>
        <v>73.333333333333329</v>
      </c>
      <c r="AJ164">
        <f t="shared" si="31"/>
        <v>25</v>
      </c>
      <c r="AK164">
        <f t="shared" si="32"/>
        <v>55</v>
      </c>
      <c r="AL164">
        <f t="shared" si="33"/>
        <v>58.333333333333336</v>
      </c>
      <c r="AM164">
        <f t="shared" si="34"/>
        <v>63.888888888888886</v>
      </c>
      <c r="AN164">
        <f t="shared" si="35"/>
        <v>57.222222222222221</v>
      </c>
    </row>
    <row r="165" spans="1:40" x14ac:dyDescent="0.3">
      <c r="A165" t="s">
        <v>472</v>
      </c>
      <c r="B165" t="s">
        <v>473</v>
      </c>
      <c r="C165">
        <v>60</v>
      </c>
      <c r="D165" t="s">
        <v>28</v>
      </c>
      <c r="E165">
        <v>35</v>
      </c>
      <c r="F165" t="s">
        <v>99</v>
      </c>
      <c r="G165">
        <v>80</v>
      </c>
      <c r="H165" t="s">
        <v>22</v>
      </c>
      <c r="I165">
        <f t="shared" si="24"/>
        <v>58.333333333333336</v>
      </c>
      <c r="K165">
        <f t="shared" si="25"/>
        <v>1.2345679012345749</v>
      </c>
      <c r="L165">
        <f t="shared" si="26"/>
        <v>570.67901234567887</v>
      </c>
      <c r="M165">
        <f t="shared" si="27"/>
        <v>445.67901234567915</v>
      </c>
      <c r="N165">
        <v>85</v>
      </c>
      <c r="P165">
        <v>70</v>
      </c>
      <c r="Q165">
        <v>60</v>
      </c>
      <c r="R165">
        <v>20</v>
      </c>
      <c r="S165">
        <v>90</v>
      </c>
      <c r="T165">
        <v>40</v>
      </c>
      <c r="U165">
        <v>30</v>
      </c>
      <c r="V165">
        <v>45</v>
      </c>
      <c r="W165">
        <v>60</v>
      </c>
      <c r="X165">
        <v>20</v>
      </c>
      <c r="Y165">
        <v>50</v>
      </c>
      <c r="Z165">
        <v>10</v>
      </c>
      <c r="AA165">
        <v>85</v>
      </c>
      <c r="AB165">
        <v>80</v>
      </c>
      <c r="AC165">
        <v>75</v>
      </c>
      <c r="AD165">
        <v>90</v>
      </c>
      <c r="AE165">
        <v>70</v>
      </c>
      <c r="AF165">
        <v>80</v>
      </c>
      <c r="AG165">
        <f t="shared" si="28"/>
        <v>66.666666666666671</v>
      </c>
      <c r="AH165">
        <f t="shared" si="29"/>
        <v>65</v>
      </c>
      <c r="AI165">
        <f t="shared" si="30"/>
        <v>65</v>
      </c>
      <c r="AJ165">
        <f t="shared" si="31"/>
        <v>43.333333333333336</v>
      </c>
      <c r="AK165">
        <f t="shared" si="32"/>
        <v>70</v>
      </c>
      <c r="AL165">
        <f t="shared" si="33"/>
        <v>43.333333333333336</v>
      </c>
      <c r="AM165">
        <f t="shared" si="34"/>
        <v>67.222222222222229</v>
      </c>
      <c r="AN165">
        <f t="shared" si="35"/>
        <v>58.888888888888886</v>
      </c>
    </row>
    <row r="166" spans="1:40" x14ac:dyDescent="0.3">
      <c r="A166" t="s">
        <v>481</v>
      </c>
      <c r="B166" t="s">
        <v>482</v>
      </c>
      <c r="C166">
        <v>67</v>
      </c>
      <c r="D166" t="s">
        <v>28</v>
      </c>
      <c r="E166">
        <v>54</v>
      </c>
      <c r="F166" t="s">
        <v>71</v>
      </c>
      <c r="G166">
        <v>40</v>
      </c>
      <c r="H166" t="s">
        <v>71</v>
      </c>
      <c r="I166">
        <f t="shared" si="24"/>
        <v>53.666666666666664</v>
      </c>
      <c r="K166">
        <f t="shared" si="25"/>
        <v>164.69444444444451</v>
      </c>
      <c r="L166">
        <f t="shared" si="26"/>
        <v>2.7777777777776989E-2</v>
      </c>
      <c r="M166">
        <f t="shared" si="27"/>
        <v>200.69444444444437</v>
      </c>
      <c r="N166">
        <v>85</v>
      </c>
      <c r="P166">
        <v>70</v>
      </c>
      <c r="Q166">
        <v>65</v>
      </c>
      <c r="R166">
        <v>45</v>
      </c>
      <c r="S166">
        <v>70</v>
      </c>
      <c r="T166">
        <v>70</v>
      </c>
      <c r="U166">
        <v>65</v>
      </c>
      <c r="V166">
        <v>80</v>
      </c>
      <c r="W166">
        <v>70</v>
      </c>
      <c r="X166">
        <v>20</v>
      </c>
      <c r="Y166">
        <v>40</v>
      </c>
      <c r="Z166">
        <v>50</v>
      </c>
      <c r="AA166">
        <v>35</v>
      </c>
      <c r="AB166">
        <v>40</v>
      </c>
      <c r="AC166">
        <v>60</v>
      </c>
      <c r="AD166">
        <v>10</v>
      </c>
      <c r="AE166">
        <v>25</v>
      </c>
      <c r="AF166">
        <v>75</v>
      </c>
      <c r="AG166">
        <f t="shared" si="28"/>
        <v>61.666666666666664</v>
      </c>
      <c r="AH166">
        <f t="shared" si="29"/>
        <v>63.333333333333336</v>
      </c>
      <c r="AI166">
        <f t="shared" si="30"/>
        <v>65</v>
      </c>
      <c r="AJ166">
        <f t="shared" si="31"/>
        <v>25</v>
      </c>
      <c r="AK166">
        <f t="shared" si="32"/>
        <v>45</v>
      </c>
      <c r="AL166">
        <f t="shared" si="33"/>
        <v>65</v>
      </c>
      <c r="AM166">
        <f t="shared" si="34"/>
        <v>57.222222222222221</v>
      </c>
      <c r="AN166">
        <f t="shared" si="35"/>
        <v>54.166666666666664</v>
      </c>
    </row>
    <row r="167" spans="1:40" x14ac:dyDescent="0.3">
      <c r="A167" t="s">
        <v>481</v>
      </c>
      <c r="B167" t="s">
        <v>482</v>
      </c>
      <c r="C167">
        <v>50</v>
      </c>
      <c r="D167" t="s">
        <v>71</v>
      </c>
      <c r="E167">
        <v>55</v>
      </c>
      <c r="F167" t="s">
        <v>71</v>
      </c>
      <c r="G167">
        <v>65</v>
      </c>
      <c r="H167" t="s">
        <v>28</v>
      </c>
      <c r="I167">
        <f t="shared" si="24"/>
        <v>56.666666666666664</v>
      </c>
      <c r="K167">
        <f t="shared" si="25"/>
        <v>52.160493827160586</v>
      </c>
      <c r="L167">
        <f t="shared" si="26"/>
        <v>4.9382716049382998</v>
      </c>
      <c r="M167">
        <f t="shared" si="27"/>
        <v>60.49382716049373</v>
      </c>
      <c r="N167">
        <v>50</v>
      </c>
      <c r="P167">
        <v>60</v>
      </c>
      <c r="Q167">
        <v>70</v>
      </c>
      <c r="R167">
        <v>20</v>
      </c>
      <c r="S167">
        <v>40</v>
      </c>
      <c r="T167">
        <v>60</v>
      </c>
      <c r="U167">
        <v>65</v>
      </c>
      <c r="V167">
        <v>70</v>
      </c>
      <c r="W167">
        <v>80</v>
      </c>
      <c r="X167">
        <v>30</v>
      </c>
      <c r="Y167">
        <v>40</v>
      </c>
      <c r="Z167">
        <v>50</v>
      </c>
      <c r="AA167">
        <v>75</v>
      </c>
      <c r="AB167">
        <v>75</v>
      </c>
      <c r="AC167">
        <v>75</v>
      </c>
      <c r="AD167">
        <v>20</v>
      </c>
      <c r="AE167">
        <v>75</v>
      </c>
      <c r="AF167">
        <v>75</v>
      </c>
      <c r="AG167">
        <f t="shared" si="28"/>
        <v>63.333333333333336</v>
      </c>
      <c r="AH167">
        <f t="shared" si="29"/>
        <v>68.333333333333329</v>
      </c>
      <c r="AI167">
        <f t="shared" si="30"/>
        <v>75</v>
      </c>
      <c r="AJ167">
        <f t="shared" si="31"/>
        <v>23.333333333333332</v>
      </c>
      <c r="AK167">
        <f t="shared" si="32"/>
        <v>51.666666666666664</v>
      </c>
      <c r="AL167">
        <f t="shared" si="33"/>
        <v>61.666666666666664</v>
      </c>
      <c r="AM167">
        <f t="shared" si="34"/>
        <v>63.333333333333336</v>
      </c>
      <c r="AN167">
        <f t="shared" si="35"/>
        <v>57.222222222222229</v>
      </c>
    </row>
    <row r="168" spans="1:40" x14ac:dyDescent="0.3">
      <c r="A168" t="s">
        <v>481</v>
      </c>
      <c r="B168" t="s">
        <v>482</v>
      </c>
      <c r="C168">
        <v>45</v>
      </c>
      <c r="D168" t="s">
        <v>71</v>
      </c>
      <c r="E168">
        <v>70</v>
      </c>
      <c r="F168" t="s">
        <v>28</v>
      </c>
      <c r="G168">
        <v>75</v>
      </c>
      <c r="H168" t="s">
        <v>22</v>
      </c>
      <c r="I168">
        <f t="shared" si="24"/>
        <v>63.333333333333336</v>
      </c>
      <c r="K168">
        <f t="shared" si="25"/>
        <v>346.37345679012333</v>
      </c>
      <c r="L168">
        <f t="shared" si="26"/>
        <v>40.817901234567948</v>
      </c>
      <c r="M168">
        <f t="shared" si="27"/>
        <v>129.70679012345687</v>
      </c>
      <c r="N168">
        <v>30</v>
      </c>
      <c r="P168">
        <v>50</v>
      </c>
      <c r="Q168">
        <v>60</v>
      </c>
      <c r="R168">
        <v>20</v>
      </c>
      <c r="S168">
        <v>40</v>
      </c>
      <c r="T168">
        <v>70</v>
      </c>
      <c r="U168">
        <v>75</v>
      </c>
      <c r="V168">
        <v>80</v>
      </c>
      <c r="W168">
        <v>80</v>
      </c>
      <c r="X168">
        <v>60</v>
      </c>
      <c r="Y168">
        <v>70</v>
      </c>
      <c r="Z168">
        <v>60</v>
      </c>
      <c r="AA168">
        <v>75</v>
      </c>
      <c r="AB168">
        <v>75</v>
      </c>
      <c r="AC168">
        <v>75</v>
      </c>
      <c r="AD168">
        <v>75</v>
      </c>
      <c r="AE168">
        <v>75</v>
      </c>
      <c r="AF168">
        <v>75</v>
      </c>
      <c r="AG168">
        <f t="shared" si="28"/>
        <v>60</v>
      </c>
      <c r="AH168">
        <f t="shared" si="29"/>
        <v>68.333333333333329</v>
      </c>
      <c r="AI168">
        <f t="shared" si="30"/>
        <v>71.666666666666671</v>
      </c>
      <c r="AJ168">
        <f t="shared" si="31"/>
        <v>51.666666666666664</v>
      </c>
      <c r="AK168">
        <f t="shared" si="32"/>
        <v>61.666666666666664</v>
      </c>
      <c r="AL168">
        <f t="shared" si="33"/>
        <v>68.333333333333329</v>
      </c>
      <c r="AM168">
        <f t="shared" si="34"/>
        <v>64.444444444444443</v>
      </c>
      <c r="AN168">
        <f t="shared" si="35"/>
        <v>63.611111111111107</v>
      </c>
    </row>
    <row r="169" spans="1:40" x14ac:dyDescent="0.3">
      <c r="A169" t="s">
        <v>481</v>
      </c>
      <c r="B169" t="s">
        <v>482</v>
      </c>
      <c r="C169">
        <v>64</v>
      </c>
      <c r="D169" t="s">
        <v>28</v>
      </c>
      <c r="E169">
        <v>56</v>
      </c>
      <c r="F169" t="s">
        <v>71</v>
      </c>
      <c r="G169">
        <v>0</v>
      </c>
      <c r="H169" t="s">
        <v>403</v>
      </c>
      <c r="I169">
        <f t="shared" si="24"/>
        <v>40</v>
      </c>
      <c r="K169">
        <f t="shared" si="25"/>
        <v>220.02777777777786</v>
      </c>
      <c r="L169">
        <f t="shared" si="26"/>
        <v>46.694444444444478</v>
      </c>
      <c r="M169">
        <f t="shared" si="27"/>
        <v>2417.3611111111109</v>
      </c>
      <c r="N169">
        <v>75</v>
      </c>
      <c r="P169">
        <v>80</v>
      </c>
      <c r="Q169">
        <v>70</v>
      </c>
      <c r="R169">
        <v>40</v>
      </c>
      <c r="S169">
        <v>60</v>
      </c>
      <c r="T169">
        <v>60</v>
      </c>
      <c r="U169">
        <v>60</v>
      </c>
      <c r="V169">
        <v>75</v>
      </c>
      <c r="W169">
        <v>85</v>
      </c>
      <c r="X169">
        <v>20</v>
      </c>
      <c r="Y169">
        <v>40</v>
      </c>
      <c r="Z169">
        <v>60</v>
      </c>
      <c r="AA169">
        <v>10</v>
      </c>
      <c r="AB169">
        <v>20</v>
      </c>
      <c r="AC169">
        <v>30</v>
      </c>
      <c r="AD169">
        <v>5</v>
      </c>
      <c r="AE169">
        <v>0</v>
      </c>
      <c r="AF169">
        <v>95</v>
      </c>
      <c r="AG169">
        <f t="shared" si="28"/>
        <v>48.333333333333336</v>
      </c>
      <c r="AH169">
        <f t="shared" si="29"/>
        <v>58.333333333333336</v>
      </c>
      <c r="AI169">
        <f t="shared" si="30"/>
        <v>61.666666666666664</v>
      </c>
      <c r="AJ169">
        <f t="shared" si="31"/>
        <v>21.666666666666668</v>
      </c>
      <c r="AK169">
        <f t="shared" si="32"/>
        <v>33.333333333333336</v>
      </c>
      <c r="AL169">
        <f t="shared" si="33"/>
        <v>71.666666666666671</v>
      </c>
      <c r="AM169">
        <f t="shared" si="34"/>
        <v>47.777777777777779</v>
      </c>
      <c r="AN169">
        <f t="shared" si="35"/>
        <v>49.166666666666664</v>
      </c>
    </row>
    <row r="170" spans="1:40" x14ac:dyDescent="0.3">
      <c r="A170" t="s">
        <v>489</v>
      </c>
      <c r="B170" t="s">
        <v>490</v>
      </c>
      <c r="C170">
        <v>50</v>
      </c>
      <c r="D170" t="s">
        <v>71</v>
      </c>
      <c r="E170">
        <v>77</v>
      </c>
      <c r="F170" t="s">
        <v>22</v>
      </c>
      <c r="G170">
        <v>45</v>
      </c>
      <c r="H170" t="s">
        <v>71</v>
      </c>
      <c r="I170">
        <f t="shared" si="24"/>
        <v>57.333333333333336</v>
      </c>
      <c r="K170">
        <f t="shared" si="25"/>
        <v>60.493827160493836</v>
      </c>
      <c r="L170">
        <f t="shared" si="26"/>
        <v>369.49382716049382</v>
      </c>
      <c r="M170">
        <f t="shared" si="27"/>
        <v>163.27160493827162</v>
      </c>
      <c r="N170">
        <v>65</v>
      </c>
      <c r="P170">
        <v>70</v>
      </c>
      <c r="Q170">
        <v>80</v>
      </c>
      <c r="R170">
        <v>20</v>
      </c>
      <c r="S170">
        <v>40</v>
      </c>
      <c r="T170">
        <v>30</v>
      </c>
      <c r="U170">
        <v>85</v>
      </c>
      <c r="V170">
        <v>75</v>
      </c>
      <c r="W170">
        <v>65</v>
      </c>
      <c r="X170">
        <v>90</v>
      </c>
      <c r="Y170">
        <v>70</v>
      </c>
      <c r="Z170">
        <v>80</v>
      </c>
      <c r="AA170">
        <v>30</v>
      </c>
      <c r="AB170">
        <v>40</v>
      </c>
      <c r="AC170">
        <v>60</v>
      </c>
      <c r="AD170">
        <v>20</v>
      </c>
      <c r="AE170">
        <v>50</v>
      </c>
      <c r="AF170">
        <v>70</v>
      </c>
      <c r="AG170">
        <f t="shared" si="28"/>
        <v>60</v>
      </c>
      <c r="AH170">
        <f t="shared" si="29"/>
        <v>61.666666666666664</v>
      </c>
      <c r="AI170">
        <f t="shared" si="30"/>
        <v>68.333333333333329</v>
      </c>
      <c r="AJ170">
        <f t="shared" si="31"/>
        <v>43.333333333333336</v>
      </c>
      <c r="AK170">
        <f t="shared" si="32"/>
        <v>53.333333333333336</v>
      </c>
      <c r="AL170">
        <f t="shared" si="33"/>
        <v>60</v>
      </c>
      <c r="AM170">
        <f t="shared" si="34"/>
        <v>60.55555555555555</v>
      </c>
      <c r="AN170">
        <f t="shared" si="35"/>
        <v>57.777777777777779</v>
      </c>
    </row>
    <row r="171" spans="1:40" x14ac:dyDescent="0.3">
      <c r="A171" t="s">
        <v>489</v>
      </c>
      <c r="B171" t="s">
        <v>490</v>
      </c>
      <c r="C171">
        <v>62</v>
      </c>
      <c r="D171" t="s">
        <v>28</v>
      </c>
      <c r="E171">
        <v>50</v>
      </c>
      <c r="F171" t="s">
        <v>71</v>
      </c>
      <c r="G171">
        <v>65</v>
      </c>
      <c r="H171" t="s">
        <v>28</v>
      </c>
      <c r="I171">
        <f t="shared" si="24"/>
        <v>59</v>
      </c>
      <c r="K171">
        <f t="shared" si="25"/>
        <v>6.5308641975308364</v>
      </c>
      <c r="L171">
        <f t="shared" si="26"/>
        <v>89.197530864197631</v>
      </c>
      <c r="M171">
        <f t="shared" si="27"/>
        <v>30.864197530864136</v>
      </c>
      <c r="N171">
        <v>60</v>
      </c>
      <c r="P171">
        <v>75</v>
      </c>
      <c r="Q171">
        <v>80</v>
      </c>
      <c r="R171">
        <v>40</v>
      </c>
      <c r="S171">
        <v>50</v>
      </c>
      <c r="T171">
        <v>70</v>
      </c>
      <c r="U171">
        <v>60</v>
      </c>
      <c r="V171">
        <v>75</v>
      </c>
      <c r="W171">
        <v>80</v>
      </c>
      <c r="X171">
        <v>20</v>
      </c>
      <c r="Y171">
        <v>30</v>
      </c>
      <c r="Z171">
        <v>40</v>
      </c>
      <c r="AA171">
        <v>65</v>
      </c>
      <c r="AB171">
        <v>70</v>
      </c>
      <c r="AC171">
        <v>80</v>
      </c>
      <c r="AD171">
        <v>40</v>
      </c>
      <c r="AE171">
        <v>60</v>
      </c>
      <c r="AF171">
        <v>75</v>
      </c>
      <c r="AG171">
        <f t="shared" si="28"/>
        <v>61.666666666666664</v>
      </c>
      <c r="AH171">
        <f t="shared" si="29"/>
        <v>73.333333333333329</v>
      </c>
      <c r="AI171">
        <f t="shared" si="30"/>
        <v>80</v>
      </c>
      <c r="AJ171">
        <f t="shared" si="31"/>
        <v>33.333333333333336</v>
      </c>
      <c r="AK171">
        <f t="shared" si="32"/>
        <v>46.666666666666664</v>
      </c>
      <c r="AL171">
        <f t="shared" si="33"/>
        <v>61.666666666666664</v>
      </c>
      <c r="AM171">
        <f t="shared" si="34"/>
        <v>62.777777777777771</v>
      </c>
      <c r="AN171">
        <f t="shared" si="35"/>
        <v>59.44444444444445</v>
      </c>
    </row>
    <row r="172" spans="1:40" x14ac:dyDescent="0.3">
      <c r="A172" t="s">
        <v>489</v>
      </c>
      <c r="B172" t="s">
        <v>490</v>
      </c>
      <c r="C172">
        <v>63</v>
      </c>
      <c r="D172" t="s">
        <v>28</v>
      </c>
      <c r="E172">
        <v>36</v>
      </c>
      <c r="F172" t="s">
        <v>99</v>
      </c>
      <c r="G172">
        <v>62</v>
      </c>
      <c r="H172" t="s">
        <v>28</v>
      </c>
      <c r="I172">
        <f t="shared" si="24"/>
        <v>53.666666666666664</v>
      </c>
      <c r="K172">
        <f t="shared" si="25"/>
        <v>78.027777777777814</v>
      </c>
      <c r="L172">
        <f t="shared" si="26"/>
        <v>330.02777777777771</v>
      </c>
      <c r="M172">
        <f t="shared" si="27"/>
        <v>61.36111111111115</v>
      </c>
      <c r="N172">
        <v>85</v>
      </c>
      <c r="P172">
        <v>70</v>
      </c>
      <c r="Q172">
        <v>80</v>
      </c>
      <c r="R172">
        <v>35</v>
      </c>
      <c r="S172">
        <v>60</v>
      </c>
      <c r="T172">
        <v>50</v>
      </c>
      <c r="U172">
        <v>20</v>
      </c>
      <c r="V172">
        <v>50</v>
      </c>
      <c r="W172">
        <v>50</v>
      </c>
      <c r="X172">
        <v>30</v>
      </c>
      <c r="Y172">
        <v>20</v>
      </c>
      <c r="Z172">
        <v>50</v>
      </c>
      <c r="AA172">
        <v>65</v>
      </c>
      <c r="AB172">
        <v>70</v>
      </c>
      <c r="AC172">
        <v>60</v>
      </c>
      <c r="AD172">
        <v>45</v>
      </c>
      <c r="AE172">
        <v>80</v>
      </c>
      <c r="AF172">
        <v>55</v>
      </c>
      <c r="AG172">
        <f t="shared" si="28"/>
        <v>56.666666666666664</v>
      </c>
      <c r="AH172">
        <f t="shared" si="29"/>
        <v>63.333333333333336</v>
      </c>
      <c r="AI172">
        <f t="shared" si="30"/>
        <v>63.333333333333336</v>
      </c>
      <c r="AJ172">
        <f t="shared" si="31"/>
        <v>36.666666666666664</v>
      </c>
      <c r="AK172">
        <f t="shared" si="32"/>
        <v>53.333333333333336</v>
      </c>
      <c r="AL172">
        <f t="shared" si="33"/>
        <v>51.666666666666664</v>
      </c>
      <c r="AM172">
        <f t="shared" si="34"/>
        <v>57.777777777777779</v>
      </c>
      <c r="AN172">
        <f t="shared" si="35"/>
        <v>54.166666666666664</v>
      </c>
    </row>
    <row r="173" spans="1:40" x14ac:dyDescent="0.3">
      <c r="A173" t="s">
        <v>489</v>
      </c>
      <c r="B173" t="s">
        <v>490</v>
      </c>
      <c r="C173">
        <v>76</v>
      </c>
      <c r="D173" t="s">
        <v>22</v>
      </c>
      <c r="E173">
        <v>65</v>
      </c>
      <c r="F173" t="s">
        <v>28</v>
      </c>
      <c r="G173">
        <v>77</v>
      </c>
      <c r="H173" t="s">
        <v>22</v>
      </c>
      <c r="I173">
        <f t="shared" si="24"/>
        <v>72.666666666666671</v>
      </c>
      <c r="K173">
        <f t="shared" si="25"/>
        <v>8.6697530864197443</v>
      </c>
      <c r="L173">
        <f t="shared" si="26"/>
        <v>64.891975308642003</v>
      </c>
      <c r="M173">
        <f t="shared" si="27"/>
        <v>15.55864197530863</v>
      </c>
      <c r="N173">
        <v>85</v>
      </c>
      <c r="P173">
        <v>75</v>
      </c>
      <c r="Q173">
        <v>60</v>
      </c>
      <c r="R173">
        <v>80</v>
      </c>
      <c r="S173">
        <v>70</v>
      </c>
      <c r="T173">
        <v>90</v>
      </c>
      <c r="U173">
        <v>75</v>
      </c>
      <c r="V173">
        <v>80</v>
      </c>
      <c r="W173">
        <v>70</v>
      </c>
      <c r="X173">
        <v>40</v>
      </c>
      <c r="Y173">
        <v>60</v>
      </c>
      <c r="Z173">
        <v>65</v>
      </c>
      <c r="AA173">
        <v>85</v>
      </c>
      <c r="AB173">
        <v>75</v>
      </c>
      <c r="AC173">
        <v>70</v>
      </c>
      <c r="AD173">
        <v>90</v>
      </c>
      <c r="AE173">
        <v>65</v>
      </c>
      <c r="AF173">
        <v>80</v>
      </c>
      <c r="AG173">
        <f t="shared" si="28"/>
        <v>81.666666666666671</v>
      </c>
      <c r="AH173">
        <f t="shared" si="29"/>
        <v>76.666666666666671</v>
      </c>
      <c r="AI173">
        <f t="shared" si="30"/>
        <v>66.666666666666671</v>
      </c>
      <c r="AJ173">
        <f t="shared" si="31"/>
        <v>70</v>
      </c>
      <c r="AK173">
        <f t="shared" si="32"/>
        <v>65</v>
      </c>
      <c r="AL173">
        <f t="shared" si="33"/>
        <v>78.333333333333329</v>
      </c>
      <c r="AM173">
        <f t="shared" si="34"/>
        <v>71.111111111111114</v>
      </c>
      <c r="AN173">
        <f t="shared" si="35"/>
        <v>73.055555555555557</v>
      </c>
    </row>
    <row r="174" spans="1:40" x14ac:dyDescent="0.3">
      <c r="A174" t="s">
        <v>500</v>
      </c>
      <c r="B174" t="s">
        <v>501</v>
      </c>
      <c r="C174">
        <v>45</v>
      </c>
      <c r="D174" t="s">
        <v>71</v>
      </c>
      <c r="E174">
        <v>60</v>
      </c>
      <c r="F174" t="s">
        <v>28</v>
      </c>
      <c r="G174">
        <v>77</v>
      </c>
      <c r="H174" t="s">
        <v>22</v>
      </c>
      <c r="I174">
        <f t="shared" si="24"/>
        <v>60.666666666666664</v>
      </c>
      <c r="K174">
        <f t="shared" si="25"/>
        <v>250.69444444444451</v>
      </c>
      <c r="L174">
        <f t="shared" si="26"/>
        <v>0.69444444444444842</v>
      </c>
      <c r="M174">
        <f t="shared" si="27"/>
        <v>261.36111111111103</v>
      </c>
      <c r="N174">
        <v>30</v>
      </c>
      <c r="P174">
        <v>50</v>
      </c>
      <c r="Q174">
        <v>60</v>
      </c>
      <c r="R174">
        <v>20</v>
      </c>
      <c r="S174">
        <v>40</v>
      </c>
      <c r="T174">
        <v>70</v>
      </c>
      <c r="U174">
        <v>65</v>
      </c>
      <c r="V174">
        <v>70</v>
      </c>
      <c r="W174">
        <v>80</v>
      </c>
      <c r="X174">
        <v>40</v>
      </c>
      <c r="Y174">
        <v>50</v>
      </c>
      <c r="Z174">
        <v>55</v>
      </c>
      <c r="AA174">
        <v>85</v>
      </c>
      <c r="AB174">
        <v>90</v>
      </c>
      <c r="AC174">
        <v>75</v>
      </c>
      <c r="AD174">
        <v>65</v>
      </c>
      <c r="AE174">
        <v>70</v>
      </c>
      <c r="AF174">
        <v>80</v>
      </c>
      <c r="AG174">
        <f t="shared" si="28"/>
        <v>60</v>
      </c>
      <c r="AH174">
        <f t="shared" si="29"/>
        <v>70</v>
      </c>
      <c r="AI174">
        <f t="shared" si="30"/>
        <v>71.666666666666671</v>
      </c>
      <c r="AJ174">
        <f t="shared" si="31"/>
        <v>41.666666666666664</v>
      </c>
      <c r="AK174">
        <f t="shared" si="32"/>
        <v>53.333333333333336</v>
      </c>
      <c r="AL174">
        <f t="shared" si="33"/>
        <v>68.333333333333329</v>
      </c>
      <c r="AM174">
        <f t="shared" si="34"/>
        <v>61.666666666666679</v>
      </c>
      <c r="AN174">
        <f t="shared" si="35"/>
        <v>60.833333333333336</v>
      </c>
    </row>
    <row r="175" spans="1:40" x14ac:dyDescent="0.3">
      <c r="A175" t="s">
        <v>500</v>
      </c>
      <c r="B175" t="s">
        <v>501</v>
      </c>
      <c r="C175">
        <v>55</v>
      </c>
      <c r="D175" t="s">
        <v>71</v>
      </c>
      <c r="E175">
        <v>76</v>
      </c>
      <c r="F175" t="s">
        <v>22</v>
      </c>
      <c r="G175">
        <v>45</v>
      </c>
      <c r="H175" t="s">
        <v>71</v>
      </c>
      <c r="I175">
        <f t="shared" si="24"/>
        <v>58.666666666666664</v>
      </c>
      <c r="K175">
        <f t="shared" si="25"/>
        <v>17.361111111111093</v>
      </c>
      <c r="L175">
        <f t="shared" si="26"/>
        <v>283.3611111111112</v>
      </c>
      <c r="M175">
        <f t="shared" si="27"/>
        <v>200.69444444444437</v>
      </c>
      <c r="N175">
        <v>60</v>
      </c>
      <c r="P175">
        <v>75</v>
      </c>
      <c r="Q175">
        <v>80</v>
      </c>
      <c r="R175">
        <v>20</v>
      </c>
      <c r="S175">
        <v>40</v>
      </c>
      <c r="T175">
        <v>60</v>
      </c>
      <c r="U175">
        <v>85</v>
      </c>
      <c r="V175">
        <v>90</v>
      </c>
      <c r="W175">
        <v>70</v>
      </c>
      <c r="X175">
        <v>60</v>
      </c>
      <c r="Y175">
        <v>80</v>
      </c>
      <c r="Z175">
        <v>75</v>
      </c>
      <c r="AA175">
        <v>30</v>
      </c>
      <c r="AB175">
        <v>50</v>
      </c>
      <c r="AC175">
        <v>60</v>
      </c>
      <c r="AD175">
        <v>20</v>
      </c>
      <c r="AE175">
        <v>40</v>
      </c>
      <c r="AF175">
        <v>70</v>
      </c>
      <c r="AG175">
        <f t="shared" si="28"/>
        <v>58.333333333333336</v>
      </c>
      <c r="AH175">
        <f t="shared" si="29"/>
        <v>71.666666666666671</v>
      </c>
      <c r="AI175">
        <f t="shared" si="30"/>
        <v>70</v>
      </c>
      <c r="AJ175">
        <f t="shared" si="31"/>
        <v>33.333333333333336</v>
      </c>
      <c r="AK175">
        <f t="shared" si="32"/>
        <v>53.333333333333336</v>
      </c>
      <c r="AL175">
        <f t="shared" si="33"/>
        <v>68.333333333333329</v>
      </c>
      <c r="AM175">
        <f t="shared" si="34"/>
        <v>60.555555555555564</v>
      </c>
      <c r="AN175">
        <f t="shared" si="35"/>
        <v>59.166666666666664</v>
      </c>
    </row>
    <row r="176" spans="1:40" x14ac:dyDescent="0.3">
      <c r="A176" t="s">
        <v>500</v>
      </c>
      <c r="B176" t="s">
        <v>501</v>
      </c>
      <c r="C176">
        <v>75</v>
      </c>
      <c r="D176" t="s">
        <v>22</v>
      </c>
      <c r="E176">
        <v>45</v>
      </c>
      <c r="F176" t="s">
        <v>71</v>
      </c>
      <c r="G176">
        <v>51</v>
      </c>
      <c r="H176" t="s">
        <v>71</v>
      </c>
      <c r="I176">
        <f t="shared" si="24"/>
        <v>57</v>
      </c>
      <c r="K176">
        <f t="shared" si="25"/>
        <v>316.04938271604914</v>
      </c>
      <c r="L176">
        <f t="shared" si="26"/>
        <v>149.38271604938288</v>
      </c>
      <c r="M176">
        <f t="shared" si="27"/>
        <v>38.716049382716129</v>
      </c>
      <c r="N176">
        <v>75</v>
      </c>
      <c r="P176">
        <v>75</v>
      </c>
      <c r="Q176">
        <v>75</v>
      </c>
      <c r="R176">
        <v>75</v>
      </c>
      <c r="S176">
        <v>75</v>
      </c>
      <c r="T176">
        <v>75</v>
      </c>
      <c r="U176">
        <v>50</v>
      </c>
      <c r="V176">
        <v>60</v>
      </c>
      <c r="W176">
        <v>70</v>
      </c>
      <c r="X176">
        <v>20</v>
      </c>
      <c r="Y176">
        <v>40</v>
      </c>
      <c r="Z176">
        <v>30</v>
      </c>
      <c r="AA176">
        <v>65</v>
      </c>
      <c r="AB176">
        <v>70</v>
      </c>
      <c r="AC176">
        <v>80</v>
      </c>
      <c r="AD176">
        <v>20</v>
      </c>
      <c r="AE176">
        <v>40</v>
      </c>
      <c r="AF176">
        <v>35</v>
      </c>
      <c r="AG176">
        <f t="shared" si="28"/>
        <v>63.333333333333336</v>
      </c>
      <c r="AH176">
        <f t="shared" si="29"/>
        <v>68.333333333333329</v>
      </c>
      <c r="AI176">
        <f t="shared" si="30"/>
        <v>75</v>
      </c>
      <c r="AJ176">
        <f t="shared" si="31"/>
        <v>38.333333333333336</v>
      </c>
      <c r="AK176">
        <f t="shared" si="32"/>
        <v>51.666666666666664</v>
      </c>
      <c r="AL176">
        <f t="shared" si="33"/>
        <v>46.666666666666664</v>
      </c>
      <c r="AM176">
        <f t="shared" si="34"/>
        <v>63.333333333333336</v>
      </c>
      <c r="AN176">
        <f t="shared" si="35"/>
        <v>57.222222222222229</v>
      </c>
    </row>
    <row r="177" spans="1:40" x14ac:dyDescent="0.3">
      <c r="A177" t="s">
        <v>500</v>
      </c>
      <c r="B177" t="s">
        <v>501</v>
      </c>
      <c r="C177">
        <v>46</v>
      </c>
      <c r="D177" t="s">
        <v>71</v>
      </c>
      <c r="E177">
        <v>75</v>
      </c>
      <c r="F177" t="s">
        <v>22</v>
      </c>
      <c r="G177">
        <v>76</v>
      </c>
      <c r="H177" t="s">
        <v>22</v>
      </c>
      <c r="I177">
        <f t="shared" si="24"/>
        <v>65.666666666666671</v>
      </c>
      <c r="K177">
        <f t="shared" si="25"/>
        <v>404.45679012345693</v>
      </c>
      <c r="L177">
        <f t="shared" si="26"/>
        <v>79.012345679012284</v>
      </c>
      <c r="M177">
        <f t="shared" si="27"/>
        <v>97.790123456790056</v>
      </c>
      <c r="N177">
        <v>30</v>
      </c>
      <c r="P177">
        <v>50</v>
      </c>
      <c r="Q177">
        <v>60</v>
      </c>
      <c r="R177">
        <v>20</v>
      </c>
      <c r="S177">
        <v>40</v>
      </c>
      <c r="T177">
        <v>80</v>
      </c>
      <c r="U177">
        <v>85</v>
      </c>
      <c r="V177">
        <v>75</v>
      </c>
      <c r="W177">
        <v>70</v>
      </c>
      <c r="X177">
        <v>80</v>
      </c>
      <c r="Y177">
        <v>80</v>
      </c>
      <c r="Z177">
        <v>60</v>
      </c>
      <c r="AA177">
        <v>85</v>
      </c>
      <c r="AB177">
        <v>75</v>
      </c>
      <c r="AC177">
        <v>60</v>
      </c>
      <c r="AD177">
        <v>90</v>
      </c>
      <c r="AE177">
        <v>80</v>
      </c>
      <c r="AF177">
        <v>70</v>
      </c>
      <c r="AG177">
        <f t="shared" si="28"/>
        <v>66.666666666666671</v>
      </c>
      <c r="AH177">
        <f t="shared" si="29"/>
        <v>66.666666666666671</v>
      </c>
      <c r="AI177">
        <f t="shared" si="30"/>
        <v>63.333333333333336</v>
      </c>
      <c r="AJ177">
        <f t="shared" si="31"/>
        <v>63.333333333333336</v>
      </c>
      <c r="AK177">
        <f t="shared" si="32"/>
        <v>66.666666666666671</v>
      </c>
      <c r="AL177">
        <f t="shared" si="33"/>
        <v>70</v>
      </c>
      <c r="AM177">
        <f t="shared" si="34"/>
        <v>65.555555555555557</v>
      </c>
      <c r="AN177">
        <f t="shared" si="35"/>
        <v>66.111111111111114</v>
      </c>
    </row>
    <row r="178" spans="1:40" x14ac:dyDescent="0.3">
      <c r="A178" t="s">
        <v>511</v>
      </c>
      <c r="B178" t="s">
        <v>512</v>
      </c>
      <c r="C178">
        <v>51</v>
      </c>
      <c r="D178" t="s">
        <v>71</v>
      </c>
      <c r="E178">
        <v>45</v>
      </c>
      <c r="F178" t="s">
        <v>71</v>
      </c>
      <c r="G178">
        <v>55</v>
      </c>
      <c r="H178" t="s">
        <v>71</v>
      </c>
      <c r="I178">
        <f t="shared" si="24"/>
        <v>50.333333333333336</v>
      </c>
      <c r="K178">
        <f t="shared" si="25"/>
        <v>2.7777777777776989E-2</v>
      </c>
      <c r="L178">
        <f t="shared" si="26"/>
        <v>34.027777777777807</v>
      </c>
      <c r="M178">
        <f t="shared" si="27"/>
        <v>17.361111111111093</v>
      </c>
      <c r="N178">
        <v>75</v>
      </c>
      <c r="P178">
        <v>80</v>
      </c>
      <c r="Q178">
        <v>65</v>
      </c>
      <c r="R178">
        <v>20</v>
      </c>
      <c r="S178">
        <v>40</v>
      </c>
      <c r="T178">
        <v>30</v>
      </c>
      <c r="U178">
        <v>35</v>
      </c>
      <c r="V178">
        <v>40</v>
      </c>
      <c r="W178">
        <v>60</v>
      </c>
      <c r="X178">
        <v>20</v>
      </c>
      <c r="Y178">
        <v>70</v>
      </c>
      <c r="Z178">
        <v>50</v>
      </c>
      <c r="AA178">
        <v>20</v>
      </c>
      <c r="AB178">
        <v>70</v>
      </c>
      <c r="AC178">
        <v>80</v>
      </c>
      <c r="AD178">
        <v>50</v>
      </c>
      <c r="AE178">
        <v>40</v>
      </c>
      <c r="AF178">
        <v>70</v>
      </c>
      <c r="AG178">
        <f t="shared" si="28"/>
        <v>43.333333333333336</v>
      </c>
      <c r="AH178">
        <f t="shared" si="29"/>
        <v>63.333333333333336</v>
      </c>
      <c r="AI178">
        <f t="shared" si="30"/>
        <v>68.333333333333329</v>
      </c>
      <c r="AJ178">
        <f t="shared" si="31"/>
        <v>30</v>
      </c>
      <c r="AK178">
        <f t="shared" si="32"/>
        <v>50</v>
      </c>
      <c r="AL178">
        <f t="shared" si="33"/>
        <v>50</v>
      </c>
      <c r="AM178">
        <f t="shared" si="34"/>
        <v>53.888888888888886</v>
      </c>
      <c r="AN178">
        <f t="shared" si="35"/>
        <v>50.833333333333336</v>
      </c>
    </row>
    <row r="179" spans="1:40" x14ac:dyDescent="0.3">
      <c r="A179" t="s">
        <v>511</v>
      </c>
      <c r="B179" t="s">
        <v>512</v>
      </c>
      <c r="C179">
        <v>65</v>
      </c>
      <c r="D179" t="s">
        <v>28</v>
      </c>
      <c r="E179">
        <v>65</v>
      </c>
      <c r="F179" t="s">
        <v>28</v>
      </c>
      <c r="G179">
        <v>45</v>
      </c>
      <c r="H179" t="s">
        <v>71</v>
      </c>
      <c r="I179">
        <f t="shared" si="24"/>
        <v>58.333333333333336</v>
      </c>
      <c r="K179">
        <f t="shared" si="25"/>
        <v>37.34567901234572</v>
      </c>
      <c r="L179">
        <f t="shared" si="26"/>
        <v>37.34567901234572</v>
      </c>
      <c r="M179">
        <f t="shared" si="27"/>
        <v>192.90123456790116</v>
      </c>
      <c r="N179">
        <v>65</v>
      </c>
      <c r="P179">
        <v>70</v>
      </c>
      <c r="Q179">
        <v>72</v>
      </c>
      <c r="R179">
        <v>50</v>
      </c>
      <c r="S179">
        <v>78</v>
      </c>
      <c r="T179">
        <v>60</v>
      </c>
      <c r="U179">
        <v>50</v>
      </c>
      <c r="V179">
        <v>75</v>
      </c>
      <c r="W179">
        <v>80</v>
      </c>
      <c r="X179">
        <v>50</v>
      </c>
      <c r="Y179">
        <v>60</v>
      </c>
      <c r="Z179">
        <v>80</v>
      </c>
      <c r="AA179">
        <v>50</v>
      </c>
      <c r="AB179">
        <v>60</v>
      </c>
      <c r="AC179">
        <v>70</v>
      </c>
      <c r="AD179">
        <v>20</v>
      </c>
      <c r="AE179">
        <v>30</v>
      </c>
      <c r="AF179">
        <v>40</v>
      </c>
      <c r="AG179">
        <f t="shared" si="28"/>
        <v>55</v>
      </c>
      <c r="AH179">
        <f t="shared" si="29"/>
        <v>68.333333333333329</v>
      </c>
      <c r="AI179">
        <f t="shared" si="30"/>
        <v>74</v>
      </c>
      <c r="AJ179">
        <f t="shared" si="31"/>
        <v>40</v>
      </c>
      <c r="AK179">
        <f t="shared" si="32"/>
        <v>56</v>
      </c>
      <c r="AL179">
        <f t="shared" si="33"/>
        <v>60</v>
      </c>
      <c r="AM179">
        <f t="shared" si="34"/>
        <v>61.666666666666664</v>
      </c>
      <c r="AN179">
        <f t="shared" si="35"/>
        <v>58.888888888888886</v>
      </c>
    </row>
    <row r="180" spans="1:40" x14ac:dyDescent="0.3">
      <c r="A180" t="s">
        <v>511</v>
      </c>
      <c r="B180" t="s">
        <v>512</v>
      </c>
      <c r="C180">
        <v>45</v>
      </c>
      <c r="D180" t="s">
        <v>71</v>
      </c>
      <c r="E180">
        <v>65</v>
      </c>
      <c r="F180" t="s">
        <v>28</v>
      </c>
      <c r="G180">
        <v>55</v>
      </c>
      <c r="H180" t="s">
        <v>71</v>
      </c>
      <c r="I180">
        <f t="shared" si="24"/>
        <v>55</v>
      </c>
      <c r="K180">
        <f t="shared" si="25"/>
        <v>111.41975308641963</v>
      </c>
      <c r="L180">
        <f t="shared" si="26"/>
        <v>89.197530864197631</v>
      </c>
      <c r="M180">
        <f t="shared" si="27"/>
        <v>0.30864197530863585</v>
      </c>
      <c r="N180">
        <v>30</v>
      </c>
      <c r="P180">
        <v>45</v>
      </c>
      <c r="Q180">
        <v>60</v>
      </c>
      <c r="R180">
        <v>20</v>
      </c>
      <c r="S180">
        <v>50</v>
      </c>
      <c r="T180">
        <v>70</v>
      </c>
      <c r="U180">
        <v>65</v>
      </c>
      <c r="V180">
        <v>70</v>
      </c>
      <c r="W180">
        <v>80</v>
      </c>
      <c r="X180">
        <v>40</v>
      </c>
      <c r="Y180">
        <v>75</v>
      </c>
      <c r="Z180">
        <v>60</v>
      </c>
      <c r="AA180">
        <v>65</v>
      </c>
      <c r="AB180">
        <v>70</v>
      </c>
      <c r="AC180">
        <v>70</v>
      </c>
      <c r="AD180">
        <v>30</v>
      </c>
      <c r="AE180">
        <v>40</v>
      </c>
      <c r="AF180">
        <v>60</v>
      </c>
      <c r="AG180">
        <f t="shared" si="28"/>
        <v>53.333333333333336</v>
      </c>
      <c r="AH180">
        <f t="shared" si="29"/>
        <v>61.666666666666664</v>
      </c>
      <c r="AI180">
        <f t="shared" si="30"/>
        <v>70</v>
      </c>
      <c r="AJ180">
        <f t="shared" si="31"/>
        <v>30</v>
      </c>
      <c r="AK180">
        <f t="shared" si="32"/>
        <v>55</v>
      </c>
      <c r="AL180">
        <f t="shared" si="33"/>
        <v>63.333333333333336</v>
      </c>
      <c r="AM180">
        <f t="shared" si="34"/>
        <v>59.44444444444445</v>
      </c>
      <c r="AN180">
        <f t="shared" si="35"/>
        <v>55.55555555555555</v>
      </c>
    </row>
    <row r="181" spans="1:40" x14ac:dyDescent="0.3">
      <c r="A181" t="s">
        <v>511</v>
      </c>
      <c r="B181" t="s">
        <v>512</v>
      </c>
      <c r="C181">
        <v>20</v>
      </c>
      <c r="D181" t="s">
        <v>99</v>
      </c>
      <c r="E181">
        <v>45</v>
      </c>
      <c r="F181" t="s">
        <v>71</v>
      </c>
      <c r="G181">
        <v>35</v>
      </c>
      <c r="H181" t="s">
        <v>99</v>
      </c>
      <c r="I181">
        <f t="shared" si="24"/>
        <v>33.333333333333336</v>
      </c>
      <c r="K181">
        <f t="shared" si="25"/>
        <v>185.26234567901224</v>
      </c>
      <c r="L181">
        <f t="shared" si="26"/>
        <v>129.70679012345687</v>
      </c>
      <c r="M181">
        <f t="shared" si="27"/>
        <v>1.9290123456790234</v>
      </c>
      <c r="N181">
        <v>25</v>
      </c>
      <c r="P181">
        <v>40</v>
      </c>
      <c r="Q181">
        <v>30</v>
      </c>
      <c r="R181">
        <v>10</v>
      </c>
      <c r="S181">
        <v>5</v>
      </c>
      <c r="T181">
        <v>10</v>
      </c>
      <c r="U181">
        <v>35</v>
      </c>
      <c r="V181">
        <v>60</v>
      </c>
      <c r="W181">
        <v>70</v>
      </c>
      <c r="X181">
        <v>20</v>
      </c>
      <c r="Y181">
        <v>40</v>
      </c>
      <c r="Z181">
        <v>50</v>
      </c>
      <c r="AA181">
        <v>20</v>
      </c>
      <c r="AB181">
        <v>40</v>
      </c>
      <c r="AC181">
        <v>60</v>
      </c>
      <c r="AD181">
        <v>10</v>
      </c>
      <c r="AE181">
        <v>30</v>
      </c>
      <c r="AF181">
        <v>50</v>
      </c>
      <c r="AG181">
        <f t="shared" si="28"/>
        <v>26.666666666666668</v>
      </c>
      <c r="AH181">
        <f t="shared" si="29"/>
        <v>46.666666666666664</v>
      </c>
      <c r="AI181">
        <f t="shared" si="30"/>
        <v>53.333333333333336</v>
      </c>
      <c r="AJ181">
        <f t="shared" si="31"/>
        <v>13.333333333333334</v>
      </c>
      <c r="AK181">
        <f t="shared" si="32"/>
        <v>25</v>
      </c>
      <c r="AL181">
        <f t="shared" si="33"/>
        <v>36.666666666666664</v>
      </c>
      <c r="AM181">
        <f t="shared" si="34"/>
        <v>35</v>
      </c>
      <c r="AN181">
        <f t="shared" si="35"/>
        <v>33.611111111111107</v>
      </c>
    </row>
    <row r="182" spans="1:40" x14ac:dyDescent="0.3">
      <c r="A182" t="s">
        <v>524</v>
      </c>
      <c r="B182" t="s">
        <v>525</v>
      </c>
      <c r="C182">
        <v>76</v>
      </c>
      <c r="D182" t="s">
        <v>22</v>
      </c>
      <c r="E182">
        <v>75</v>
      </c>
      <c r="F182" t="s">
        <v>22</v>
      </c>
      <c r="G182">
        <v>75</v>
      </c>
      <c r="H182" t="s">
        <v>22</v>
      </c>
      <c r="I182">
        <f t="shared" si="24"/>
        <v>75.333333333333329</v>
      </c>
      <c r="K182">
        <f t="shared" si="25"/>
        <v>0.19753086419752947</v>
      </c>
      <c r="L182">
        <f t="shared" si="26"/>
        <v>0.30864197530864373</v>
      </c>
      <c r="M182">
        <f t="shared" si="27"/>
        <v>0.30864197530864373</v>
      </c>
      <c r="N182">
        <v>75</v>
      </c>
      <c r="P182">
        <v>75</v>
      </c>
      <c r="Q182">
        <v>75</v>
      </c>
      <c r="R182">
        <v>85</v>
      </c>
      <c r="S182">
        <v>75</v>
      </c>
      <c r="T182">
        <v>75</v>
      </c>
      <c r="U182">
        <v>75</v>
      </c>
      <c r="V182">
        <v>75</v>
      </c>
      <c r="W182">
        <v>75</v>
      </c>
      <c r="X182">
        <v>75</v>
      </c>
      <c r="Y182">
        <v>75</v>
      </c>
      <c r="Z182">
        <v>75</v>
      </c>
      <c r="AA182">
        <v>75</v>
      </c>
      <c r="AB182">
        <v>75</v>
      </c>
      <c r="AC182">
        <v>75</v>
      </c>
      <c r="AD182">
        <v>75</v>
      </c>
      <c r="AE182">
        <v>75</v>
      </c>
      <c r="AF182">
        <v>75</v>
      </c>
      <c r="AG182">
        <f t="shared" si="28"/>
        <v>75</v>
      </c>
      <c r="AH182">
        <f t="shared" si="29"/>
        <v>75</v>
      </c>
      <c r="AI182">
        <f t="shared" si="30"/>
        <v>75</v>
      </c>
      <c r="AJ182">
        <f t="shared" si="31"/>
        <v>78.333333333333329</v>
      </c>
      <c r="AK182">
        <f t="shared" si="32"/>
        <v>75</v>
      </c>
      <c r="AL182">
        <f t="shared" si="33"/>
        <v>75</v>
      </c>
      <c r="AM182">
        <f t="shared" si="34"/>
        <v>75</v>
      </c>
      <c r="AN182">
        <f t="shared" si="35"/>
        <v>75.555555555555557</v>
      </c>
    </row>
    <row r="183" spans="1:40" x14ac:dyDescent="0.3">
      <c r="A183" t="s">
        <v>524</v>
      </c>
      <c r="B183" t="s">
        <v>525</v>
      </c>
      <c r="C183">
        <v>72</v>
      </c>
      <c r="D183" t="s">
        <v>28</v>
      </c>
      <c r="E183">
        <v>80</v>
      </c>
      <c r="F183" t="s">
        <v>22</v>
      </c>
      <c r="G183">
        <v>76</v>
      </c>
      <c r="H183" t="s">
        <v>22</v>
      </c>
      <c r="I183">
        <f t="shared" si="24"/>
        <v>76</v>
      </c>
      <c r="K183">
        <f t="shared" si="25"/>
        <v>19.262345679012316</v>
      </c>
      <c r="L183">
        <f t="shared" si="26"/>
        <v>13.040123456790147</v>
      </c>
      <c r="M183">
        <f t="shared" si="27"/>
        <v>0.1512345679012321</v>
      </c>
      <c r="N183">
        <v>80</v>
      </c>
      <c r="P183">
        <v>70</v>
      </c>
      <c r="Q183">
        <v>65</v>
      </c>
      <c r="R183">
        <v>75</v>
      </c>
      <c r="S183">
        <v>60</v>
      </c>
      <c r="T183">
        <v>85</v>
      </c>
      <c r="U183">
        <v>85</v>
      </c>
      <c r="V183">
        <v>90</v>
      </c>
      <c r="W183">
        <v>70</v>
      </c>
      <c r="X183">
        <v>60</v>
      </c>
      <c r="Y183">
        <v>80</v>
      </c>
      <c r="Z183">
        <v>95</v>
      </c>
      <c r="AA183">
        <v>85</v>
      </c>
      <c r="AB183">
        <v>75</v>
      </c>
      <c r="AC183">
        <v>80</v>
      </c>
      <c r="AD183">
        <v>60</v>
      </c>
      <c r="AE183">
        <v>90</v>
      </c>
      <c r="AF183">
        <v>70</v>
      </c>
      <c r="AG183">
        <f t="shared" si="28"/>
        <v>83.333333333333329</v>
      </c>
      <c r="AH183">
        <f t="shared" si="29"/>
        <v>78.333333333333329</v>
      </c>
      <c r="AI183">
        <f t="shared" si="30"/>
        <v>71.666666666666671</v>
      </c>
      <c r="AJ183">
        <f t="shared" si="31"/>
        <v>65</v>
      </c>
      <c r="AK183">
        <f t="shared" si="32"/>
        <v>76.666666666666671</v>
      </c>
      <c r="AL183">
        <f t="shared" si="33"/>
        <v>83.333333333333329</v>
      </c>
      <c r="AM183">
        <f t="shared" si="34"/>
        <v>77.222222222222229</v>
      </c>
      <c r="AN183">
        <f t="shared" si="35"/>
        <v>76.388888888888886</v>
      </c>
    </row>
    <row r="184" spans="1:40" x14ac:dyDescent="0.3">
      <c r="A184" t="s">
        <v>524</v>
      </c>
      <c r="B184" t="s">
        <v>525</v>
      </c>
      <c r="C184">
        <v>83</v>
      </c>
      <c r="D184" t="s">
        <v>22</v>
      </c>
      <c r="E184">
        <v>63</v>
      </c>
      <c r="F184" t="s">
        <v>28</v>
      </c>
      <c r="G184">
        <v>77</v>
      </c>
      <c r="H184" t="s">
        <v>22</v>
      </c>
      <c r="I184">
        <f t="shared" si="24"/>
        <v>74.333333333333329</v>
      </c>
      <c r="K184">
        <f t="shared" si="25"/>
        <v>68.521604938271736</v>
      </c>
      <c r="L184">
        <f t="shared" si="26"/>
        <v>137.41049382716031</v>
      </c>
      <c r="M184">
        <f t="shared" si="27"/>
        <v>5.1882716049383077</v>
      </c>
      <c r="N184">
        <v>95</v>
      </c>
      <c r="P184">
        <v>80</v>
      </c>
      <c r="Q184">
        <v>75</v>
      </c>
      <c r="R184">
        <v>90</v>
      </c>
      <c r="S184">
        <v>70</v>
      </c>
      <c r="T184">
        <v>90</v>
      </c>
      <c r="U184">
        <v>85</v>
      </c>
      <c r="V184">
        <v>70</v>
      </c>
      <c r="W184">
        <v>65</v>
      </c>
      <c r="X184">
        <v>30</v>
      </c>
      <c r="Y184">
        <v>70</v>
      </c>
      <c r="Z184">
        <v>60</v>
      </c>
      <c r="AA184">
        <v>85</v>
      </c>
      <c r="AB184">
        <v>90</v>
      </c>
      <c r="AC184">
        <v>70</v>
      </c>
      <c r="AD184">
        <v>60</v>
      </c>
      <c r="AE184">
        <v>80</v>
      </c>
      <c r="AF184">
        <v>80</v>
      </c>
      <c r="AG184">
        <f t="shared" si="28"/>
        <v>88.333333333333329</v>
      </c>
      <c r="AH184">
        <f t="shared" si="29"/>
        <v>80</v>
      </c>
      <c r="AI184">
        <f t="shared" si="30"/>
        <v>70</v>
      </c>
      <c r="AJ184">
        <f t="shared" si="31"/>
        <v>60</v>
      </c>
      <c r="AK184">
        <f t="shared" si="32"/>
        <v>73.333333333333329</v>
      </c>
      <c r="AL184">
        <f t="shared" si="33"/>
        <v>76.666666666666671</v>
      </c>
      <c r="AM184">
        <f t="shared" si="34"/>
        <v>77.222222222222214</v>
      </c>
      <c r="AN184">
        <f t="shared" si="35"/>
        <v>74.722222222222214</v>
      </c>
    </row>
    <row r="185" spans="1:40" x14ac:dyDescent="0.3">
      <c r="A185" t="s">
        <v>524</v>
      </c>
      <c r="B185" t="s">
        <v>525</v>
      </c>
      <c r="C185">
        <v>75</v>
      </c>
      <c r="D185" t="s">
        <v>22</v>
      </c>
      <c r="E185">
        <v>80</v>
      </c>
      <c r="F185" t="s">
        <v>22</v>
      </c>
      <c r="G185">
        <v>77</v>
      </c>
      <c r="H185" t="s">
        <v>22</v>
      </c>
      <c r="I185">
        <f t="shared" si="24"/>
        <v>77.333333333333329</v>
      </c>
      <c r="K185">
        <f t="shared" si="25"/>
        <v>7.7160493827160934</v>
      </c>
      <c r="L185">
        <f t="shared" si="26"/>
        <v>4.9382716049382367</v>
      </c>
      <c r="M185">
        <f t="shared" si="27"/>
        <v>0.60493827160495051</v>
      </c>
      <c r="N185">
        <v>75</v>
      </c>
      <c r="P185">
        <v>75</v>
      </c>
      <c r="Q185">
        <v>75</v>
      </c>
      <c r="R185">
        <v>80</v>
      </c>
      <c r="S185">
        <v>75</v>
      </c>
      <c r="T185">
        <v>75</v>
      </c>
      <c r="U185">
        <v>85</v>
      </c>
      <c r="V185">
        <v>90</v>
      </c>
      <c r="W185">
        <v>75</v>
      </c>
      <c r="X185">
        <v>60</v>
      </c>
      <c r="Y185">
        <v>80</v>
      </c>
      <c r="Z185">
        <v>90</v>
      </c>
      <c r="AA185">
        <v>75</v>
      </c>
      <c r="AB185">
        <v>75</v>
      </c>
      <c r="AC185">
        <v>75</v>
      </c>
      <c r="AD185">
        <v>90</v>
      </c>
      <c r="AE185">
        <v>75</v>
      </c>
      <c r="AF185">
        <v>75</v>
      </c>
      <c r="AG185">
        <f t="shared" si="28"/>
        <v>78.333333333333329</v>
      </c>
      <c r="AH185">
        <f t="shared" si="29"/>
        <v>80</v>
      </c>
      <c r="AI185">
        <f t="shared" si="30"/>
        <v>75</v>
      </c>
      <c r="AJ185">
        <f t="shared" si="31"/>
        <v>76.666666666666671</v>
      </c>
      <c r="AK185">
        <f t="shared" si="32"/>
        <v>76.666666666666671</v>
      </c>
      <c r="AL185">
        <f t="shared" si="33"/>
        <v>80</v>
      </c>
      <c r="AM185">
        <f t="shared" si="34"/>
        <v>76.666666666666671</v>
      </c>
      <c r="AN185">
        <f t="shared" si="35"/>
        <v>77.777777777777786</v>
      </c>
    </row>
    <row r="186" spans="1:40" x14ac:dyDescent="0.3">
      <c r="A186" t="s">
        <v>536</v>
      </c>
      <c r="B186" t="s">
        <v>537</v>
      </c>
      <c r="C186">
        <v>75</v>
      </c>
      <c r="D186" t="s">
        <v>22</v>
      </c>
      <c r="E186">
        <v>76</v>
      </c>
      <c r="F186" t="s">
        <v>22</v>
      </c>
      <c r="G186">
        <v>76</v>
      </c>
      <c r="H186" t="s">
        <v>22</v>
      </c>
      <c r="I186">
        <f t="shared" si="24"/>
        <v>75.666666666666671</v>
      </c>
      <c r="K186">
        <f t="shared" si="25"/>
        <v>1.2345679012345749</v>
      </c>
      <c r="L186">
        <f t="shared" si="26"/>
        <v>1.2345679012346381E-2</v>
      </c>
      <c r="M186">
        <f t="shared" si="27"/>
        <v>1.2345679012346381E-2</v>
      </c>
      <c r="N186">
        <v>75</v>
      </c>
      <c r="P186">
        <v>75</v>
      </c>
      <c r="Q186">
        <v>75</v>
      </c>
      <c r="R186">
        <v>75</v>
      </c>
      <c r="S186">
        <v>75</v>
      </c>
      <c r="T186">
        <v>75</v>
      </c>
      <c r="U186">
        <v>85</v>
      </c>
      <c r="V186">
        <v>90</v>
      </c>
      <c r="W186">
        <v>75</v>
      </c>
      <c r="X186">
        <v>60</v>
      </c>
      <c r="Y186">
        <v>80</v>
      </c>
      <c r="Z186">
        <v>70</v>
      </c>
      <c r="AA186">
        <v>85</v>
      </c>
      <c r="AB186">
        <v>70</v>
      </c>
      <c r="AC186">
        <v>65</v>
      </c>
      <c r="AD186">
        <v>80</v>
      </c>
      <c r="AE186">
        <v>70</v>
      </c>
      <c r="AF186">
        <v>90</v>
      </c>
      <c r="AG186">
        <f t="shared" si="28"/>
        <v>81.666666666666671</v>
      </c>
      <c r="AH186">
        <f t="shared" si="29"/>
        <v>78.333333333333329</v>
      </c>
      <c r="AI186">
        <f t="shared" si="30"/>
        <v>71.666666666666671</v>
      </c>
      <c r="AJ186">
        <f t="shared" si="31"/>
        <v>71.666666666666671</v>
      </c>
      <c r="AK186">
        <f t="shared" si="32"/>
        <v>75</v>
      </c>
      <c r="AL186">
        <f t="shared" si="33"/>
        <v>78.333333333333329</v>
      </c>
      <c r="AM186">
        <f t="shared" si="34"/>
        <v>76.111111111111114</v>
      </c>
      <c r="AN186">
        <f t="shared" si="35"/>
        <v>76.111111111111114</v>
      </c>
    </row>
    <row r="187" spans="1:40" x14ac:dyDescent="0.3">
      <c r="A187" t="s">
        <v>536</v>
      </c>
      <c r="B187" t="s">
        <v>537</v>
      </c>
      <c r="C187">
        <v>54</v>
      </c>
      <c r="D187" t="s">
        <v>71</v>
      </c>
      <c r="E187">
        <v>32</v>
      </c>
      <c r="F187" t="s">
        <v>99</v>
      </c>
      <c r="G187">
        <v>28</v>
      </c>
      <c r="H187" t="s">
        <v>99</v>
      </c>
      <c r="I187">
        <f t="shared" si="24"/>
        <v>38</v>
      </c>
      <c r="K187">
        <f t="shared" si="25"/>
        <v>245.44444444444437</v>
      </c>
      <c r="L187">
        <f t="shared" si="26"/>
        <v>40.111111111111143</v>
      </c>
      <c r="M187">
        <f t="shared" si="27"/>
        <v>106.77777777777783</v>
      </c>
      <c r="N187">
        <v>65</v>
      </c>
      <c r="P187">
        <v>70</v>
      </c>
      <c r="Q187">
        <v>80</v>
      </c>
      <c r="R187">
        <v>40</v>
      </c>
      <c r="S187">
        <v>50</v>
      </c>
      <c r="T187">
        <v>20</v>
      </c>
      <c r="U187">
        <v>20</v>
      </c>
      <c r="V187">
        <v>45</v>
      </c>
      <c r="W187">
        <v>60</v>
      </c>
      <c r="X187">
        <v>25</v>
      </c>
      <c r="Y187">
        <v>30</v>
      </c>
      <c r="Z187">
        <v>15</v>
      </c>
      <c r="AA187">
        <v>40</v>
      </c>
      <c r="AB187">
        <v>50</v>
      </c>
      <c r="AC187">
        <v>40</v>
      </c>
      <c r="AD187">
        <v>10</v>
      </c>
      <c r="AE187">
        <v>20</v>
      </c>
      <c r="AF187">
        <v>10</v>
      </c>
      <c r="AG187">
        <f t="shared" si="28"/>
        <v>41.666666666666664</v>
      </c>
      <c r="AH187">
        <f t="shared" si="29"/>
        <v>55</v>
      </c>
      <c r="AI187">
        <f t="shared" si="30"/>
        <v>60</v>
      </c>
      <c r="AJ187">
        <f t="shared" si="31"/>
        <v>25</v>
      </c>
      <c r="AK187">
        <f t="shared" si="32"/>
        <v>33.333333333333336</v>
      </c>
      <c r="AL187">
        <f t="shared" si="33"/>
        <v>15</v>
      </c>
      <c r="AM187">
        <f t="shared" si="34"/>
        <v>45</v>
      </c>
      <c r="AN187">
        <f t="shared" si="35"/>
        <v>38.333333333333336</v>
      </c>
    </row>
    <row r="188" spans="1:40" x14ac:dyDescent="0.3">
      <c r="A188" t="s">
        <v>536</v>
      </c>
      <c r="B188" t="s">
        <v>537</v>
      </c>
      <c r="C188">
        <v>75</v>
      </c>
      <c r="D188" t="s">
        <v>22</v>
      </c>
      <c r="E188">
        <v>75</v>
      </c>
      <c r="F188" t="s">
        <v>22</v>
      </c>
      <c r="G188">
        <v>78</v>
      </c>
      <c r="H188" t="s">
        <v>22</v>
      </c>
      <c r="I188">
        <f t="shared" si="24"/>
        <v>76</v>
      </c>
      <c r="K188">
        <f t="shared" si="25"/>
        <v>1.9290123456790036</v>
      </c>
      <c r="L188">
        <f t="shared" si="26"/>
        <v>1.9290123456790036</v>
      </c>
      <c r="M188">
        <f t="shared" si="27"/>
        <v>2.595679012345689</v>
      </c>
      <c r="N188">
        <v>75</v>
      </c>
      <c r="P188">
        <v>75</v>
      </c>
      <c r="Q188">
        <v>75</v>
      </c>
      <c r="R188">
        <v>75</v>
      </c>
      <c r="S188">
        <v>75</v>
      </c>
      <c r="T188">
        <v>75</v>
      </c>
      <c r="U188">
        <v>75</v>
      </c>
      <c r="V188">
        <v>75</v>
      </c>
      <c r="W188">
        <v>75</v>
      </c>
      <c r="X188">
        <v>80</v>
      </c>
      <c r="Y188">
        <v>75</v>
      </c>
      <c r="Z188">
        <v>75</v>
      </c>
      <c r="AA188">
        <v>75</v>
      </c>
      <c r="AB188">
        <v>80</v>
      </c>
      <c r="AC188">
        <v>80</v>
      </c>
      <c r="AD188">
        <v>95</v>
      </c>
      <c r="AE188">
        <v>70</v>
      </c>
      <c r="AF188">
        <v>70</v>
      </c>
      <c r="AG188">
        <f t="shared" si="28"/>
        <v>75</v>
      </c>
      <c r="AH188">
        <f t="shared" si="29"/>
        <v>76.666666666666671</v>
      </c>
      <c r="AI188">
        <f t="shared" si="30"/>
        <v>76.666666666666671</v>
      </c>
      <c r="AJ188">
        <f t="shared" si="31"/>
        <v>83.333333333333329</v>
      </c>
      <c r="AK188">
        <f t="shared" si="32"/>
        <v>73.333333333333329</v>
      </c>
      <c r="AL188">
        <f t="shared" si="33"/>
        <v>73.333333333333329</v>
      </c>
      <c r="AM188">
        <f t="shared" si="34"/>
        <v>75</v>
      </c>
      <c r="AN188">
        <f t="shared" si="35"/>
        <v>76.388888888888886</v>
      </c>
    </row>
    <row r="189" spans="1:40" x14ac:dyDescent="0.3">
      <c r="A189" t="s">
        <v>536</v>
      </c>
      <c r="B189" t="s">
        <v>537</v>
      </c>
      <c r="C189">
        <v>80</v>
      </c>
      <c r="D189" t="s">
        <v>22</v>
      </c>
      <c r="E189">
        <v>68</v>
      </c>
      <c r="F189" t="s">
        <v>28</v>
      </c>
      <c r="G189">
        <v>76</v>
      </c>
      <c r="H189" t="s">
        <v>22</v>
      </c>
      <c r="I189">
        <f t="shared" si="24"/>
        <v>74.666666666666671</v>
      </c>
      <c r="K189">
        <f t="shared" si="25"/>
        <v>25</v>
      </c>
      <c r="L189">
        <f t="shared" si="26"/>
        <v>49</v>
      </c>
      <c r="M189">
        <f t="shared" si="27"/>
        <v>1</v>
      </c>
      <c r="N189">
        <v>85</v>
      </c>
      <c r="P189">
        <v>70</v>
      </c>
      <c r="Q189">
        <v>80</v>
      </c>
      <c r="R189">
        <v>90</v>
      </c>
      <c r="S189">
        <v>75</v>
      </c>
      <c r="T189">
        <v>80</v>
      </c>
      <c r="U189">
        <v>75</v>
      </c>
      <c r="V189">
        <v>80</v>
      </c>
      <c r="W189">
        <v>60</v>
      </c>
      <c r="X189">
        <v>40</v>
      </c>
      <c r="Y189">
        <v>65</v>
      </c>
      <c r="Z189">
        <v>90</v>
      </c>
      <c r="AA189">
        <v>85</v>
      </c>
      <c r="AB189">
        <v>90</v>
      </c>
      <c r="AC189">
        <v>75</v>
      </c>
      <c r="AD189">
        <v>60</v>
      </c>
      <c r="AE189">
        <v>80</v>
      </c>
      <c r="AF189">
        <v>70</v>
      </c>
      <c r="AG189">
        <f t="shared" si="28"/>
        <v>81.666666666666671</v>
      </c>
      <c r="AH189">
        <f t="shared" si="29"/>
        <v>80</v>
      </c>
      <c r="AI189">
        <f t="shared" si="30"/>
        <v>71.666666666666671</v>
      </c>
      <c r="AJ189">
        <f t="shared" si="31"/>
        <v>63.333333333333336</v>
      </c>
      <c r="AK189">
        <f t="shared" si="32"/>
        <v>73.333333333333329</v>
      </c>
      <c r="AL189">
        <f t="shared" si="33"/>
        <v>80</v>
      </c>
      <c r="AM189">
        <f t="shared" si="34"/>
        <v>75.555555555555557</v>
      </c>
      <c r="AN189">
        <f t="shared" si="35"/>
        <v>75</v>
      </c>
    </row>
    <row r="190" spans="1:40" x14ac:dyDescent="0.3">
      <c r="A190" t="s">
        <v>547</v>
      </c>
      <c r="B190" t="s">
        <v>548</v>
      </c>
      <c r="C190">
        <v>85</v>
      </c>
      <c r="D190" t="s">
        <v>22</v>
      </c>
      <c r="E190">
        <v>76</v>
      </c>
      <c r="F190" t="s">
        <v>22</v>
      </c>
      <c r="G190">
        <v>77</v>
      </c>
      <c r="H190" t="s">
        <v>22</v>
      </c>
      <c r="I190">
        <f t="shared" si="24"/>
        <v>79.333333333333329</v>
      </c>
      <c r="K190">
        <f t="shared" si="25"/>
        <v>25</v>
      </c>
      <c r="L190">
        <f t="shared" si="26"/>
        <v>16</v>
      </c>
      <c r="M190">
        <f t="shared" si="27"/>
        <v>9</v>
      </c>
      <c r="N190">
        <v>90</v>
      </c>
      <c r="P190">
        <v>85</v>
      </c>
      <c r="Q190">
        <v>75</v>
      </c>
      <c r="R190">
        <v>95</v>
      </c>
      <c r="S190">
        <v>80</v>
      </c>
      <c r="T190">
        <v>90</v>
      </c>
      <c r="U190">
        <v>75</v>
      </c>
      <c r="V190">
        <v>80</v>
      </c>
      <c r="W190">
        <v>65</v>
      </c>
      <c r="X190">
        <v>90</v>
      </c>
      <c r="Y190">
        <v>80</v>
      </c>
      <c r="Z190">
        <v>70</v>
      </c>
      <c r="AA190">
        <v>85</v>
      </c>
      <c r="AB190">
        <v>75</v>
      </c>
      <c r="AC190">
        <v>65</v>
      </c>
      <c r="AD190">
        <v>90</v>
      </c>
      <c r="AE190">
        <v>80</v>
      </c>
      <c r="AF190">
        <v>70</v>
      </c>
      <c r="AG190">
        <f t="shared" si="28"/>
        <v>83.333333333333329</v>
      </c>
      <c r="AH190">
        <f t="shared" si="29"/>
        <v>80</v>
      </c>
      <c r="AI190">
        <f t="shared" si="30"/>
        <v>68.333333333333329</v>
      </c>
      <c r="AJ190">
        <f t="shared" si="31"/>
        <v>91.666666666666671</v>
      </c>
      <c r="AK190">
        <f t="shared" si="32"/>
        <v>80</v>
      </c>
      <c r="AL190">
        <f t="shared" si="33"/>
        <v>76.666666666666671</v>
      </c>
      <c r="AM190">
        <f t="shared" si="34"/>
        <v>77.222222222222214</v>
      </c>
      <c r="AN190">
        <f t="shared" si="35"/>
        <v>80</v>
      </c>
    </row>
    <row r="191" spans="1:40" x14ac:dyDescent="0.3">
      <c r="A191" t="s">
        <v>547</v>
      </c>
      <c r="B191" t="s">
        <v>548</v>
      </c>
      <c r="C191">
        <v>77</v>
      </c>
      <c r="D191" t="s">
        <v>22</v>
      </c>
      <c r="E191">
        <v>75</v>
      </c>
      <c r="F191" t="s">
        <v>22</v>
      </c>
      <c r="G191">
        <v>66</v>
      </c>
      <c r="H191" t="s">
        <v>28</v>
      </c>
      <c r="I191">
        <f t="shared" si="24"/>
        <v>72.666666666666671</v>
      </c>
      <c r="K191">
        <f t="shared" si="25"/>
        <v>15.55864197530863</v>
      </c>
      <c r="L191">
        <f t="shared" si="26"/>
        <v>3.7808641975308581</v>
      </c>
      <c r="M191">
        <f t="shared" si="27"/>
        <v>49.780864197530889</v>
      </c>
      <c r="N191">
        <v>85</v>
      </c>
      <c r="P191">
        <v>90</v>
      </c>
      <c r="Q191">
        <v>70</v>
      </c>
      <c r="R191">
        <v>60</v>
      </c>
      <c r="S191">
        <v>80</v>
      </c>
      <c r="T191">
        <v>80</v>
      </c>
      <c r="U191">
        <v>75</v>
      </c>
      <c r="V191">
        <v>75</v>
      </c>
      <c r="W191">
        <v>75</v>
      </c>
      <c r="X191">
        <v>75</v>
      </c>
      <c r="Y191">
        <v>75</v>
      </c>
      <c r="Z191">
        <v>75</v>
      </c>
      <c r="AA191">
        <v>85</v>
      </c>
      <c r="AB191">
        <v>70</v>
      </c>
      <c r="AC191">
        <v>65</v>
      </c>
      <c r="AD191">
        <v>40</v>
      </c>
      <c r="AE191">
        <v>80</v>
      </c>
      <c r="AF191">
        <v>60</v>
      </c>
      <c r="AG191">
        <f t="shared" si="28"/>
        <v>81.666666666666671</v>
      </c>
      <c r="AH191">
        <f t="shared" si="29"/>
        <v>78.333333333333329</v>
      </c>
      <c r="AI191">
        <f t="shared" si="30"/>
        <v>70</v>
      </c>
      <c r="AJ191">
        <f t="shared" si="31"/>
        <v>58.333333333333336</v>
      </c>
      <c r="AK191">
        <f t="shared" si="32"/>
        <v>78.333333333333329</v>
      </c>
      <c r="AL191">
        <f t="shared" si="33"/>
        <v>71.666666666666671</v>
      </c>
      <c r="AM191">
        <f t="shared" si="34"/>
        <v>76.666666666666671</v>
      </c>
      <c r="AN191">
        <f t="shared" si="35"/>
        <v>73.055555555555557</v>
      </c>
    </row>
    <row r="192" spans="1:40" x14ac:dyDescent="0.3">
      <c r="A192" t="s">
        <v>547</v>
      </c>
      <c r="B192" t="s">
        <v>548</v>
      </c>
      <c r="C192">
        <v>78</v>
      </c>
      <c r="D192" t="s">
        <v>22</v>
      </c>
      <c r="E192">
        <v>76</v>
      </c>
      <c r="F192" t="s">
        <v>22</v>
      </c>
      <c r="G192">
        <v>75</v>
      </c>
      <c r="H192" t="s">
        <v>22</v>
      </c>
      <c r="I192">
        <f t="shared" si="24"/>
        <v>76.333333333333329</v>
      </c>
      <c r="K192">
        <f t="shared" si="25"/>
        <v>1.1141975308641709</v>
      </c>
      <c r="L192">
        <f t="shared" si="26"/>
        <v>0.89197530864199914</v>
      </c>
      <c r="M192">
        <f t="shared" si="27"/>
        <v>3.7808641975309132</v>
      </c>
      <c r="N192">
        <v>85</v>
      </c>
      <c r="P192">
        <v>75</v>
      </c>
      <c r="Q192">
        <v>90</v>
      </c>
      <c r="R192">
        <v>60</v>
      </c>
      <c r="S192">
        <v>80</v>
      </c>
      <c r="T192">
        <v>80</v>
      </c>
      <c r="U192">
        <v>85</v>
      </c>
      <c r="V192">
        <v>75</v>
      </c>
      <c r="W192">
        <v>80</v>
      </c>
      <c r="X192">
        <v>60</v>
      </c>
      <c r="Y192">
        <v>90</v>
      </c>
      <c r="Z192">
        <v>70</v>
      </c>
      <c r="AA192">
        <v>75</v>
      </c>
      <c r="AB192">
        <v>75</v>
      </c>
      <c r="AC192">
        <v>75</v>
      </c>
      <c r="AD192">
        <v>80</v>
      </c>
      <c r="AE192">
        <v>75</v>
      </c>
      <c r="AF192">
        <v>75</v>
      </c>
      <c r="AG192">
        <f t="shared" si="28"/>
        <v>81.666666666666671</v>
      </c>
      <c r="AH192">
        <f t="shared" si="29"/>
        <v>75</v>
      </c>
      <c r="AI192">
        <f t="shared" si="30"/>
        <v>81.666666666666671</v>
      </c>
      <c r="AJ192">
        <f t="shared" si="31"/>
        <v>66.666666666666671</v>
      </c>
      <c r="AK192">
        <f t="shared" si="32"/>
        <v>81.666666666666671</v>
      </c>
      <c r="AL192">
        <f t="shared" si="33"/>
        <v>75</v>
      </c>
      <c r="AM192">
        <f t="shared" si="34"/>
        <v>81.666666666666671</v>
      </c>
      <c r="AN192">
        <f t="shared" si="35"/>
        <v>76.944444444444457</v>
      </c>
    </row>
    <row r="193" spans="1:40" x14ac:dyDescent="0.3">
      <c r="A193" t="s">
        <v>547</v>
      </c>
      <c r="B193" t="s">
        <v>548</v>
      </c>
      <c r="C193">
        <v>84</v>
      </c>
      <c r="D193" t="s">
        <v>22</v>
      </c>
      <c r="E193">
        <v>79</v>
      </c>
      <c r="F193" t="s">
        <v>22</v>
      </c>
      <c r="G193">
        <v>79</v>
      </c>
      <c r="H193" t="s">
        <v>22</v>
      </c>
      <c r="I193">
        <f t="shared" si="24"/>
        <v>80.666666666666671</v>
      </c>
      <c r="K193">
        <f t="shared" si="25"/>
        <v>10.027777777777718</v>
      </c>
      <c r="L193">
        <f t="shared" si="26"/>
        <v>3.3611111111111458</v>
      </c>
      <c r="M193">
        <f t="shared" si="27"/>
        <v>3.3611111111111458</v>
      </c>
      <c r="N193">
        <v>95</v>
      </c>
      <c r="P193">
        <v>80</v>
      </c>
      <c r="Q193">
        <v>75</v>
      </c>
      <c r="R193">
        <v>90</v>
      </c>
      <c r="S193">
        <v>70</v>
      </c>
      <c r="T193">
        <v>95</v>
      </c>
      <c r="U193">
        <v>85</v>
      </c>
      <c r="V193">
        <v>90</v>
      </c>
      <c r="W193">
        <v>75</v>
      </c>
      <c r="X193">
        <v>65</v>
      </c>
      <c r="Y193">
        <v>80</v>
      </c>
      <c r="Z193">
        <v>80</v>
      </c>
      <c r="AA193">
        <v>85</v>
      </c>
      <c r="AB193">
        <v>75</v>
      </c>
      <c r="AC193">
        <v>80</v>
      </c>
      <c r="AD193">
        <v>90</v>
      </c>
      <c r="AE193">
        <v>80</v>
      </c>
      <c r="AF193">
        <v>65</v>
      </c>
      <c r="AG193">
        <f t="shared" si="28"/>
        <v>88.333333333333329</v>
      </c>
      <c r="AH193">
        <f t="shared" si="29"/>
        <v>81.666666666666671</v>
      </c>
      <c r="AI193">
        <f t="shared" si="30"/>
        <v>76.666666666666671</v>
      </c>
      <c r="AJ193">
        <f t="shared" si="31"/>
        <v>81.666666666666671</v>
      </c>
      <c r="AK193">
        <f t="shared" si="32"/>
        <v>76.666666666666671</v>
      </c>
      <c r="AL193">
        <f t="shared" si="33"/>
        <v>80</v>
      </c>
      <c r="AM193">
        <f t="shared" si="34"/>
        <v>80.555555555555557</v>
      </c>
      <c r="AN193">
        <f t="shared" si="35"/>
        <v>80.833333333333343</v>
      </c>
    </row>
    <row r="194" spans="1:40" x14ac:dyDescent="0.3">
      <c r="A194" t="s">
        <v>558</v>
      </c>
      <c r="B194" t="s">
        <v>559</v>
      </c>
      <c r="C194">
        <v>61</v>
      </c>
      <c r="D194" t="s">
        <v>28</v>
      </c>
      <c r="E194">
        <v>72</v>
      </c>
      <c r="F194" t="s">
        <v>28</v>
      </c>
      <c r="G194">
        <v>65</v>
      </c>
      <c r="H194" t="s">
        <v>28</v>
      </c>
      <c r="I194">
        <f t="shared" si="24"/>
        <v>66</v>
      </c>
      <c r="K194">
        <f t="shared" si="25"/>
        <v>29.040123456790088</v>
      </c>
      <c r="L194">
        <f t="shared" si="26"/>
        <v>31.484567901234602</v>
      </c>
      <c r="M194">
        <f t="shared" si="27"/>
        <v>1.9290123456790036</v>
      </c>
      <c r="N194">
        <v>65</v>
      </c>
      <c r="P194">
        <v>75</v>
      </c>
      <c r="Q194">
        <v>80</v>
      </c>
      <c r="R194">
        <v>40</v>
      </c>
      <c r="S194">
        <v>50</v>
      </c>
      <c r="T194">
        <v>60</v>
      </c>
      <c r="U194">
        <v>85</v>
      </c>
      <c r="V194">
        <v>70</v>
      </c>
      <c r="W194">
        <v>65</v>
      </c>
      <c r="X194">
        <v>55</v>
      </c>
      <c r="Y194">
        <v>90</v>
      </c>
      <c r="Z194">
        <v>70</v>
      </c>
      <c r="AA194">
        <v>75</v>
      </c>
      <c r="AB194">
        <v>75</v>
      </c>
      <c r="AC194">
        <v>75</v>
      </c>
      <c r="AD194">
        <v>15</v>
      </c>
      <c r="AE194">
        <v>75</v>
      </c>
      <c r="AF194">
        <v>75</v>
      </c>
      <c r="AG194">
        <f t="shared" si="28"/>
        <v>75</v>
      </c>
      <c r="AH194">
        <f t="shared" si="29"/>
        <v>73.333333333333329</v>
      </c>
      <c r="AI194">
        <f t="shared" si="30"/>
        <v>73.333333333333329</v>
      </c>
      <c r="AJ194">
        <f t="shared" si="31"/>
        <v>36.666666666666664</v>
      </c>
      <c r="AK194">
        <f t="shared" si="32"/>
        <v>71.666666666666671</v>
      </c>
      <c r="AL194">
        <f t="shared" si="33"/>
        <v>68.333333333333329</v>
      </c>
      <c r="AM194">
        <f t="shared" si="34"/>
        <v>73.333333333333329</v>
      </c>
      <c r="AN194">
        <f t="shared" si="35"/>
        <v>66.388888888888886</v>
      </c>
    </row>
    <row r="195" spans="1:40" x14ac:dyDescent="0.3">
      <c r="A195" t="s">
        <v>558</v>
      </c>
      <c r="B195" t="s">
        <v>559</v>
      </c>
      <c r="C195">
        <v>33</v>
      </c>
      <c r="D195" t="s">
        <v>99</v>
      </c>
      <c r="E195">
        <v>69</v>
      </c>
      <c r="F195" t="s">
        <v>28</v>
      </c>
      <c r="G195">
        <v>45</v>
      </c>
      <c r="H195" t="s">
        <v>71</v>
      </c>
      <c r="I195">
        <f t="shared" ref="I195:I205" si="36">SUM(C195,E195,G195)/3</f>
        <v>49</v>
      </c>
      <c r="K195">
        <f t="shared" ref="K195:K205" si="37">(C195-AN195)^2</f>
        <v>270.41975308641992</v>
      </c>
      <c r="L195">
        <f t="shared" ref="L195:L205" si="38">(E195-AN195)^2</f>
        <v>382.41975308641952</v>
      </c>
      <c r="M195">
        <f t="shared" ref="M195:M205" si="39">(G195-AN195)^2</f>
        <v>19.753086419753135</v>
      </c>
      <c r="N195">
        <v>20</v>
      </c>
      <c r="P195">
        <v>35</v>
      </c>
      <c r="Q195">
        <v>40</v>
      </c>
      <c r="R195">
        <v>10</v>
      </c>
      <c r="S195">
        <v>5</v>
      </c>
      <c r="T195">
        <v>90</v>
      </c>
      <c r="U195">
        <v>75</v>
      </c>
      <c r="V195">
        <v>85</v>
      </c>
      <c r="W195">
        <v>90</v>
      </c>
      <c r="X195">
        <v>45</v>
      </c>
      <c r="Y195">
        <v>60</v>
      </c>
      <c r="Z195">
        <v>60</v>
      </c>
      <c r="AA195">
        <v>30</v>
      </c>
      <c r="AB195">
        <v>45</v>
      </c>
      <c r="AC195">
        <v>60</v>
      </c>
      <c r="AD195">
        <v>20</v>
      </c>
      <c r="AE195">
        <v>50</v>
      </c>
      <c r="AF195">
        <v>70</v>
      </c>
      <c r="AG195">
        <f t="shared" ref="AG195:AG205" si="40">AVERAGE(N195,U195,AA195)</f>
        <v>41.666666666666664</v>
      </c>
      <c r="AH195">
        <f t="shared" ref="AH195:AH205" si="41">AVERAGE(P195,V195,AB195)</f>
        <v>55</v>
      </c>
      <c r="AI195">
        <f t="shared" ref="AI195:AI205" si="42">AVERAGE(Q195,W195,AC195)</f>
        <v>63.333333333333336</v>
      </c>
      <c r="AJ195">
        <f t="shared" ref="AJ195:AJ205" si="43">AVERAGE(R195,X195,AD195)</f>
        <v>25</v>
      </c>
      <c r="AK195">
        <f t="shared" ref="AK195:AK205" si="44">AVERAGE(S195,Y195,AE195)</f>
        <v>38.333333333333336</v>
      </c>
      <c r="AL195">
        <f t="shared" ref="AL195:AL205" si="45">AVERAGE(T195,Z195,AF195)</f>
        <v>73.333333333333329</v>
      </c>
      <c r="AM195">
        <f t="shared" ref="AM195:AM205" si="46">SUM(AG195,AI195,AK195)/3</f>
        <v>47.777777777777779</v>
      </c>
      <c r="AN195">
        <f t="shared" ref="AN195:AN205" si="47">AVERAGE(AG195:AL195)</f>
        <v>49.44444444444445</v>
      </c>
    </row>
    <row r="196" spans="1:40" x14ac:dyDescent="0.3">
      <c r="A196" t="s">
        <v>558</v>
      </c>
      <c r="B196" t="s">
        <v>559</v>
      </c>
      <c r="C196">
        <v>50</v>
      </c>
      <c r="D196" t="s">
        <v>71</v>
      </c>
      <c r="E196">
        <v>75</v>
      </c>
      <c r="F196" t="s">
        <v>22</v>
      </c>
      <c r="G196">
        <v>78</v>
      </c>
      <c r="H196" t="s">
        <v>22</v>
      </c>
      <c r="I196">
        <f t="shared" si="36"/>
        <v>67.666666666666671</v>
      </c>
      <c r="K196">
        <f t="shared" si="37"/>
        <v>326.00308641975312</v>
      </c>
      <c r="L196">
        <f t="shared" si="38"/>
        <v>48.225308641975289</v>
      </c>
      <c r="M196">
        <f t="shared" si="39"/>
        <v>98.891975308641946</v>
      </c>
      <c r="N196">
        <v>70</v>
      </c>
      <c r="P196">
        <v>65</v>
      </c>
      <c r="Q196">
        <v>80</v>
      </c>
      <c r="R196">
        <v>20</v>
      </c>
      <c r="S196">
        <v>30</v>
      </c>
      <c r="T196">
        <v>40</v>
      </c>
      <c r="U196">
        <v>75</v>
      </c>
      <c r="V196">
        <v>75</v>
      </c>
      <c r="W196">
        <v>75</v>
      </c>
      <c r="X196">
        <v>75</v>
      </c>
      <c r="Y196">
        <v>75</v>
      </c>
      <c r="Z196">
        <v>75</v>
      </c>
      <c r="AA196">
        <v>75</v>
      </c>
      <c r="AB196">
        <v>80</v>
      </c>
      <c r="AC196">
        <v>70</v>
      </c>
      <c r="AD196">
        <v>85</v>
      </c>
      <c r="AE196">
        <v>80</v>
      </c>
      <c r="AF196">
        <v>80</v>
      </c>
      <c r="AG196">
        <f t="shared" si="40"/>
        <v>73.333333333333329</v>
      </c>
      <c r="AH196">
        <f t="shared" si="41"/>
        <v>73.333333333333329</v>
      </c>
      <c r="AI196">
        <f t="shared" si="42"/>
        <v>75</v>
      </c>
      <c r="AJ196">
        <f t="shared" si="43"/>
        <v>60</v>
      </c>
      <c r="AK196">
        <f t="shared" si="44"/>
        <v>61.666666666666664</v>
      </c>
      <c r="AL196">
        <f t="shared" si="45"/>
        <v>65</v>
      </c>
      <c r="AM196">
        <f t="shared" si="46"/>
        <v>69.999999999999986</v>
      </c>
      <c r="AN196">
        <f t="shared" si="47"/>
        <v>68.055555555555557</v>
      </c>
    </row>
    <row r="197" spans="1:40" x14ac:dyDescent="0.3">
      <c r="A197" t="s">
        <v>558</v>
      </c>
      <c r="B197" t="s">
        <v>559</v>
      </c>
      <c r="C197">
        <v>85</v>
      </c>
      <c r="D197" t="s">
        <v>22</v>
      </c>
      <c r="E197">
        <v>75</v>
      </c>
      <c r="F197" t="s">
        <v>22</v>
      </c>
      <c r="G197">
        <v>75</v>
      </c>
      <c r="H197" t="s">
        <v>22</v>
      </c>
      <c r="I197">
        <f t="shared" si="36"/>
        <v>78.333333333333329</v>
      </c>
      <c r="K197">
        <f t="shared" si="37"/>
        <v>37.345679012345542</v>
      </c>
      <c r="L197">
        <f t="shared" si="38"/>
        <v>15.123456790123543</v>
      </c>
      <c r="M197">
        <f t="shared" si="39"/>
        <v>15.123456790123543</v>
      </c>
      <c r="N197">
        <v>85</v>
      </c>
      <c r="P197">
        <v>90</v>
      </c>
      <c r="Q197">
        <v>80</v>
      </c>
      <c r="R197">
        <v>75</v>
      </c>
      <c r="S197">
        <v>90</v>
      </c>
      <c r="T197">
        <v>95</v>
      </c>
      <c r="U197">
        <v>75</v>
      </c>
      <c r="V197">
        <v>75</v>
      </c>
      <c r="W197">
        <v>75</v>
      </c>
      <c r="X197">
        <v>80</v>
      </c>
      <c r="Y197">
        <v>75</v>
      </c>
      <c r="Z197">
        <v>75</v>
      </c>
      <c r="AA197">
        <v>75</v>
      </c>
      <c r="AB197">
        <v>75</v>
      </c>
      <c r="AC197">
        <v>75</v>
      </c>
      <c r="AD197">
        <v>75</v>
      </c>
      <c r="AE197">
        <v>75</v>
      </c>
      <c r="AF197">
        <v>75</v>
      </c>
      <c r="AG197">
        <f t="shared" si="40"/>
        <v>78.333333333333329</v>
      </c>
      <c r="AH197">
        <f t="shared" si="41"/>
        <v>80</v>
      </c>
      <c r="AI197">
        <f t="shared" si="42"/>
        <v>76.666666666666671</v>
      </c>
      <c r="AJ197">
        <f t="shared" si="43"/>
        <v>76.666666666666671</v>
      </c>
      <c r="AK197">
        <f t="shared" si="44"/>
        <v>80</v>
      </c>
      <c r="AL197">
        <f t="shared" si="45"/>
        <v>81.666666666666671</v>
      </c>
      <c r="AM197">
        <f t="shared" si="46"/>
        <v>78.333333333333329</v>
      </c>
      <c r="AN197">
        <f t="shared" si="47"/>
        <v>78.8888888888889</v>
      </c>
    </row>
    <row r="198" spans="1:40" x14ac:dyDescent="0.3">
      <c r="A198" t="s">
        <v>569</v>
      </c>
      <c r="B198" t="s">
        <v>570</v>
      </c>
      <c r="C198">
        <v>50</v>
      </c>
      <c r="D198" t="s">
        <v>71</v>
      </c>
      <c r="E198">
        <v>60</v>
      </c>
      <c r="F198" t="s">
        <v>28</v>
      </c>
      <c r="G198">
        <v>76</v>
      </c>
      <c r="H198" t="s">
        <v>22</v>
      </c>
      <c r="I198">
        <f t="shared" si="36"/>
        <v>62</v>
      </c>
      <c r="K198">
        <f t="shared" si="37"/>
        <v>156.25</v>
      </c>
      <c r="L198">
        <f t="shared" si="38"/>
        <v>6.25</v>
      </c>
      <c r="M198">
        <f t="shared" si="39"/>
        <v>182.25</v>
      </c>
      <c r="N198">
        <v>45</v>
      </c>
      <c r="P198">
        <v>60</v>
      </c>
      <c r="Q198">
        <v>70</v>
      </c>
      <c r="R198">
        <v>20</v>
      </c>
      <c r="S198">
        <v>30</v>
      </c>
      <c r="T198">
        <v>80</v>
      </c>
      <c r="U198">
        <v>65</v>
      </c>
      <c r="V198">
        <v>70</v>
      </c>
      <c r="W198">
        <v>70</v>
      </c>
      <c r="X198">
        <v>35</v>
      </c>
      <c r="Y198">
        <v>40</v>
      </c>
      <c r="Z198">
        <v>80</v>
      </c>
      <c r="AA198">
        <v>85</v>
      </c>
      <c r="AB198">
        <v>70</v>
      </c>
      <c r="AC198">
        <v>80</v>
      </c>
      <c r="AD198">
        <v>65</v>
      </c>
      <c r="AE198">
        <v>90</v>
      </c>
      <c r="AF198">
        <v>70</v>
      </c>
      <c r="AG198">
        <f t="shared" si="40"/>
        <v>65</v>
      </c>
      <c r="AH198">
        <f t="shared" si="41"/>
        <v>66.666666666666671</v>
      </c>
      <c r="AI198">
        <f t="shared" si="42"/>
        <v>73.333333333333329</v>
      </c>
      <c r="AJ198">
        <f t="shared" si="43"/>
        <v>40</v>
      </c>
      <c r="AK198">
        <f t="shared" si="44"/>
        <v>53.333333333333336</v>
      </c>
      <c r="AL198">
        <f t="shared" si="45"/>
        <v>76.666666666666671</v>
      </c>
      <c r="AM198">
        <f t="shared" si="46"/>
        <v>63.888888888888886</v>
      </c>
      <c r="AN198">
        <f t="shared" si="47"/>
        <v>62.5</v>
      </c>
    </row>
    <row r="199" spans="1:40" x14ac:dyDescent="0.3">
      <c r="A199" t="s">
        <v>569</v>
      </c>
      <c r="B199" t="s">
        <v>570</v>
      </c>
      <c r="C199">
        <v>70</v>
      </c>
      <c r="D199" t="s">
        <v>28</v>
      </c>
      <c r="E199">
        <v>48</v>
      </c>
      <c r="F199" t="s">
        <v>71</v>
      </c>
      <c r="G199">
        <v>75</v>
      </c>
      <c r="H199" t="s">
        <v>22</v>
      </c>
      <c r="I199">
        <f t="shared" si="36"/>
        <v>64.333333333333329</v>
      </c>
      <c r="K199">
        <f t="shared" si="37"/>
        <v>30.864197530864214</v>
      </c>
      <c r="L199">
        <f t="shared" si="38"/>
        <v>270.41975308641969</v>
      </c>
      <c r="M199">
        <f t="shared" si="39"/>
        <v>111.41975308641979</v>
      </c>
      <c r="N199">
        <v>75</v>
      </c>
      <c r="P199">
        <v>85</v>
      </c>
      <c r="Q199">
        <v>90</v>
      </c>
      <c r="R199">
        <v>30</v>
      </c>
      <c r="S199">
        <v>60</v>
      </c>
      <c r="T199">
        <v>80</v>
      </c>
      <c r="U199">
        <v>35</v>
      </c>
      <c r="V199">
        <v>45</v>
      </c>
      <c r="W199">
        <v>70</v>
      </c>
      <c r="X199">
        <v>20</v>
      </c>
      <c r="Y199">
        <v>60</v>
      </c>
      <c r="Z199">
        <v>60</v>
      </c>
      <c r="AA199">
        <v>75</v>
      </c>
      <c r="AB199">
        <v>75</v>
      </c>
      <c r="AC199">
        <v>75</v>
      </c>
      <c r="AD199">
        <v>75</v>
      </c>
      <c r="AE199">
        <v>75</v>
      </c>
      <c r="AF199">
        <v>75</v>
      </c>
      <c r="AG199">
        <f t="shared" si="40"/>
        <v>61.666666666666664</v>
      </c>
      <c r="AH199">
        <f t="shared" si="41"/>
        <v>68.333333333333329</v>
      </c>
      <c r="AI199">
        <f t="shared" si="42"/>
        <v>78.333333333333329</v>
      </c>
      <c r="AJ199">
        <f t="shared" si="43"/>
        <v>41.666666666666664</v>
      </c>
      <c r="AK199">
        <f t="shared" si="44"/>
        <v>65</v>
      </c>
      <c r="AL199">
        <f t="shared" si="45"/>
        <v>71.666666666666671</v>
      </c>
      <c r="AM199">
        <f t="shared" si="46"/>
        <v>68.333333333333329</v>
      </c>
      <c r="AN199">
        <f t="shared" si="47"/>
        <v>64.444444444444443</v>
      </c>
    </row>
    <row r="200" spans="1:40" x14ac:dyDescent="0.3">
      <c r="A200" t="s">
        <v>569</v>
      </c>
      <c r="B200" t="s">
        <v>570</v>
      </c>
      <c r="C200">
        <v>82</v>
      </c>
      <c r="D200" t="s">
        <v>22</v>
      </c>
      <c r="E200">
        <v>75</v>
      </c>
      <c r="F200" t="s">
        <v>22</v>
      </c>
      <c r="G200">
        <v>75</v>
      </c>
      <c r="H200" t="s">
        <v>22</v>
      </c>
      <c r="I200">
        <f t="shared" si="36"/>
        <v>77.333333333333329</v>
      </c>
      <c r="K200">
        <f t="shared" si="37"/>
        <v>20.25</v>
      </c>
      <c r="L200">
        <f t="shared" si="38"/>
        <v>6.25</v>
      </c>
      <c r="M200">
        <f t="shared" si="39"/>
        <v>6.25</v>
      </c>
      <c r="N200">
        <v>95</v>
      </c>
      <c r="P200">
        <v>85</v>
      </c>
      <c r="Q200">
        <v>75</v>
      </c>
      <c r="R200">
        <v>80</v>
      </c>
      <c r="S200">
        <v>70</v>
      </c>
      <c r="T200">
        <v>90</v>
      </c>
      <c r="U200">
        <v>75</v>
      </c>
      <c r="V200">
        <v>75</v>
      </c>
      <c r="W200">
        <v>75</v>
      </c>
      <c r="X200">
        <v>75</v>
      </c>
      <c r="Y200">
        <v>75</v>
      </c>
      <c r="Z200">
        <v>75</v>
      </c>
      <c r="AA200">
        <v>75</v>
      </c>
      <c r="AB200">
        <v>75</v>
      </c>
      <c r="AC200">
        <v>75</v>
      </c>
      <c r="AD200">
        <v>75</v>
      </c>
      <c r="AE200">
        <v>75</v>
      </c>
      <c r="AF200">
        <v>75</v>
      </c>
      <c r="AG200">
        <f t="shared" si="40"/>
        <v>81.666666666666671</v>
      </c>
      <c r="AH200">
        <f t="shared" si="41"/>
        <v>78.333333333333329</v>
      </c>
      <c r="AI200">
        <f t="shared" si="42"/>
        <v>75</v>
      </c>
      <c r="AJ200">
        <f t="shared" si="43"/>
        <v>76.666666666666671</v>
      </c>
      <c r="AK200">
        <f t="shared" si="44"/>
        <v>73.333333333333329</v>
      </c>
      <c r="AL200">
        <f t="shared" si="45"/>
        <v>80</v>
      </c>
      <c r="AM200">
        <f t="shared" si="46"/>
        <v>76.666666666666671</v>
      </c>
      <c r="AN200">
        <f t="shared" si="47"/>
        <v>77.5</v>
      </c>
    </row>
    <row r="201" spans="1:40" x14ac:dyDescent="0.3">
      <c r="A201" t="s">
        <v>569</v>
      </c>
      <c r="B201" t="s">
        <v>570</v>
      </c>
      <c r="C201">
        <v>78</v>
      </c>
      <c r="D201" t="s">
        <v>22</v>
      </c>
      <c r="E201">
        <v>83</v>
      </c>
      <c r="F201" t="s">
        <v>22</v>
      </c>
      <c r="G201">
        <v>81</v>
      </c>
      <c r="H201" t="s">
        <v>22</v>
      </c>
      <c r="I201">
        <f t="shared" si="36"/>
        <v>80.666666666666671</v>
      </c>
      <c r="K201">
        <f t="shared" si="37"/>
        <v>9.6790123456789434</v>
      </c>
      <c r="L201">
        <f t="shared" si="38"/>
        <v>3.5679012345679428</v>
      </c>
      <c r="M201">
        <f t="shared" si="39"/>
        <v>1.2345679012343222E-2</v>
      </c>
      <c r="N201">
        <v>85</v>
      </c>
      <c r="P201">
        <v>90</v>
      </c>
      <c r="Q201">
        <v>75</v>
      </c>
      <c r="R201">
        <v>60</v>
      </c>
      <c r="S201">
        <v>80</v>
      </c>
      <c r="T201">
        <v>80</v>
      </c>
      <c r="U201">
        <v>95</v>
      </c>
      <c r="V201">
        <v>85</v>
      </c>
      <c r="W201">
        <v>80</v>
      </c>
      <c r="X201">
        <v>90</v>
      </c>
      <c r="Y201">
        <v>80</v>
      </c>
      <c r="Z201">
        <v>70</v>
      </c>
      <c r="AA201">
        <v>85</v>
      </c>
      <c r="AB201">
        <v>75</v>
      </c>
      <c r="AC201">
        <v>90</v>
      </c>
      <c r="AD201">
        <v>90</v>
      </c>
      <c r="AE201">
        <v>80</v>
      </c>
      <c r="AF201">
        <v>70</v>
      </c>
      <c r="AG201">
        <f t="shared" si="40"/>
        <v>88.333333333333329</v>
      </c>
      <c r="AH201">
        <f t="shared" si="41"/>
        <v>83.333333333333329</v>
      </c>
      <c r="AI201">
        <f t="shared" si="42"/>
        <v>81.666666666666671</v>
      </c>
      <c r="AJ201">
        <f t="shared" si="43"/>
        <v>80</v>
      </c>
      <c r="AK201">
        <f t="shared" si="44"/>
        <v>80</v>
      </c>
      <c r="AL201">
        <f t="shared" si="45"/>
        <v>73.333333333333329</v>
      </c>
      <c r="AM201">
        <f t="shared" si="46"/>
        <v>83.333333333333329</v>
      </c>
      <c r="AN201">
        <f t="shared" si="47"/>
        <v>81.1111111111111</v>
      </c>
    </row>
    <row r="202" spans="1:40" x14ac:dyDescent="0.3">
      <c r="A202" t="s">
        <v>580</v>
      </c>
      <c r="B202" t="s">
        <v>581</v>
      </c>
      <c r="C202">
        <v>75</v>
      </c>
      <c r="D202" t="s">
        <v>22</v>
      </c>
      <c r="E202">
        <v>72</v>
      </c>
      <c r="F202" t="s">
        <v>28</v>
      </c>
      <c r="G202">
        <v>71</v>
      </c>
      <c r="H202" t="s">
        <v>28</v>
      </c>
      <c r="I202">
        <f t="shared" si="36"/>
        <v>72.666666666666671</v>
      </c>
      <c r="K202">
        <f t="shared" si="37"/>
        <v>2.7777777777777937</v>
      </c>
      <c r="L202">
        <f t="shared" si="38"/>
        <v>1.7777777777777652</v>
      </c>
      <c r="M202">
        <f t="shared" si="39"/>
        <v>5.4444444444444224</v>
      </c>
      <c r="N202">
        <v>85</v>
      </c>
      <c r="P202">
        <v>75</v>
      </c>
      <c r="Q202">
        <v>80</v>
      </c>
      <c r="R202">
        <v>60</v>
      </c>
      <c r="S202">
        <v>90</v>
      </c>
      <c r="T202">
        <v>65</v>
      </c>
      <c r="U202">
        <v>75</v>
      </c>
      <c r="V202">
        <v>80</v>
      </c>
      <c r="W202">
        <v>60</v>
      </c>
      <c r="X202">
        <v>70</v>
      </c>
      <c r="Y202">
        <v>85</v>
      </c>
      <c r="Z202">
        <v>65</v>
      </c>
      <c r="AA202">
        <v>75</v>
      </c>
      <c r="AB202">
        <v>80</v>
      </c>
      <c r="AC202">
        <v>70</v>
      </c>
      <c r="AD202">
        <v>60</v>
      </c>
      <c r="AE202">
        <v>85</v>
      </c>
      <c r="AF202">
        <v>60</v>
      </c>
      <c r="AG202">
        <f t="shared" si="40"/>
        <v>78.333333333333329</v>
      </c>
      <c r="AH202">
        <f t="shared" si="41"/>
        <v>78.333333333333329</v>
      </c>
      <c r="AI202">
        <f t="shared" si="42"/>
        <v>70</v>
      </c>
      <c r="AJ202">
        <f t="shared" si="43"/>
        <v>63.333333333333336</v>
      </c>
      <c r="AK202">
        <f t="shared" si="44"/>
        <v>86.666666666666671</v>
      </c>
      <c r="AL202">
        <f t="shared" si="45"/>
        <v>63.333333333333336</v>
      </c>
      <c r="AM202">
        <f t="shared" si="46"/>
        <v>78.333333333333329</v>
      </c>
      <c r="AN202">
        <f t="shared" si="47"/>
        <v>73.333333333333329</v>
      </c>
    </row>
    <row r="203" spans="1:40" x14ac:dyDescent="0.3">
      <c r="A203" t="s">
        <v>580</v>
      </c>
      <c r="B203" t="s">
        <v>581</v>
      </c>
      <c r="C203">
        <v>80</v>
      </c>
      <c r="D203" t="s">
        <v>22</v>
      </c>
      <c r="E203">
        <v>76</v>
      </c>
      <c r="F203" t="s">
        <v>22</v>
      </c>
      <c r="G203">
        <v>80</v>
      </c>
      <c r="H203" t="s">
        <v>22</v>
      </c>
      <c r="I203">
        <f t="shared" si="36"/>
        <v>78.666666666666671</v>
      </c>
      <c r="K203">
        <f t="shared" si="37"/>
        <v>1.2345679012345434</v>
      </c>
      <c r="L203">
        <f t="shared" si="38"/>
        <v>8.3456790123457427</v>
      </c>
      <c r="M203">
        <f t="shared" si="39"/>
        <v>1.2345679012345434</v>
      </c>
      <c r="N203">
        <v>75</v>
      </c>
      <c r="P203">
        <v>80</v>
      </c>
      <c r="Q203">
        <v>85</v>
      </c>
      <c r="R203">
        <v>80</v>
      </c>
      <c r="S203">
        <v>70</v>
      </c>
      <c r="T203">
        <v>90</v>
      </c>
      <c r="U203">
        <v>85</v>
      </c>
      <c r="V203">
        <v>80</v>
      </c>
      <c r="W203">
        <v>75</v>
      </c>
      <c r="X203">
        <v>90</v>
      </c>
      <c r="Y203">
        <v>70</v>
      </c>
      <c r="Z203">
        <v>60</v>
      </c>
      <c r="AA203">
        <v>85</v>
      </c>
      <c r="AB203">
        <v>90</v>
      </c>
      <c r="AC203">
        <v>80</v>
      </c>
      <c r="AD203">
        <v>75</v>
      </c>
      <c r="AE203">
        <v>90</v>
      </c>
      <c r="AF203">
        <v>60</v>
      </c>
      <c r="AG203">
        <f t="shared" si="40"/>
        <v>81.666666666666671</v>
      </c>
      <c r="AH203">
        <f t="shared" si="41"/>
        <v>83.333333333333329</v>
      </c>
      <c r="AI203">
        <f t="shared" si="42"/>
        <v>80</v>
      </c>
      <c r="AJ203">
        <f t="shared" si="43"/>
        <v>81.666666666666671</v>
      </c>
      <c r="AK203">
        <f t="shared" si="44"/>
        <v>76.666666666666671</v>
      </c>
      <c r="AL203">
        <f t="shared" si="45"/>
        <v>70</v>
      </c>
      <c r="AM203">
        <f t="shared" si="46"/>
        <v>79.444444444444457</v>
      </c>
      <c r="AN203">
        <f t="shared" si="47"/>
        <v>78.8888888888889</v>
      </c>
    </row>
    <row r="204" spans="1:40" x14ac:dyDescent="0.3">
      <c r="A204" t="s">
        <v>580</v>
      </c>
      <c r="B204" t="s">
        <v>581</v>
      </c>
      <c r="C204">
        <v>76</v>
      </c>
      <c r="D204" t="s">
        <v>22</v>
      </c>
      <c r="E204">
        <v>68</v>
      </c>
      <c r="F204" t="s">
        <v>28</v>
      </c>
      <c r="G204">
        <v>72</v>
      </c>
      <c r="H204" t="s">
        <v>28</v>
      </c>
      <c r="I204">
        <f t="shared" si="36"/>
        <v>72</v>
      </c>
      <c r="K204">
        <f t="shared" si="37"/>
        <v>12.25</v>
      </c>
      <c r="L204">
        <f t="shared" si="38"/>
        <v>20.25</v>
      </c>
      <c r="M204">
        <f t="shared" si="39"/>
        <v>0.25</v>
      </c>
      <c r="N204">
        <v>75</v>
      </c>
      <c r="P204">
        <v>75</v>
      </c>
      <c r="Q204">
        <v>75</v>
      </c>
      <c r="R204">
        <v>85</v>
      </c>
      <c r="S204">
        <v>75</v>
      </c>
      <c r="T204">
        <v>75</v>
      </c>
      <c r="U204">
        <v>85</v>
      </c>
      <c r="V204">
        <v>70</v>
      </c>
      <c r="W204">
        <v>65</v>
      </c>
      <c r="X204">
        <v>40</v>
      </c>
      <c r="Y204">
        <v>90</v>
      </c>
      <c r="Z204">
        <v>60</v>
      </c>
      <c r="AA204">
        <v>75</v>
      </c>
      <c r="AB204">
        <v>80</v>
      </c>
      <c r="AC204">
        <v>60</v>
      </c>
      <c r="AD204">
        <v>45</v>
      </c>
      <c r="AE204">
        <v>90</v>
      </c>
      <c r="AF204">
        <v>85</v>
      </c>
      <c r="AG204">
        <f t="shared" si="40"/>
        <v>78.333333333333329</v>
      </c>
      <c r="AH204">
        <f t="shared" si="41"/>
        <v>75</v>
      </c>
      <c r="AI204">
        <f t="shared" si="42"/>
        <v>66.666666666666671</v>
      </c>
      <c r="AJ204">
        <f t="shared" si="43"/>
        <v>56.666666666666664</v>
      </c>
      <c r="AK204">
        <f t="shared" si="44"/>
        <v>85</v>
      </c>
      <c r="AL204">
        <f t="shared" si="45"/>
        <v>73.333333333333329</v>
      </c>
      <c r="AM204">
        <f t="shared" si="46"/>
        <v>76.666666666666671</v>
      </c>
      <c r="AN204">
        <f t="shared" si="47"/>
        <v>72.5</v>
      </c>
    </row>
    <row r="205" spans="1:40" x14ac:dyDescent="0.3">
      <c r="A205" t="s">
        <v>580</v>
      </c>
      <c r="B205" t="s">
        <v>581</v>
      </c>
      <c r="C205">
        <v>56</v>
      </c>
      <c r="D205" t="s">
        <v>71</v>
      </c>
      <c r="E205">
        <v>58</v>
      </c>
      <c r="F205" t="s">
        <v>71</v>
      </c>
      <c r="G205">
        <v>76</v>
      </c>
      <c r="H205" t="s">
        <v>22</v>
      </c>
      <c r="I205">
        <f t="shared" si="36"/>
        <v>63.333333333333336</v>
      </c>
      <c r="K205">
        <f t="shared" si="37"/>
        <v>62.234567901234627</v>
      </c>
      <c r="L205">
        <f t="shared" si="38"/>
        <v>34.679012345679055</v>
      </c>
      <c r="M205">
        <f t="shared" si="39"/>
        <v>146.67901234567893</v>
      </c>
      <c r="N205">
        <v>65</v>
      </c>
      <c r="P205">
        <v>70</v>
      </c>
      <c r="Q205">
        <v>80</v>
      </c>
      <c r="R205">
        <v>30</v>
      </c>
      <c r="S205">
        <v>45</v>
      </c>
      <c r="T205">
        <v>50</v>
      </c>
      <c r="U205">
        <v>75</v>
      </c>
      <c r="V205">
        <v>80</v>
      </c>
      <c r="W205">
        <v>65</v>
      </c>
      <c r="X205">
        <v>30</v>
      </c>
      <c r="Y205">
        <v>40</v>
      </c>
      <c r="Z205">
        <v>60</v>
      </c>
      <c r="AA205">
        <v>85</v>
      </c>
      <c r="AB205">
        <v>90</v>
      </c>
      <c r="AC205">
        <v>70</v>
      </c>
      <c r="AD205">
        <v>60</v>
      </c>
      <c r="AE205">
        <v>80</v>
      </c>
      <c r="AF205">
        <v>75</v>
      </c>
      <c r="AG205">
        <f t="shared" si="40"/>
        <v>75</v>
      </c>
      <c r="AH205">
        <f t="shared" si="41"/>
        <v>80</v>
      </c>
      <c r="AI205">
        <f t="shared" si="42"/>
        <v>71.666666666666671</v>
      </c>
      <c r="AJ205">
        <f t="shared" si="43"/>
        <v>40</v>
      </c>
      <c r="AK205">
        <f t="shared" si="44"/>
        <v>55</v>
      </c>
      <c r="AL205">
        <f t="shared" si="45"/>
        <v>61.666666666666664</v>
      </c>
      <c r="AM205">
        <f t="shared" si="46"/>
        <v>67.222222222222229</v>
      </c>
      <c r="AN205">
        <f t="shared" si="47"/>
        <v>63.888888888888893</v>
      </c>
    </row>
    <row r="207" spans="1:40" x14ac:dyDescent="0.3">
      <c r="K207">
        <f>SUM(K2:K205)</f>
        <v>19736.45987654322</v>
      </c>
      <c r="L207">
        <f t="shared" ref="L207:M207" si="48">SUM(L2:L205)</f>
        <v>22438.01543209876</v>
      </c>
      <c r="M207">
        <f t="shared" si="48"/>
        <v>27490.015432098768</v>
      </c>
    </row>
    <row r="209" spans="10:13" x14ac:dyDescent="0.3">
      <c r="K209">
        <f>K207/204</f>
        <v>96.747352335996183</v>
      </c>
      <c r="L209">
        <f t="shared" ref="L209:M209" si="49">L207/204</f>
        <v>109.99027172597431</v>
      </c>
      <c r="M209">
        <f t="shared" si="49"/>
        <v>134.75497760832729</v>
      </c>
    </row>
    <row r="211" spans="10:13" x14ac:dyDescent="0.3">
      <c r="J211" t="s">
        <v>1386</v>
      </c>
      <c r="K211">
        <f>SQRT(K209)</f>
        <v>9.8360231972070995</v>
      </c>
      <c r="L211">
        <f t="shared" ref="L211:M211" si="50">SQRT(L209)</f>
        <v>10.487624694180008</v>
      </c>
      <c r="M211">
        <f t="shared" si="50"/>
        <v>11.608401165032474</v>
      </c>
    </row>
    <row r="212" spans="10:13" x14ac:dyDescent="0.3">
      <c r="K212">
        <f>K211/66</f>
        <v>0.14903065450313788</v>
      </c>
      <c r="L212">
        <f t="shared" ref="L212:M212" si="51">L211/66</f>
        <v>0.15890340445727286</v>
      </c>
      <c r="M212">
        <f t="shared" si="51"/>
        <v>0.17588486613685567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46669-E872-4535-96CF-F5142A8D61B4}">
  <dimension ref="A1"/>
  <sheetViews>
    <sheetView workbookViewId="0">
      <selection activeCell="E1" sqref="E1:E1048576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Sheet7</vt:lpstr>
      <vt:lpstr>Sheet8</vt:lpstr>
      <vt:lpstr>Sheet6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Shourjya Samanta</cp:lastModifiedBy>
  <dcterms:created xsi:type="dcterms:W3CDTF">2026-01-21T04:18:52Z</dcterms:created>
  <dcterms:modified xsi:type="dcterms:W3CDTF">2026-01-22T22:59:11Z</dcterms:modified>
</cp:coreProperties>
</file>